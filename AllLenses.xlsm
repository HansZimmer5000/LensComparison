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 activeTab="1"/>
  </bookViews>
  <sheets>
    <sheet name="Overview" sheetId="3" r:id="rId1"/>
    <sheet name="RawData" sheetId="4" r:id="rId2"/>
    <sheet name="RawData(Old)" sheetId="1" r:id="rId3"/>
  </sheets>
  <functionGroups builtInGroupCount="18"/>
  <definedNames>
    <definedName name="_xlnm._FilterDatabase" localSheetId="2" hidden="1">'RawData(Old)'!$A$1:$Q$272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4" l="1"/>
  <c r="F12" i="4"/>
  <c r="F14" i="4"/>
  <c r="F16" i="4"/>
  <c r="F18" i="4"/>
  <c r="F20" i="4"/>
  <c r="F22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70" i="4"/>
  <c r="F72" i="4"/>
  <c r="F74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2" i="4"/>
  <c r="F134" i="4"/>
  <c r="F136" i="4"/>
  <c r="F138" i="4"/>
  <c r="F140" i="4"/>
  <c r="F142" i="4"/>
  <c r="F144" i="4"/>
  <c r="F146" i="4"/>
  <c r="F148" i="4"/>
  <c r="F150" i="4"/>
  <c r="F152" i="4"/>
  <c r="F154" i="4"/>
  <c r="F156" i="4"/>
  <c r="F158" i="4"/>
  <c r="F160" i="4"/>
  <c r="F162" i="4"/>
  <c r="F164" i="4"/>
  <c r="F166" i="4"/>
  <c r="F168" i="4"/>
  <c r="F170" i="4"/>
  <c r="F172" i="4"/>
  <c r="F174" i="4"/>
  <c r="F176" i="4"/>
  <c r="F178" i="4"/>
  <c r="F180" i="4"/>
  <c r="F182" i="4"/>
  <c r="F184" i="4"/>
  <c r="F186" i="4"/>
  <c r="F188" i="4"/>
  <c r="F190" i="4"/>
  <c r="F192" i="4"/>
  <c r="F194" i="4"/>
  <c r="F196" i="4"/>
  <c r="F198" i="4"/>
  <c r="F200" i="4"/>
  <c r="F202" i="4"/>
  <c r="F204" i="4"/>
  <c r="F206" i="4"/>
  <c r="F208" i="4"/>
  <c r="F210" i="4"/>
  <c r="F212" i="4"/>
  <c r="G10" i="4"/>
  <c r="G12" i="4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F13" i="4"/>
  <c r="F17" i="4"/>
  <c r="F21" i="4"/>
  <c r="F25" i="4"/>
  <c r="F29" i="4"/>
  <c r="F33" i="4"/>
  <c r="F37" i="4"/>
  <c r="F41" i="4"/>
  <c r="F45" i="4"/>
  <c r="F49" i="4"/>
  <c r="F53" i="4"/>
  <c r="F57" i="4"/>
  <c r="G60" i="4"/>
  <c r="F63" i="4"/>
  <c r="G65" i="4"/>
  <c r="G68" i="4"/>
  <c r="F71" i="4"/>
  <c r="G73" i="4"/>
  <c r="G76" i="4"/>
  <c r="F79" i="4"/>
  <c r="G81" i="4"/>
  <c r="G84" i="4"/>
  <c r="F87" i="4"/>
  <c r="G89" i="4"/>
  <c r="G92" i="4"/>
  <c r="F95" i="4"/>
  <c r="G97" i="4"/>
  <c r="G100" i="4"/>
  <c r="F103" i="4"/>
  <c r="G105" i="4"/>
  <c r="G108" i="4"/>
  <c r="F111" i="4"/>
  <c r="G113" i="4"/>
  <c r="G116" i="4"/>
  <c r="F119" i="4"/>
  <c r="G121" i="4"/>
  <c r="G124" i="4"/>
  <c r="F127" i="4"/>
  <c r="G129" i="4"/>
  <c r="G132" i="4"/>
  <c r="F135" i="4"/>
  <c r="G137" i="4"/>
  <c r="G140" i="4"/>
  <c r="F143" i="4"/>
  <c r="G145" i="4"/>
  <c r="G148" i="4"/>
  <c r="F151" i="4"/>
  <c r="G153" i="4"/>
  <c r="G156" i="4"/>
  <c r="F159" i="4"/>
  <c r="G161" i="4"/>
  <c r="G164" i="4"/>
  <c r="F167" i="4"/>
  <c r="G169" i="4"/>
  <c r="G172" i="4"/>
  <c r="F175" i="4"/>
  <c r="G177" i="4"/>
  <c r="G180" i="4"/>
  <c r="F183" i="4"/>
  <c r="G185" i="4"/>
  <c r="G188" i="4"/>
  <c r="F191" i="4"/>
  <c r="G193" i="4"/>
  <c r="G196" i="4"/>
  <c r="F199" i="4"/>
  <c r="G201" i="4"/>
  <c r="G204" i="4"/>
  <c r="F207" i="4"/>
  <c r="G209" i="4"/>
  <c r="G212" i="4"/>
  <c r="G13" i="4"/>
  <c r="G17" i="4"/>
  <c r="G21" i="4"/>
  <c r="G25" i="4"/>
  <c r="G29" i="4"/>
  <c r="G33" i="4"/>
  <c r="G37" i="4"/>
  <c r="G41" i="4"/>
  <c r="G45" i="4"/>
  <c r="G49" i="4"/>
  <c r="G53" i="4"/>
  <c r="G57" i="4"/>
  <c r="F61" i="4"/>
  <c r="G63" i="4"/>
  <c r="G66" i="4"/>
  <c r="F69" i="4"/>
  <c r="G71" i="4"/>
  <c r="G74" i="4"/>
  <c r="F77" i="4"/>
  <c r="G79" i="4"/>
  <c r="G82" i="4"/>
  <c r="F85" i="4"/>
  <c r="G87" i="4"/>
  <c r="G90" i="4"/>
  <c r="F93" i="4"/>
  <c r="G95" i="4"/>
  <c r="G98" i="4"/>
  <c r="F101" i="4"/>
  <c r="G103" i="4"/>
  <c r="G106" i="4"/>
  <c r="F109" i="4"/>
  <c r="G111" i="4"/>
  <c r="G114" i="4"/>
  <c r="F117" i="4"/>
  <c r="G119" i="4"/>
  <c r="G122" i="4"/>
  <c r="F125" i="4"/>
  <c r="G127" i="4"/>
  <c r="G130" i="4"/>
  <c r="F133" i="4"/>
  <c r="G135" i="4"/>
  <c r="G138" i="4"/>
  <c r="F141" i="4"/>
  <c r="G143" i="4"/>
  <c r="G146" i="4"/>
  <c r="F149" i="4"/>
  <c r="G151" i="4"/>
  <c r="G154" i="4"/>
  <c r="F157" i="4"/>
  <c r="G159" i="4"/>
  <c r="G162" i="4"/>
  <c r="F165" i="4"/>
  <c r="G167" i="4"/>
  <c r="G170" i="4"/>
  <c r="F173" i="4"/>
  <c r="G175" i="4"/>
  <c r="G178" i="4"/>
  <c r="G11" i="4"/>
  <c r="G19" i="4"/>
  <c r="G27" i="4"/>
  <c r="G35" i="4"/>
  <c r="G43" i="4"/>
  <c r="G51" i="4"/>
  <c r="G59" i="4"/>
  <c r="F65" i="4"/>
  <c r="G70" i="4"/>
  <c r="G75" i="4"/>
  <c r="F81" i="4"/>
  <c r="G86" i="4"/>
  <c r="G91" i="4"/>
  <c r="F97" i="4"/>
  <c r="G102" i="4"/>
  <c r="G107" i="4"/>
  <c r="F113" i="4"/>
  <c r="G118" i="4"/>
  <c r="G123" i="4"/>
  <c r="F129" i="4"/>
  <c r="G134" i="4"/>
  <c r="G139" i="4"/>
  <c r="F145" i="4"/>
  <c r="G150" i="4"/>
  <c r="G155" i="4"/>
  <c r="F161" i="4"/>
  <c r="G166" i="4"/>
  <c r="G171" i="4"/>
  <c r="F177" i="4"/>
  <c r="G181" i="4"/>
  <c r="F185" i="4"/>
  <c r="F189" i="4"/>
  <c r="G192" i="4"/>
  <c r="G195" i="4"/>
  <c r="G199" i="4"/>
  <c r="F203" i="4"/>
  <c r="G206" i="4"/>
  <c r="G210" i="4"/>
  <c r="F15" i="4"/>
  <c r="F23" i="4"/>
  <c r="F31" i="4"/>
  <c r="F39" i="4"/>
  <c r="F47" i="4"/>
  <c r="F55" i="4"/>
  <c r="G61" i="4"/>
  <c r="F67" i="4"/>
  <c r="G72" i="4"/>
  <c r="G77" i="4"/>
  <c r="F83" i="4"/>
  <c r="G88" i="4"/>
  <c r="G93" i="4"/>
  <c r="F99" i="4"/>
  <c r="G104" i="4"/>
  <c r="G109" i="4"/>
  <c r="F115" i="4"/>
  <c r="G120" i="4"/>
  <c r="G125" i="4"/>
  <c r="F131" i="4"/>
  <c r="G136" i="4"/>
  <c r="G141" i="4"/>
  <c r="F147" i="4"/>
  <c r="G152" i="4"/>
  <c r="G157" i="4"/>
  <c r="F163" i="4"/>
  <c r="G168" i="4"/>
  <c r="G173" i="4"/>
  <c r="F179" i="4"/>
  <c r="G182" i="4"/>
  <c r="G186" i="4"/>
  <c r="G189" i="4"/>
  <c r="F193" i="4"/>
  <c r="F197" i="4"/>
  <c r="G200" i="4"/>
  <c r="G203" i="4"/>
  <c r="G207" i="4"/>
  <c r="F211" i="4"/>
  <c r="G15" i="4"/>
  <c r="G23" i="4"/>
  <c r="G31" i="4"/>
  <c r="G39" i="4"/>
  <c r="G47" i="4"/>
  <c r="G55" i="4"/>
  <c r="G62" i="4"/>
  <c r="G67" i="4"/>
  <c r="F73" i="4"/>
  <c r="G78" i="4"/>
  <c r="G83" i="4"/>
  <c r="F89" i="4"/>
  <c r="G94" i="4"/>
  <c r="G99" i="4"/>
  <c r="F105" i="4"/>
  <c r="G110" i="4"/>
  <c r="G115" i="4"/>
  <c r="F121" i="4"/>
  <c r="G126" i="4"/>
  <c r="G131" i="4"/>
  <c r="F137" i="4"/>
  <c r="G142" i="4"/>
  <c r="G147" i="4"/>
  <c r="F153" i="4"/>
  <c r="G158" i="4"/>
  <c r="G163" i="4"/>
  <c r="F169" i="4"/>
  <c r="G174" i="4"/>
  <c r="G179" i="4"/>
  <c r="G183" i="4"/>
  <c r="F187" i="4"/>
  <c r="G190" i="4"/>
  <c r="G194" i="4"/>
  <c r="G197" i="4"/>
  <c r="F201" i="4"/>
  <c r="F205" i="4"/>
  <c r="G208" i="4"/>
  <c r="G211" i="4"/>
  <c r="F11" i="4"/>
  <c r="F19" i="4"/>
  <c r="F27" i="4"/>
  <c r="F35" i="4"/>
  <c r="F43" i="4"/>
  <c r="F51" i="4"/>
  <c r="F59" i="4"/>
  <c r="G64" i="4"/>
  <c r="G69" i="4"/>
  <c r="F75" i="4"/>
  <c r="G80" i="4"/>
  <c r="G85" i="4"/>
  <c r="F91" i="4"/>
  <c r="F107" i="4"/>
  <c r="G128" i="4"/>
  <c r="G149" i="4"/>
  <c r="F171" i="4"/>
  <c r="G187" i="4"/>
  <c r="G202" i="4"/>
  <c r="G112" i="4"/>
  <c r="G133" i="4"/>
  <c r="F155" i="4"/>
  <c r="G176" i="4"/>
  <c r="G191" i="4"/>
  <c r="G205" i="4"/>
  <c r="G96" i="4"/>
  <c r="G117" i="4"/>
  <c r="F139" i="4"/>
  <c r="G160" i="4"/>
  <c r="F181" i="4"/>
  <c r="F195" i="4"/>
  <c r="F209" i="4"/>
  <c r="G101" i="4"/>
  <c r="F123" i="4"/>
  <c r="G144" i="4"/>
  <c r="G165" i="4"/>
  <c r="G184" i="4"/>
  <c r="G198" i="4"/>
  <c r="G2" i="4"/>
  <c r="G6" i="4"/>
  <c r="G3" i="4"/>
  <c r="G7" i="4"/>
  <c r="G4" i="4"/>
  <c r="G8" i="4"/>
  <c r="G5" i="4"/>
  <c r="G9" i="4"/>
  <c r="U6" i="4"/>
  <c r="F2" i="4"/>
  <c r="F6" i="4"/>
  <c r="F3" i="4"/>
  <c r="F7" i="4"/>
  <c r="F4" i="4"/>
  <c r="F8" i="4"/>
  <c r="F5" i="4"/>
  <c r="P3" i="4"/>
  <c r="P7" i="4"/>
  <c r="P11" i="4"/>
  <c r="P15" i="4"/>
  <c r="P4" i="4"/>
  <c r="P8" i="4"/>
  <c r="P12" i="4"/>
  <c r="P16" i="4"/>
  <c r="P5" i="4"/>
  <c r="P9" i="4"/>
  <c r="P13" i="4"/>
  <c r="P17" i="4"/>
  <c r="P6" i="4"/>
  <c r="P10" i="4"/>
  <c r="P14" i="4"/>
  <c r="P2" i="4"/>
  <c r="U5" i="4"/>
  <c r="S200" i="4"/>
  <c r="R1065" i="4"/>
  <c r="R731" i="4"/>
  <c r="R743" i="4"/>
  <c r="R927" i="4"/>
  <c r="R1585" i="4"/>
  <c r="R733" i="4"/>
  <c r="R378" i="4"/>
  <c r="R912" i="4"/>
  <c r="R369" i="4"/>
  <c r="R761" i="4"/>
  <c r="R31" i="4"/>
  <c r="R1100" i="4"/>
  <c r="R1075" i="4"/>
  <c r="R1214" i="4"/>
  <c r="R305" i="4"/>
  <c r="R551" i="4"/>
  <c r="R1143" i="4"/>
  <c r="R705" i="4"/>
  <c r="R1461" i="4"/>
  <c r="R555" i="4"/>
  <c r="R325" i="4"/>
  <c r="R718" i="4"/>
  <c r="R1353" i="4"/>
  <c r="R497" i="4"/>
  <c r="R669" i="4"/>
  <c r="R570" i="4"/>
  <c r="R938" i="4"/>
  <c r="R1134" i="4"/>
  <c r="R482" i="4"/>
  <c r="R445" i="4"/>
  <c r="S641" i="4"/>
  <c r="R569" i="4"/>
  <c r="S1396" i="4"/>
  <c r="S1030" i="4"/>
  <c r="R588" i="4"/>
  <c r="S606" i="4"/>
  <c r="S1046" i="4"/>
  <c r="R365" i="4"/>
  <c r="S191" i="4"/>
  <c r="S33" i="4"/>
  <c r="R357" i="4"/>
  <c r="S1327" i="4"/>
  <c r="S1518" i="4"/>
  <c r="R916" i="4"/>
  <c r="S500" i="4"/>
  <c r="S288" i="4"/>
  <c r="R315" i="4"/>
  <c r="S717" i="4"/>
  <c r="S491" i="4"/>
  <c r="R475" i="4"/>
  <c r="S1228" i="4"/>
  <c r="S934" i="4"/>
  <c r="R54" i="4"/>
  <c r="S152" i="4"/>
  <c r="S736" i="4"/>
  <c r="S1084" i="4"/>
  <c r="S128" i="4"/>
  <c r="S387" i="4"/>
  <c r="S1126" i="4"/>
  <c r="S850" i="4"/>
  <c r="S98" i="4"/>
  <c r="S301" i="4"/>
  <c r="S1093" i="4"/>
  <c r="S330" i="4"/>
  <c r="S815" i="4"/>
  <c r="S647" i="4"/>
  <c r="S752" i="4"/>
  <c r="S142" i="4"/>
  <c r="S535" i="4"/>
  <c r="S178" i="4"/>
  <c r="S726" i="4"/>
  <c r="S1311" i="4"/>
  <c r="S1285" i="4"/>
  <c r="S993" i="4"/>
  <c r="S1242" i="4"/>
  <c r="S775" i="4"/>
  <c r="S781" i="4"/>
  <c r="S393" i="4"/>
  <c r="S919" i="4"/>
  <c r="S1277" i="4"/>
  <c r="R1062" i="4"/>
  <c r="R1238" i="4"/>
  <c r="R1395" i="4"/>
  <c r="R925" i="4"/>
  <c r="R608" i="4"/>
  <c r="R755" i="4"/>
  <c r="R1245" i="4"/>
  <c r="R629" i="4"/>
  <c r="R1638" i="4"/>
  <c r="R859" i="4"/>
  <c r="R760" i="4"/>
  <c r="R1620" i="4"/>
  <c r="R624" i="4"/>
  <c r="R750" i="4"/>
  <c r="R1115" i="4"/>
  <c r="R1063" i="4"/>
  <c r="R287" i="4"/>
  <c r="R799" i="4"/>
  <c r="R499" i="4"/>
  <c r="R1372" i="4"/>
  <c r="R404" i="4"/>
  <c r="R321" i="4"/>
  <c r="R713" i="4"/>
  <c r="R514" i="4"/>
  <c r="R495" i="4"/>
  <c r="R1107" i="4"/>
  <c r="R613" i="4"/>
  <c r="R431" i="4"/>
  <c r="R571" i="4"/>
  <c r="R627" i="4"/>
  <c r="R427" i="4"/>
  <c r="R441" i="4"/>
  <c r="S877" i="4"/>
  <c r="R1560" i="4"/>
  <c r="S926" i="4"/>
  <c r="S1020" i="4"/>
  <c r="R1414" i="4"/>
  <c r="S377" i="4"/>
  <c r="S792" i="4"/>
  <c r="R759" i="4"/>
  <c r="S452" i="4"/>
  <c r="S1109" i="4"/>
  <c r="R1651" i="4"/>
  <c r="S1601" i="4"/>
  <c r="S554" i="4"/>
  <c r="R501" i="4"/>
  <c r="S1095" i="4"/>
  <c r="S558" i="4"/>
  <c r="R711" i="4"/>
  <c r="S401" i="4"/>
  <c r="S1625" i="4"/>
  <c r="R612" i="4"/>
  <c r="S105" i="4"/>
  <c r="S51" i="4"/>
  <c r="R436" i="4"/>
  <c r="S645" i="4"/>
  <c r="S789" i="4"/>
  <c r="S515" i="4"/>
  <c r="S531" i="4"/>
  <c r="S131" i="4"/>
  <c r="S251" i="4"/>
  <c r="S660" i="4"/>
  <c r="S1080" i="4"/>
  <c r="S213" i="4"/>
  <c r="S328" i="4"/>
  <c r="S123" i="4"/>
  <c r="S1230" i="4"/>
  <c r="S247" i="4"/>
  <c r="S522" i="4"/>
  <c r="S262" i="4"/>
  <c r="S526" i="4"/>
  <c r="S220" i="4"/>
  <c r="S1068" i="4"/>
  <c r="S528" i="4"/>
  <c r="S1487" i="4"/>
  <c r="S1001" i="4"/>
  <c r="S773" i="4"/>
  <c r="S1596" i="4"/>
  <c r="S782" i="4"/>
  <c r="S917" i="4"/>
  <c r="S1512" i="4"/>
  <c r="S136" i="4"/>
  <c r="S409" i="4"/>
  <c r="S97" i="4"/>
  <c r="S1186" i="4"/>
  <c r="S1171" i="4"/>
  <c r="S1006" i="4"/>
  <c r="S87" i="4"/>
  <c r="S73" i="4"/>
  <c r="S59" i="4"/>
  <c r="S869" i="4"/>
  <c r="S342" i="4"/>
  <c r="S140" i="4"/>
  <c r="S1322" i="4"/>
  <c r="S312" i="4"/>
  <c r="R1144" i="4"/>
  <c r="R1399" i="4"/>
  <c r="R926" i="4"/>
  <c r="S588" i="4"/>
  <c r="S666" i="4"/>
  <c r="S791" i="4"/>
  <c r="S761" i="4"/>
  <c r="S624" i="4"/>
  <c r="S155" i="4"/>
  <c r="R282" i="4"/>
  <c r="R1412" i="4"/>
  <c r="R1095" i="4"/>
  <c r="S315" i="4"/>
  <c r="S414" i="4"/>
  <c r="S498" i="4"/>
  <c r="S570" i="4"/>
  <c r="S571" i="4"/>
  <c r="S435" i="4"/>
  <c r="R1398" i="4"/>
  <c r="S255" i="4"/>
  <c r="R531" i="4"/>
  <c r="R132" i="4"/>
  <c r="S1664" i="4"/>
  <c r="R1080" i="4"/>
  <c r="R419" i="4"/>
  <c r="S233" i="4"/>
  <c r="R1230" i="4"/>
  <c r="R374" i="4"/>
  <c r="S120" i="4"/>
  <c r="R526" i="4"/>
  <c r="R240" i="4"/>
  <c r="S1236" i="4"/>
  <c r="R641" i="4"/>
  <c r="R1400" i="4"/>
  <c r="R1030" i="4"/>
  <c r="R1633" i="4"/>
  <c r="R1046" i="4"/>
  <c r="R900" i="4"/>
  <c r="R33" i="4"/>
  <c r="R450" i="4"/>
  <c r="R1518" i="4"/>
  <c r="R1413" i="4"/>
  <c r="R288" i="4"/>
  <c r="R323" i="4"/>
  <c r="R491" i="4"/>
  <c r="R573" i="4"/>
  <c r="R934" i="4"/>
  <c r="R256" i="4"/>
  <c r="R907" i="4"/>
  <c r="S1076" i="4"/>
  <c r="S399" i="4"/>
  <c r="R1045" i="4"/>
  <c r="S1367" i="4"/>
  <c r="S1074" i="4"/>
  <c r="R289" i="4"/>
  <c r="S1406" i="4"/>
  <c r="S322" i="4"/>
  <c r="R494" i="4"/>
  <c r="S824" i="4"/>
  <c r="S628" i="4"/>
  <c r="S1226" i="4"/>
  <c r="S680" i="4"/>
  <c r="S1566" i="4"/>
  <c r="S100" i="4"/>
  <c r="S533" i="4"/>
  <c r="S871" i="4"/>
  <c r="S208" i="4"/>
  <c r="S564" i="4"/>
  <c r="S192" i="4"/>
  <c r="S987" i="4"/>
  <c r="S692" i="4"/>
  <c r="S780" i="4"/>
  <c r="S1511" i="4"/>
  <c r="S826" i="4"/>
  <c r="S1096" i="4"/>
  <c r="S1150" i="4"/>
  <c r="S1439" i="4"/>
  <c r="S910" i="4"/>
  <c r="S77" i="4"/>
  <c r="S65" i="4"/>
  <c r="S332" i="4"/>
  <c r="S138" i="4"/>
  <c r="S1324" i="4"/>
  <c r="S1418" i="4"/>
  <c r="S569" i="4"/>
  <c r="R1031" i="4"/>
  <c r="S1626" i="4"/>
  <c r="S1638" i="4"/>
  <c r="S940" i="4"/>
  <c r="S357" i="4"/>
  <c r="R1601" i="4"/>
  <c r="S1549" i="4"/>
  <c r="S404" i="4"/>
  <c r="S718" i="4"/>
  <c r="S475" i="4"/>
  <c r="R105" i="4"/>
  <c r="R520" i="4"/>
  <c r="S978" i="4"/>
  <c r="R147" i="4"/>
  <c r="R131" i="4"/>
  <c r="R660" i="4"/>
  <c r="S889" i="4"/>
  <c r="R1639" i="4"/>
  <c r="R1064" i="4"/>
  <c r="R522" i="4"/>
  <c r="S676" i="4"/>
  <c r="S193" i="4"/>
  <c r="R995" i="4"/>
  <c r="S985" i="4"/>
  <c r="R773" i="4"/>
  <c r="R779" i="4"/>
  <c r="S945" i="4"/>
  <c r="R1512" i="4"/>
  <c r="R44" i="4"/>
  <c r="S1344" i="4"/>
  <c r="R1186" i="4"/>
  <c r="R94" i="4"/>
  <c r="S90" i="4"/>
  <c r="R73" i="4"/>
  <c r="R106" i="4"/>
  <c r="S333" i="4"/>
  <c r="R140" i="4"/>
  <c r="R1325" i="4"/>
  <c r="S1015" i="4"/>
  <c r="R1505" i="4"/>
  <c r="R695" i="4"/>
  <c r="R1529" i="4"/>
  <c r="R1162" i="4"/>
  <c r="R384" i="4"/>
  <c r="R632" i="4"/>
  <c r="R1383" i="4"/>
  <c r="R905" i="4"/>
  <c r="R825" i="4"/>
  <c r="R108" i="4"/>
  <c r="R1168" i="4"/>
  <c r="R1170" i="4"/>
  <c r="R1043" i="4"/>
  <c r="R1592" i="4"/>
  <c r="R1169" i="4"/>
  <c r="R1513" i="4"/>
  <c r="R458" i="4"/>
  <c r="R1233" i="4"/>
  <c r="R1482" i="4"/>
  <c r="R1190" i="4"/>
  <c r="R1000" i="4"/>
  <c r="R126" i="4"/>
  <c r="R1659" i="4"/>
  <c r="R1605" i="4"/>
  <c r="R1240" i="4"/>
  <c r="R1346" i="4"/>
  <c r="R687" i="4"/>
  <c r="R11" i="4"/>
  <c r="R846" i="4"/>
  <c r="R1450" i="4"/>
  <c r="R788" i="4"/>
  <c r="R1033" i="4"/>
  <c r="R1036" i="4"/>
  <c r="R659" i="4"/>
  <c r="R1561" i="4"/>
  <c r="R1067" i="4"/>
  <c r="R667" i="4"/>
  <c r="R146" i="4"/>
  <c r="R874" i="4"/>
  <c r="R1446" i="4"/>
  <c r="R294" i="4"/>
  <c r="R814" i="4"/>
  <c r="R841" i="4"/>
  <c r="R314" i="4"/>
  <c r="R443" i="4"/>
  <c r="R1563" i="4"/>
  <c r="R860" i="4"/>
  <c r="R53" i="4"/>
  <c r="R434" i="4"/>
  <c r="S1400" i="4"/>
  <c r="S981" i="4"/>
  <c r="R830" i="4"/>
  <c r="S900" i="4"/>
  <c r="S625" i="4"/>
  <c r="R1350" i="4"/>
  <c r="S1413" i="4"/>
  <c r="S411" i="4"/>
  <c r="R415" i="4"/>
  <c r="S573" i="4"/>
  <c r="S151" i="4"/>
  <c r="R440" i="4"/>
  <c r="S159" i="4"/>
  <c r="S145" i="4"/>
  <c r="S229" i="4"/>
  <c r="S211" i="4"/>
  <c r="S913" i="4"/>
  <c r="S115" i="4"/>
  <c r="S472" i="4"/>
  <c r="S216" i="4"/>
  <c r="S1329" i="4"/>
  <c r="S999" i="4"/>
  <c r="S1527" i="4"/>
  <c r="S955" i="4"/>
  <c r="S135" i="4"/>
  <c r="S1636" i="4"/>
  <c r="S1151" i="4"/>
  <c r="S1182" i="4"/>
  <c r="S880" i="4"/>
  <c r="S72" i="4"/>
  <c r="S83" i="4"/>
  <c r="S162" i="4"/>
  <c r="S346" i="4"/>
  <c r="S1320" i="4"/>
  <c r="S651" i="4"/>
  <c r="S486" i="4"/>
  <c r="S657" i="4"/>
  <c r="R1231" i="4"/>
  <c r="R644" i="4"/>
  <c r="S479" i="4"/>
  <c r="S406" i="4"/>
  <c r="S1634" i="4"/>
  <c r="S916" i="4"/>
  <c r="R283" i="4"/>
  <c r="S716" i="4"/>
  <c r="S495" i="4"/>
  <c r="S810" i="4"/>
  <c r="S54" i="4"/>
  <c r="R645" i="4"/>
  <c r="R515" i="4"/>
  <c r="S649" i="4"/>
  <c r="R1105" i="4"/>
  <c r="R423" i="4"/>
  <c r="R328" i="4"/>
  <c r="S872" i="4"/>
  <c r="S719" i="4"/>
  <c r="R1300" i="4"/>
  <c r="R220" i="4"/>
  <c r="R528" i="4"/>
  <c r="R1488" i="4"/>
  <c r="S1495" i="4"/>
  <c r="R1596" i="4"/>
  <c r="R394" i="4"/>
  <c r="S1490" i="4"/>
  <c r="R136" i="4"/>
  <c r="R1462" i="4"/>
  <c r="S1173" i="4"/>
  <c r="R1171" i="4"/>
  <c r="R909" i="4"/>
  <c r="S81" i="4"/>
  <c r="R59" i="4"/>
  <c r="R467" i="4"/>
  <c r="S347" i="4"/>
  <c r="R1322" i="4"/>
  <c r="R652" i="4"/>
  <c r="R364" i="4"/>
  <c r="R693" i="4"/>
  <c r="R1539" i="4"/>
  <c r="R1156" i="4"/>
  <c r="R1336" i="4"/>
  <c r="R1521" i="4"/>
  <c r="R634" i="4"/>
  <c r="R903" i="4"/>
  <c r="R922" i="4"/>
  <c r="R1112" i="4"/>
  <c r="R227" i="4"/>
  <c r="R1188" i="4"/>
  <c r="R1004" i="4"/>
  <c r="R1007" i="4"/>
  <c r="R1179" i="4"/>
  <c r="R1489" i="4"/>
  <c r="R951" i="4"/>
  <c r="R1500" i="4"/>
  <c r="R144" i="4"/>
  <c r="R994" i="4"/>
  <c r="R1575" i="4"/>
  <c r="R1192" i="4"/>
  <c r="R362" i="4"/>
  <c r="R1291" i="4"/>
  <c r="R1629" i="4"/>
  <c r="R1619" i="4"/>
  <c r="R1645" i="4"/>
  <c r="R1287" i="4"/>
  <c r="R1108" i="4"/>
  <c r="R1453" i="4"/>
  <c r="R1437" i="4"/>
  <c r="R550" i="4"/>
  <c r="R1035" i="4"/>
  <c r="R161" i="4"/>
  <c r="R720" i="4"/>
  <c r="R1567" i="4"/>
  <c r="R1024" i="4"/>
  <c r="R1255" i="4"/>
  <c r="R93" i="4"/>
  <c r="R1274" i="4"/>
  <c r="R599" i="4"/>
  <c r="R1644" i="4"/>
  <c r="R1193" i="4"/>
  <c r="R1258" i="4"/>
  <c r="R1207" i="4"/>
  <c r="R1498" i="4"/>
  <c r="R304" i="4"/>
  <c r="R1444" i="4"/>
  <c r="R617" i="4"/>
  <c r="R517" i="4"/>
  <c r="R1056" i="4"/>
  <c r="R199" i="4"/>
  <c r="R816" i="4"/>
  <c r="R1621" i="4"/>
  <c r="R974" i="4"/>
  <c r="R1616" i="4"/>
  <c r="R1140" i="4"/>
  <c r="R248" i="4"/>
  <c r="R1241" i="4"/>
  <c r="R1195" i="4"/>
  <c r="R119" i="4"/>
  <c r="R29" i="4"/>
  <c r="R1306" i="4"/>
  <c r="R1307" i="4"/>
  <c r="R1519" i="4"/>
  <c r="R67" i="4"/>
  <c r="R214" i="4"/>
  <c r="R1315" i="4"/>
  <c r="R180" i="4"/>
  <c r="R396" i="4"/>
  <c r="R397" i="4"/>
  <c r="R36" i="4"/>
  <c r="S1144" i="4"/>
  <c r="S1395" i="4"/>
  <c r="R224" i="4"/>
  <c r="S667" i="4"/>
  <c r="R1365" i="4"/>
  <c r="S32" i="4"/>
  <c r="S1651" i="4"/>
  <c r="S551" i="4"/>
  <c r="R1407" i="4"/>
  <c r="S321" i="4"/>
  <c r="R1354" i="4"/>
  <c r="S258" i="4"/>
  <c r="R151" i="4"/>
  <c r="S153" i="4"/>
  <c r="R1084" i="4"/>
  <c r="R532" i="4"/>
  <c r="R250" i="4"/>
  <c r="R101" i="4"/>
  <c r="S419" i="4"/>
  <c r="S661" i="4"/>
  <c r="S857" i="4"/>
  <c r="R472" i="4"/>
  <c r="R176" i="4"/>
  <c r="R1311" i="4"/>
  <c r="R991" i="4"/>
  <c r="R772" i="4"/>
  <c r="R784" i="4"/>
  <c r="S1145" i="4"/>
  <c r="S26" i="4"/>
  <c r="S96" i="4"/>
  <c r="R1182" i="4"/>
  <c r="R910" i="4"/>
  <c r="R82" i="4"/>
  <c r="R444" i="4"/>
  <c r="R139" i="4"/>
  <c r="R311" i="4"/>
  <c r="R694" i="4"/>
  <c r="S1159" i="4"/>
  <c r="S1334" i="4"/>
  <c r="R1022" i="4"/>
  <c r="S635" i="4"/>
  <c r="S1427" i="4"/>
  <c r="R1113" i="4"/>
  <c r="S1181" i="4"/>
  <c r="S777" i="4"/>
  <c r="R1028" i="4"/>
  <c r="S1172" i="4"/>
  <c r="S1492" i="4"/>
  <c r="R1491" i="4"/>
  <c r="S1483" i="4"/>
  <c r="S988" i="4"/>
  <c r="R1225" i="4"/>
  <c r="S670" i="4"/>
  <c r="S1250" i="4"/>
  <c r="R1630" i="4"/>
  <c r="S688" i="4"/>
  <c r="S1286" i="4"/>
  <c r="R591" i="4"/>
  <c r="S1451" i="4"/>
  <c r="S1032" i="4"/>
  <c r="R438" i="4"/>
  <c r="R849" i="4"/>
  <c r="R521" i="4"/>
  <c r="R439" i="4"/>
  <c r="R285" i="4"/>
  <c r="R290" i="4"/>
  <c r="R493" i="4"/>
  <c r="R317" i="4"/>
  <c r="S884" i="4"/>
  <c r="S1633" i="4"/>
  <c r="R941" i="4"/>
  <c r="S417" i="4"/>
  <c r="S323" i="4"/>
  <c r="R267" i="4"/>
  <c r="S545" i="4"/>
  <c r="S1452" i="4"/>
  <c r="S734" i="4"/>
  <c r="S712" i="4"/>
  <c r="S55" i="4"/>
  <c r="S302" i="4"/>
  <c r="S800" i="4"/>
  <c r="S95" i="4"/>
  <c r="S69" i="4"/>
  <c r="S82" i="4"/>
  <c r="S334" i="4"/>
  <c r="S310" i="4"/>
  <c r="S953" i="4"/>
  <c r="S733" i="4"/>
  <c r="R452" i="4"/>
  <c r="S287" i="4"/>
  <c r="S549" i="4"/>
  <c r="R225" i="4"/>
  <c r="S445" i="4"/>
  <c r="S681" i="4"/>
  <c r="R99" i="4"/>
  <c r="R123" i="4"/>
  <c r="R116" i="4"/>
  <c r="R1068" i="4"/>
  <c r="R1001" i="4"/>
  <c r="S784" i="4"/>
  <c r="R1041" i="4"/>
  <c r="R97" i="4"/>
  <c r="S92" i="4"/>
  <c r="R78" i="4"/>
  <c r="R342" i="4"/>
  <c r="S311" i="4"/>
  <c r="R696" i="4"/>
  <c r="R1161" i="4"/>
  <c r="R226" i="4"/>
  <c r="R1384" i="4"/>
  <c r="R1301" i="4"/>
  <c r="R1166" i="4"/>
  <c r="R1023" i="4"/>
  <c r="R1152" i="4"/>
  <c r="R1509" i="4"/>
  <c r="R1475" i="4"/>
  <c r="R990" i="4"/>
  <c r="R1648" i="4"/>
  <c r="R1276" i="4"/>
  <c r="R853" i="4"/>
  <c r="R1338" i="4"/>
  <c r="R1456" i="4"/>
  <c r="R1378" i="4"/>
  <c r="R804" i="4"/>
  <c r="R1532" i="4"/>
  <c r="R1607" i="4"/>
  <c r="R1611" i="4"/>
  <c r="R1253" i="4"/>
  <c r="R1082" i="4"/>
  <c r="R1304" i="4"/>
  <c r="R1643" i="4"/>
  <c r="R1210" i="4"/>
  <c r="R1205" i="4"/>
  <c r="R767" i="4"/>
  <c r="R1441" i="4"/>
  <c r="R1502" i="4"/>
  <c r="R834" i="4"/>
  <c r="R234" i="4"/>
  <c r="R370" i="4"/>
  <c r="R587" i="4"/>
  <c r="R970" i="4"/>
  <c r="R1557" i="4"/>
  <c r="R40" i="4"/>
  <c r="R1341" i="4"/>
  <c r="R143" i="4"/>
  <c r="R506" i="4"/>
  <c r="R1330" i="4"/>
  <c r="R350" i="4"/>
  <c r="R270" i="4"/>
  <c r="R924" i="4"/>
  <c r="R186" i="4"/>
  <c r="R896" i="4"/>
  <c r="R273" i="4"/>
  <c r="R657" i="4"/>
  <c r="R710" i="4"/>
  <c r="R793" i="4"/>
  <c r="R625" i="4"/>
  <c r="S1063" i="4"/>
  <c r="S499" i="4"/>
  <c r="R324" i="4"/>
  <c r="R148" i="4"/>
  <c r="S933" i="4"/>
  <c r="S441" i="4"/>
  <c r="S626" i="4"/>
  <c r="S132" i="4"/>
  <c r="R1081" i="4"/>
  <c r="R330" i="4"/>
  <c r="R1101" i="4"/>
  <c r="S1480" i="4"/>
  <c r="S240" i="4"/>
  <c r="R1485" i="4"/>
  <c r="R775" i="4"/>
  <c r="R1507" i="4"/>
  <c r="R135" i="4"/>
  <c r="S168" i="4"/>
  <c r="R92" i="4"/>
  <c r="R58" i="4"/>
  <c r="R332" i="4"/>
  <c r="R1320" i="4"/>
  <c r="S1410" i="4"/>
  <c r="S1332" i="4"/>
  <c r="R1160" i="4"/>
  <c r="S1382" i="4"/>
  <c r="S1386" i="4"/>
  <c r="S822" i="4"/>
  <c r="R1185" i="4"/>
  <c r="R1009" i="4"/>
  <c r="S1176" i="4"/>
  <c r="S1510" i="4"/>
  <c r="R960" i="4"/>
  <c r="S529" i="4"/>
  <c r="S1440" i="4"/>
  <c r="S1294" i="4"/>
  <c r="R1397" i="4"/>
  <c r="S437" i="4"/>
  <c r="S783" i="4"/>
  <c r="R448" i="4"/>
  <c r="S1037" i="4"/>
  <c r="S1532" i="4"/>
  <c r="R1568" i="4"/>
  <c r="S1253" i="4"/>
  <c r="R70" i="4"/>
  <c r="S1275" i="4"/>
  <c r="S1643" i="4"/>
  <c r="R1594" i="4"/>
  <c r="S1209" i="4"/>
  <c r="S1205" i="4"/>
  <c r="R771" i="4"/>
  <c r="S1448" i="4"/>
  <c r="S1502" i="4"/>
  <c r="R518" i="4"/>
  <c r="S1582" i="4"/>
  <c r="S370" i="4"/>
  <c r="R969" i="4"/>
  <c r="S971" i="4"/>
  <c r="S1557" i="4"/>
  <c r="R41" i="4"/>
  <c r="S309" i="4"/>
  <c r="S143" i="4"/>
  <c r="R30" i="4"/>
  <c r="S1263" i="4"/>
  <c r="S349" i="4"/>
  <c r="S459" i="4"/>
  <c r="R1138" i="4"/>
  <c r="S184" i="4"/>
  <c r="S469" i="4"/>
  <c r="S6" i="4"/>
  <c r="S275" i="4"/>
  <c r="S61" i="4"/>
  <c r="S260" i="4"/>
  <c r="S354" i="4"/>
  <c r="S480" i="4"/>
  <c r="S590" i="4"/>
  <c r="S653" i="4"/>
  <c r="S1118" i="4"/>
  <c r="S516" i="4"/>
  <c r="S442" i="4"/>
  <c r="S519" i="4"/>
  <c r="S1086" i="4"/>
  <c r="S1433" i="4"/>
  <c r="S1558" i="4"/>
  <c r="S453" i="4"/>
  <c r="R877" i="4"/>
  <c r="R1020" i="4"/>
  <c r="R792" i="4"/>
  <c r="R1109" i="4"/>
  <c r="R554" i="4"/>
  <c r="R558" i="4"/>
  <c r="R1625" i="4"/>
  <c r="R51" i="4"/>
  <c r="S730" i="4"/>
  <c r="S665" i="4"/>
  <c r="R1424" i="4"/>
  <c r="S513" i="4"/>
  <c r="S122" i="4"/>
  <c r="R422" i="4"/>
  <c r="S1471" i="4"/>
  <c r="S462" i="4"/>
  <c r="S1581" i="4"/>
  <c r="S843" i="4"/>
  <c r="S1270" i="4"/>
  <c r="S1653" i="4"/>
  <c r="S134" i="4"/>
  <c r="S1564" i="4"/>
  <c r="S71" i="4"/>
  <c r="S74" i="4"/>
  <c r="S344" i="4"/>
  <c r="S1281" i="4"/>
  <c r="S743" i="4"/>
  <c r="R377" i="4"/>
  <c r="R1556" i="4"/>
  <c r="S557" i="4"/>
  <c r="R326" i="4"/>
  <c r="S236" i="4"/>
  <c r="S433" i="4"/>
  <c r="R129" i="4"/>
  <c r="S101" i="4"/>
  <c r="R388" i="4"/>
  <c r="R262" i="4"/>
  <c r="R1265" i="4"/>
  <c r="R691" i="4"/>
  <c r="R782" i="4"/>
  <c r="S1408" i="4"/>
  <c r="R168" i="4"/>
  <c r="R1006" i="4"/>
  <c r="S75" i="4"/>
  <c r="R345" i="4"/>
  <c r="R312" i="4"/>
  <c r="R1534" i="4"/>
  <c r="R1008" i="4"/>
  <c r="R1382" i="4"/>
  <c r="R1386" i="4"/>
  <c r="R1220" i="4"/>
  <c r="R1183" i="4"/>
  <c r="R1026" i="4"/>
  <c r="R1174" i="4"/>
  <c r="R1652" i="4"/>
  <c r="R1497" i="4"/>
  <c r="R529" i="4"/>
  <c r="R1440" i="4"/>
  <c r="R1297" i="4"/>
  <c r="R1402" i="4"/>
  <c r="R1235" i="4"/>
  <c r="R1454" i="4"/>
  <c r="R559" i="4"/>
  <c r="R806" i="4"/>
  <c r="R158" i="4"/>
  <c r="R460" i="4"/>
  <c r="R1613" i="4"/>
  <c r="R1257" i="4"/>
  <c r="R91" i="4"/>
  <c r="R1273" i="4"/>
  <c r="R703" i="4"/>
  <c r="R1206" i="4"/>
  <c r="R1199" i="4"/>
  <c r="R1216" i="4"/>
  <c r="R1442" i="4"/>
  <c r="R1305" i="4"/>
  <c r="R1432" i="4"/>
  <c r="R757" i="4"/>
  <c r="R973" i="4"/>
  <c r="R196" i="4"/>
  <c r="R603" i="4"/>
  <c r="R856" i="4"/>
  <c r="R1132" i="4"/>
  <c r="R1631" i="4"/>
  <c r="R1266" i="4"/>
  <c r="R1309" i="4"/>
  <c r="R188" i="4"/>
  <c r="R336" i="4"/>
  <c r="R292" i="4"/>
  <c r="R185" i="4"/>
  <c r="R218" i="4"/>
  <c r="R898" i="4"/>
  <c r="S1065" i="4"/>
  <c r="S927" i="4"/>
  <c r="R606" i="4"/>
  <c r="S1472" i="4"/>
  <c r="S1468" i="4"/>
  <c r="S282" i="4"/>
  <c r="S1461" i="4"/>
  <c r="R717" i="4"/>
  <c r="R474" i="4"/>
  <c r="S52" i="4"/>
  <c r="S1398" i="4"/>
  <c r="R681" i="4"/>
  <c r="R850" i="4"/>
  <c r="R424" i="4"/>
  <c r="R913" i="4"/>
  <c r="S374" i="4"/>
  <c r="R676" i="4"/>
  <c r="R291" i="4"/>
  <c r="R983" i="4"/>
  <c r="R1527" i="4"/>
  <c r="S956" i="4"/>
  <c r="R1373" i="4"/>
  <c r="R1178" i="4"/>
  <c r="R879" i="4"/>
  <c r="R83" i="4"/>
  <c r="S341" i="4"/>
  <c r="S1323" i="4"/>
  <c r="R398" i="4"/>
  <c r="S699" i="4"/>
  <c r="S1157" i="4"/>
  <c r="S5" i="4"/>
  <c r="R904" i="4"/>
  <c r="S1220" i="4"/>
  <c r="R953" i="4"/>
  <c r="R479" i="4"/>
  <c r="R1549" i="4"/>
  <c r="R236" i="4"/>
  <c r="R1376" i="4"/>
  <c r="S450" i="4"/>
  <c r="S496" i="4"/>
  <c r="S682" i="4"/>
  <c r="S1368" i="4"/>
  <c r="S989" i="4"/>
  <c r="S10" i="4"/>
  <c r="S1249" i="4"/>
  <c r="S1316" i="4"/>
  <c r="S608" i="4"/>
  <c r="R449" i="4"/>
  <c r="R401" i="4"/>
  <c r="R789" i="4"/>
  <c r="R213" i="4"/>
  <c r="R175" i="4"/>
  <c r="R1458" i="4"/>
  <c r="S1373" i="4"/>
  <c r="R87" i="4"/>
  <c r="R1317" i="4"/>
  <c r="R700" i="4"/>
  <c r="R633" i="4"/>
  <c r="R1288" i="4"/>
  <c r="R1010" i="4"/>
  <c r="R1584" i="4"/>
  <c r="R655" i="4"/>
  <c r="R1347" i="4"/>
  <c r="R1078" i="4"/>
  <c r="R45" i="4"/>
  <c r="R156" i="4"/>
  <c r="R170" i="4"/>
  <c r="R756" i="4"/>
  <c r="R1213" i="4"/>
  <c r="R490" i="4"/>
  <c r="R765" i="4"/>
  <c r="R831" i="4"/>
  <c r="R727" i="4"/>
  <c r="R967" i="4"/>
  <c r="R592" i="4"/>
  <c r="R1603" i="4"/>
  <c r="R1069" i="4"/>
  <c r="R468" i="4"/>
  <c r="R1389" i="4"/>
  <c r="R1528" i="4"/>
  <c r="S659" i="4"/>
  <c r="R432" i="4"/>
  <c r="S1075" i="4"/>
  <c r="S290" i="4"/>
  <c r="R461" i="4"/>
  <c r="R561" i="4"/>
  <c r="R229" i="4"/>
  <c r="R872" i="4"/>
  <c r="R177" i="4"/>
  <c r="S997" i="4"/>
  <c r="R801" i="4"/>
  <c r="R183" i="4"/>
  <c r="S79" i="4"/>
  <c r="R313" i="4"/>
  <c r="R1164" i="4"/>
  <c r="S811" i="4"/>
  <c r="S939" i="4"/>
  <c r="S776" i="4"/>
  <c r="R1187" i="4"/>
  <c r="S1508" i="4"/>
  <c r="S1497" i="4"/>
  <c r="S477" i="4"/>
  <c r="S1142" i="4"/>
  <c r="S1251" i="4"/>
  <c r="S1342" i="4"/>
  <c r="S1454" i="4"/>
  <c r="S559" i="4"/>
  <c r="S806" i="4"/>
  <c r="S157" i="4"/>
  <c r="R169" i="4"/>
  <c r="R1256" i="4"/>
  <c r="S756" i="4"/>
  <c r="S222" i="4"/>
  <c r="S1200" i="4"/>
  <c r="R504" i="4"/>
  <c r="S1496" i="4"/>
  <c r="S1442" i="4"/>
  <c r="R1057" i="4"/>
  <c r="R901" i="4"/>
  <c r="S967" i="4"/>
  <c r="S1261" i="4"/>
  <c r="S835" i="4"/>
  <c r="R1665" i="4"/>
  <c r="S27" i="4"/>
  <c r="S1309" i="4"/>
  <c r="S174" i="4"/>
  <c r="S560" i="4"/>
  <c r="S295" i="4"/>
  <c r="R217" i="4"/>
  <c r="R4" i="4"/>
  <c r="S277" i="4"/>
  <c r="S205" i="4"/>
  <c r="S352" i="4"/>
  <c r="S263" i="4"/>
  <c r="S1463" i="4"/>
  <c r="S928" i="4"/>
  <c r="S921" i="4"/>
  <c r="S882" i="4"/>
  <c r="S1662" i="4"/>
  <c r="S675" i="4"/>
  <c r="S964" i="4"/>
  <c r="S1654" i="4"/>
  <c r="S1586" i="4"/>
  <c r="S25" i="4"/>
  <c r="S585" i="4"/>
  <c r="S1464" i="4"/>
  <c r="S654" i="4"/>
  <c r="S1430" i="4"/>
  <c r="S1148" i="4"/>
  <c r="S621" i="4"/>
  <c r="S866" i="4"/>
  <c r="S1426" i="4"/>
  <c r="S658" i="4"/>
  <c r="S381" i="4"/>
  <c r="S395" i="4"/>
  <c r="S1114" i="4"/>
  <c r="S1016" i="4"/>
  <c r="S1423" i="4"/>
  <c r="S1238" i="4"/>
  <c r="R1117" i="4"/>
  <c r="S710" i="4"/>
  <c r="R1610" i="4"/>
  <c r="S1366" i="4"/>
  <c r="S1446" i="4"/>
  <c r="S305" i="4"/>
  <c r="R665" i="4"/>
  <c r="R1293" i="4"/>
  <c r="R122" i="4"/>
  <c r="R154" i="4"/>
  <c r="S1365" i="4"/>
  <c r="R286" i="4"/>
  <c r="S154" i="4"/>
  <c r="S424" i="4"/>
  <c r="S176" i="4"/>
  <c r="S1507" i="4"/>
  <c r="S1422" i="4"/>
  <c r="S117" i="4"/>
  <c r="S1062" i="4"/>
  <c r="R899" i="4"/>
  <c r="S1407" i="4"/>
  <c r="S598" i="4"/>
  <c r="R251" i="4"/>
  <c r="R247" i="4"/>
  <c r="R1487" i="4"/>
  <c r="R1145" i="4"/>
  <c r="S194" i="4"/>
  <c r="R869" i="4"/>
  <c r="R1334" i="4"/>
  <c r="R1427" i="4"/>
  <c r="R777" i="4"/>
  <c r="R1492" i="4"/>
  <c r="R988" i="4"/>
  <c r="R1250" i="4"/>
  <c r="R1286" i="4"/>
  <c r="R1032" i="4"/>
  <c r="R1531" i="4"/>
  <c r="R893" i="4"/>
  <c r="R223" i="4"/>
  <c r="R1201" i="4"/>
  <c r="R1496" i="4"/>
  <c r="R802" i="4"/>
  <c r="R1640" i="4"/>
  <c r="R1380" i="4"/>
  <c r="R1038" i="4"/>
  <c r="R455" i="4"/>
  <c r="R27" i="4"/>
  <c r="R538" i="4"/>
  <c r="R459" i="4"/>
  <c r="R1599" i="4"/>
  <c r="R201" i="4"/>
  <c r="S755" i="4"/>
  <c r="S941" i="4"/>
  <c r="S1412" i="4"/>
  <c r="S494" i="4"/>
  <c r="S436" i="4"/>
  <c r="S150" i="4"/>
  <c r="R327" i="4"/>
  <c r="R142" i="4"/>
  <c r="S167" i="4"/>
  <c r="R1018" i="4"/>
  <c r="R1096" i="4"/>
  <c r="S86" i="4"/>
  <c r="R1316" i="4"/>
  <c r="S1534" i="4"/>
  <c r="R823" i="4"/>
  <c r="R1184" i="4"/>
  <c r="S1005" i="4"/>
  <c r="R1506" i="4"/>
  <c r="R1499" i="4"/>
  <c r="S992" i="4"/>
  <c r="R363" i="4"/>
  <c r="S1570" i="4"/>
  <c r="S1591" i="4"/>
  <c r="R1455" i="4"/>
  <c r="R47" i="4"/>
  <c r="R808" i="4"/>
  <c r="S1339" i="4"/>
  <c r="S88" i="4"/>
  <c r="R221" i="4"/>
  <c r="S1206" i="4"/>
  <c r="S1203" i="4"/>
  <c r="R1415" i="4"/>
  <c r="S166" i="4"/>
  <c r="S565" i="4"/>
  <c r="S1259" i="4"/>
  <c r="R1340" i="4"/>
  <c r="S358" i="4"/>
  <c r="S1132" i="4"/>
  <c r="S348" i="4"/>
  <c r="R1303" i="4"/>
  <c r="R269" i="4"/>
  <c r="R179" i="4"/>
  <c r="S1389" i="4"/>
  <c r="S186" i="4"/>
  <c r="S896" i="4"/>
  <c r="S274" i="4"/>
  <c r="S164" i="4"/>
  <c r="S542" i="4"/>
  <c r="S268" i="4"/>
  <c r="S1576" i="4"/>
  <c r="S1469" i="4"/>
  <c r="S961" i="4"/>
  <c r="S1292" i="4"/>
  <c r="S264" i="4"/>
  <c r="S1059" i="4"/>
  <c r="S1278" i="4"/>
  <c r="S876" i="4"/>
  <c r="S1637" i="4"/>
  <c r="S539" i="4"/>
  <c r="S457" i="4"/>
  <c r="S741" i="4"/>
  <c r="S382" i="4"/>
  <c r="S413" i="4"/>
  <c r="S1098" i="4"/>
  <c r="S428" i="4"/>
  <c r="S418" i="4"/>
  <c r="S1622" i="4"/>
  <c r="S671" i="4"/>
  <c r="S589" i="4"/>
  <c r="S527" i="4"/>
  <c r="S1522" i="4"/>
  <c r="S581" i="4"/>
  <c r="S3" i="4"/>
  <c r="R486" i="4"/>
  <c r="S1561" i="4"/>
  <c r="R399" i="4"/>
  <c r="S432" i="4"/>
  <c r="S759" i="4"/>
  <c r="S1100" i="4"/>
  <c r="R1634" i="4"/>
  <c r="S799" i="4"/>
  <c r="R1219" i="4"/>
  <c r="S324" i="4"/>
  <c r="R496" i="4"/>
  <c r="S461" i="4"/>
  <c r="S53" i="4"/>
  <c r="R1055" i="4"/>
  <c r="R487" i="4"/>
  <c r="R649" i="4"/>
  <c r="S1105" i="4"/>
  <c r="S1081" i="4"/>
  <c r="S327" i="4"/>
  <c r="R1368" i="4"/>
  <c r="R208" i="4"/>
  <c r="R535" i="4"/>
  <c r="R725" i="4"/>
  <c r="R1262" i="4"/>
  <c r="R985" i="4"/>
  <c r="S1458" i="4"/>
  <c r="S1018" i="4"/>
  <c r="S801" i="4"/>
  <c r="R1042" i="4"/>
  <c r="R1151" i="4"/>
  <c r="R1439" i="4"/>
  <c r="R63" i="4"/>
  <c r="R84" i="4"/>
  <c r="R333" i="4"/>
  <c r="S1317" i="4"/>
  <c r="S313" i="4"/>
  <c r="S398" i="4"/>
  <c r="S700" i="4"/>
  <c r="R1155" i="4"/>
  <c r="S1337" i="4"/>
  <c r="S633" i="4"/>
  <c r="R902" i="4"/>
  <c r="S823" i="4"/>
  <c r="S1288" i="4"/>
  <c r="R1177" i="4"/>
  <c r="S1009" i="4"/>
  <c r="S1010" i="4"/>
  <c r="S1506" i="4"/>
  <c r="S1584" i="4"/>
  <c r="R1477" i="4"/>
  <c r="S984" i="4"/>
  <c r="S655" i="4"/>
  <c r="R605" i="4"/>
  <c r="S1243" i="4"/>
  <c r="S1347" i="4"/>
  <c r="R1403" i="4"/>
  <c r="S1078" i="4"/>
  <c r="R43" i="4"/>
  <c r="S1378" i="4"/>
  <c r="R46" i="4"/>
  <c r="S163" i="4"/>
  <c r="S156" i="4"/>
  <c r="S1025" i="4"/>
  <c r="S891" i="4"/>
  <c r="R1326" i="4"/>
  <c r="S221" i="4"/>
  <c r="S1213" i="4"/>
  <c r="R1208" i="4"/>
  <c r="S504" i="4"/>
  <c r="S1212" i="4"/>
  <c r="R769" i="4"/>
  <c r="S1298" i="4"/>
  <c r="S831" i="4"/>
  <c r="R1503" i="4"/>
  <c r="S34" i="4"/>
  <c r="S952" i="4"/>
  <c r="R968" i="4"/>
  <c r="S1340" i="4"/>
  <c r="S592" i="4"/>
  <c r="R1244" i="4"/>
  <c r="S1665" i="4"/>
  <c r="S505" i="4"/>
  <c r="R1237" i="4"/>
  <c r="S1070" i="4"/>
  <c r="S468" i="4"/>
  <c r="S350" i="4"/>
  <c r="R601" i="4"/>
  <c r="S1138" i="4"/>
  <c r="S396" i="4"/>
  <c r="R470" i="4"/>
  <c r="S197" i="4"/>
  <c r="R276" i="4"/>
  <c r="R165" i="4"/>
  <c r="R207" i="4"/>
  <c r="R338" i="4"/>
  <c r="R584" i="4"/>
  <c r="R677" i="4"/>
  <c r="R39" i="4"/>
  <c r="R1360" i="4"/>
  <c r="R1221" i="4"/>
  <c r="R1079" i="4"/>
  <c r="R887" i="4"/>
  <c r="R1058" i="4"/>
  <c r="R817" i="4"/>
  <c r="R1116" i="4"/>
  <c r="R980" i="4"/>
  <c r="R1090" i="4"/>
  <c r="R1234" i="4"/>
  <c r="R265" i="4"/>
  <c r="R1663" i="4"/>
  <c r="R724" i="4"/>
  <c r="R361" i="4"/>
  <c r="R1545" i="4"/>
  <c r="R732" i="4"/>
  <c r="R865" i="4"/>
  <c r="R160" i="4"/>
  <c r="R451" i="4"/>
  <c r="R380" i="4"/>
  <c r="R1655" i="4"/>
  <c r="R636" i="4"/>
  <c r="R1650" i="4"/>
  <c r="R510" i="4"/>
  <c r="R878" i="4"/>
  <c r="S1376" i="4"/>
  <c r="S859" i="4"/>
  <c r="S1129" i="4"/>
  <c r="R1076" i="4"/>
  <c r="R1406" i="4"/>
  <c r="R729" i="4"/>
  <c r="S474" i="4"/>
  <c r="S1101" i="4"/>
  <c r="S1042" i="4"/>
  <c r="S1318" i="4"/>
  <c r="S1214" i="4"/>
  <c r="R1088" i="4"/>
  <c r="S215" i="4"/>
  <c r="R409" i="4"/>
  <c r="S1319" i="4"/>
  <c r="R811" i="4"/>
  <c r="R1176" i="4"/>
  <c r="R1541" i="4"/>
  <c r="R437" i="4"/>
  <c r="R854" i="4"/>
  <c r="R1264" i="4"/>
  <c r="R1479" i="4"/>
  <c r="R833" i="4"/>
  <c r="R855" i="4"/>
  <c r="R271" i="4"/>
  <c r="R469" i="4"/>
  <c r="S1045" i="4"/>
  <c r="R549" i="4"/>
  <c r="R159" i="4"/>
  <c r="R425" i="4"/>
  <c r="S691" i="4"/>
  <c r="S481" i="4"/>
  <c r="R1418" i="4"/>
  <c r="R1474" i="4"/>
  <c r="S1542" i="4"/>
  <c r="S1652" i="4"/>
  <c r="S1541" i="4"/>
  <c r="S1402" i="4"/>
  <c r="R163" i="4"/>
  <c r="S1613" i="4"/>
  <c r="R1331" i="4"/>
  <c r="S704" i="4"/>
  <c r="S770" i="4"/>
  <c r="S833" i="4"/>
  <c r="S873" i="4"/>
  <c r="R602" i="4"/>
  <c r="S1196" i="4"/>
  <c r="R1070" i="4"/>
  <c r="R950" i="4"/>
  <c r="S173" i="4"/>
  <c r="S278" i="4"/>
  <c r="S355" i="4"/>
  <c r="S408" i="4"/>
  <c r="S1087" i="4"/>
  <c r="S863" i="4"/>
  <c r="S575" i="4"/>
  <c r="S623" i="4"/>
  <c r="S820" i="4"/>
  <c r="S915" i="4"/>
  <c r="S1609" i="4"/>
  <c r="S914" i="4"/>
  <c r="S1313" i="4"/>
  <c r="S1048" i="4"/>
  <c r="S1436" i="4"/>
  <c r="R1401" i="4"/>
  <c r="R664" i="4"/>
  <c r="S1620" i="4"/>
  <c r="S285" i="4"/>
  <c r="S841" i="4"/>
  <c r="R2" i="4"/>
  <c r="S669" i="4"/>
  <c r="S1134" i="4"/>
  <c r="R1226" i="4"/>
  <c r="R682" i="4"/>
  <c r="S250" i="4"/>
  <c r="R889" i="4"/>
  <c r="R818" i="4"/>
  <c r="R751" i="4"/>
  <c r="R890" i="4"/>
  <c r="S291" i="4"/>
  <c r="S991" i="4"/>
  <c r="R306" i="4"/>
  <c r="R918" i="4"/>
  <c r="R826" i="4"/>
  <c r="S1178" i="4"/>
  <c r="S879" i="4"/>
  <c r="S78" i="4"/>
  <c r="R343" i="4"/>
  <c r="R1324" i="4"/>
  <c r="R1158" i="4"/>
  <c r="S38" i="4"/>
  <c r="S1022" i="4"/>
  <c r="S904" i="4"/>
  <c r="R1111" i="4"/>
  <c r="S1166" i="4"/>
  <c r="S1023" i="4"/>
  <c r="S1187" i="4"/>
  <c r="R1473" i="4"/>
  <c r="R662" i="4"/>
  <c r="S996" i="4"/>
  <c r="S1225" i="4"/>
  <c r="S363" i="4"/>
  <c r="R911" i="4"/>
  <c r="S853" i="4"/>
  <c r="S1338" i="4"/>
  <c r="S1455" i="4"/>
  <c r="S553" i="4"/>
  <c r="S47" i="4"/>
  <c r="R1533" i="4"/>
  <c r="S460" i="4"/>
  <c r="S1343" i="4"/>
  <c r="S70" i="4"/>
  <c r="R1314" i="4"/>
  <c r="S1210" i="4"/>
  <c r="S1211" i="4"/>
  <c r="S1415" i="4"/>
  <c r="R42" i="4"/>
  <c r="S1305" i="4"/>
  <c r="S366" i="4"/>
  <c r="S969" i="4"/>
  <c r="R1260" i="4"/>
  <c r="R359" i="4"/>
  <c r="S1341" i="4"/>
  <c r="S663" i="4"/>
  <c r="S1303" i="4"/>
  <c r="R429" i="4"/>
  <c r="S335" i="4"/>
  <c r="S950" i="4"/>
  <c r="R181" i="4"/>
  <c r="S397" i="4"/>
  <c r="R272" i="4"/>
  <c r="R60" i="4"/>
  <c r="R114" i="4"/>
  <c r="R1374" i="4"/>
  <c r="R1269" i="4"/>
  <c r="R1544" i="4"/>
  <c r="R1571" i="4"/>
  <c r="R1375" i="4"/>
  <c r="R35" i="4"/>
  <c r="R1104" i="4"/>
  <c r="R1555" i="4"/>
  <c r="R747" i="4"/>
  <c r="R464" i="4"/>
  <c r="R1550" i="4"/>
  <c r="R864" i="4"/>
  <c r="R1125" i="4"/>
  <c r="R1066" i="4"/>
  <c r="R821" i="4"/>
  <c r="R1279" i="4"/>
  <c r="R1215" i="4"/>
  <c r="R8" i="4"/>
  <c r="R137" i="4"/>
  <c r="R1416" i="4"/>
  <c r="R730" i="4"/>
  <c r="R884" i="4"/>
  <c r="S521" i="4"/>
  <c r="S1350" i="4"/>
  <c r="S283" i="4"/>
  <c r="R498" i="4"/>
  <c r="R628" i="4"/>
  <c r="R626" i="4"/>
  <c r="R1664" i="4"/>
  <c r="S329" i="4"/>
  <c r="R712" i="4"/>
  <c r="R726" i="4"/>
  <c r="R997" i="4"/>
  <c r="S394" i="4"/>
  <c r="S18" i="4"/>
  <c r="R69" i="4"/>
  <c r="R79" i="4"/>
  <c r="R1319" i="4"/>
  <c r="R698" i="4"/>
  <c r="S1156" i="4"/>
  <c r="S7" i="4"/>
  <c r="R822" i="4"/>
  <c r="S1188" i="4"/>
  <c r="S1053" i="4"/>
  <c r="R1508" i="4"/>
  <c r="S144" i="4"/>
  <c r="S1540" i="4"/>
  <c r="R1294" i="4"/>
  <c r="S1645" i="4"/>
  <c r="S1562" i="4"/>
  <c r="S161" i="4"/>
  <c r="S127" i="4"/>
  <c r="R303" i="4"/>
  <c r="S599" i="4"/>
  <c r="S130" i="4"/>
  <c r="R1203" i="4"/>
  <c r="S1444" i="4"/>
  <c r="S420" i="4"/>
  <c r="R873" i="4"/>
  <c r="S1616" i="4"/>
  <c r="S753" i="4"/>
  <c r="R348" i="4"/>
  <c r="S1307" i="4"/>
  <c r="S483" i="4"/>
  <c r="R184" i="4"/>
  <c r="R274" i="4"/>
  <c r="R260" i="4"/>
  <c r="R268" i="4"/>
  <c r="R408" i="4"/>
  <c r="R961" i="4"/>
  <c r="R1141" i="4"/>
  <c r="R1059" i="4"/>
  <c r="R575" i="4"/>
  <c r="R1586" i="4"/>
  <c r="R585" i="4"/>
  <c r="R654" i="4"/>
  <c r="R1148" i="4"/>
  <c r="R866" i="4"/>
  <c r="R658" i="4"/>
  <c r="R395" i="4"/>
  <c r="R1016" i="4"/>
  <c r="S925" i="4"/>
  <c r="S912" i="4"/>
  <c r="S750" i="4"/>
  <c r="S254" i="4"/>
  <c r="S2" i="4"/>
  <c r="S938" i="4"/>
  <c r="R978" i="4"/>
  <c r="S1569" i="4"/>
  <c r="R211" i="4"/>
  <c r="R647" i="4"/>
  <c r="R947" i="4"/>
  <c r="S995" i="4"/>
  <c r="S306" i="4"/>
  <c r="R134" i="4"/>
  <c r="R1153" i="4"/>
  <c r="R81" i="4"/>
  <c r="S343" i="4"/>
  <c r="R851" i="4"/>
  <c r="S1158" i="4"/>
  <c r="R962" i="4"/>
  <c r="S905" i="4"/>
  <c r="S686" i="4"/>
  <c r="R1428" i="4"/>
  <c r="S1513" i="4"/>
  <c r="S662" i="4"/>
  <c r="R1002" i="4"/>
  <c r="S1605" i="4"/>
  <c r="S198" i="4"/>
  <c r="R1283" i="4"/>
  <c r="S788" i="4"/>
  <c r="S46" i="4"/>
  <c r="R488" i="4"/>
  <c r="S170" i="4"/>
  <c r="S1326" i="4"/>
  <c r="S490" i="4"/>
  <c r="S769" i="4"/>
  <c r="R832" i="4"/>
  <c r="R155" i="4"/>
  <c r="R435" i="4"/>
  <c r="R842" i="4"/>
  <c r="S102" i="4"/>
  <c r="S787" i="4"/>
  <c r="S107" i="4"/>
  <c r="S365" i="4"/>
  <c r="R316" i="4"/>
  <c r="S1102" i="4"/>
  <c r="R917" i="4"/>
  <c r="S76" i="4"/>
  <c r="R38" i="4"/>
  <c r="R778" i="4"/>
  <c r="R996" i="4"/>
  <c r="R1583" i="4"/>
  <c r="R48" i="4"/>
  <c r="R891" i="4"/>
  <c r="R704" i="4"/>
  <c r="R616" i="4"/>
  <c r="R952" i="4"/>
  <c r="R754" i="4"/>
  <c r="R1071" i="4"/>
  <c r="R331" i="4"/>
  <c r="S849" i="4"/>
  <c r="S814" i="4"/>
  <c r="S482" i="4"/>
  <c r="S212" i="4"/>
  <c r="R1329" i="4"/>
  <c r="R410" i="4"/>
  <c r="S345" i="4"/>
  <c r="R1337" i="4"/>
  <c r="S1183" i="4"/>
  <c r="R984" i="4"/>
  <c r="S1297" i="4"/>
  <c r="S1077" i="4"/>
  <c r="S1573" i="4"/>
  <c r="S893" i="4"/>
  <c r="S1618" i="4"/>
  <c r="R1211" i="4"/>
  <c r="S1501" i="4"/>
  <c r="R34" i="4"/>
  <c r="S196" i="4"/>
  <c r="R1606" i="4"/>
  <c r="S1069" i="4"/>
  <c r="S336" i="4"/>
  <c r="R182" i="4"/>
  <c r="S204" i="4"/>
  <c r="S615" i="4"/>
  <c r="S1459" i="4"/>
  <c r="S249" i="4"/>
  <c r="S1106" i="4"/>
  <c r="S1092" i="4"/>
  <c r="S763" i="4"/>
  <c r="S391" i="4"/>
  <c r="S737" i="4"/>
  <c r="S1232" i="4"/>
  <c r="S266" i="4"/>
  <c r="S722" i="4"/>
  <c r="S721" i="4"/>
  <c r="S485" i="4"/>
  <c r="S438" i="4"/>
  <c r="R1369" i="4"/>
  <c r="S369" i="4"/>
  <c r="S1115" i="4"/>
  <c r="R500" i="4"/>
  <c r="R322" i="4"/>
  <c r="S148" i="4"/>
  <c r="S316" i="4"/>
  <c r="R433" i="4"/>
  <c r="R128" i="4"/>
  <c r="R1566" i="4"/>
  <c r="R102" i="4"/>
  <c r="S1639" i="4"/>
  <c r="R1102" i="4"/>
  <c r="R637" i="4"/>
  <c r="R192" i="4"/>
  <c r="R989" i="4"/>
  <c r="S772" i="4"/>
  <c r="R945" i="4"/>
  <c r="R1409" i="4"/>
  <c r="R12" i="4"/>
  <c r="R71" i="4"/>
  <c r="S58" i="4"/>
  <c r="S444" i="4"/>
  <c r="R1321" i="4"/>
  <c r="S293" i="4"/>
  <c r="S694" i="4"/>
  <c r="S1160" i="4"/>
  <c r="R1520" i="4"/>
  <c r="S1384" i="4"/>
  <c r="S1301" i="4"/>
  <c r="S1185" i="4"/>
  <c r="R1029" i="4"/>
  <c r="R1154" i="4"/>
  <c r="S723" i="4"/>
  <c r="S1491" i="4"/>
  <c r="S960" i="4"/>
  <c r="R998" i="4"/>
  <c r="S1648" i="4"/>
  <c r="S1276" i="4"/>
  <c r="S1397" i="4"/>
  <c r="R1348" i="4"/>
  <c r="R447" i="4"/>
  <c r="S45" i="4"/>
  <c r="S1531" i="4"/>
  <c r="S1568" i="4"/>
  <c r="R1614" i="4"/>
  <c r="R1390" i="4"/>
  <c r="S1304" i="4"/>
  <c r="S1198" i="4"/>
  <c r="R1139" i="4"/>
  <c r="S1216" i="4"/>
  <c r="S802" i="4"/>
  <c r="S518" i="4"/>
  <c r="R668" i="4"/>
  <c r="R421" i="4"/>
  <c r="S970" i="4"/>
  <c r="S602" i="4"/>
  <c r="S1606" i="4"/>
  <c r="R118" i="4"/>
  <c r="S1266" i="4"/>
  <c r="S538" i="4"/>
  <c r="R66" i="4"/>
  <c r="S214" i="4"/>
  <c r="S180" i="4"/>
  <c r="S217" i="4"/>
  <c r="S4" i="4"/>
  <c r="R279" i="4"/>
  <c r="R206" i="4"/>
  <c r="R337" i="4"/>
  <c r="R1597" i="4"/>
  <c r="R1419" i="4"/>
  <c r="R1089" i="4"/>
  <c r="R1355" i="4"/>
  <c r="R1222" i="4"/>
  <c r="R1282" i="4"/>
  <c r="R544" i="4"/>
  <c r="R1617" i="4"/>
  <c r="R1136" i="4"/>
  <c r="R614" i="4"/>
  <c r="R1466" i="4"/>
  <c r="R610" i="4"/>
  <c r="R567" i="4"/>
  <c r="R883" i="4"/>
  <c r="R400" i="4"/>
  <c r="R749" i="4"/>
  <c r="R709" i="4"/>
  <c r="R121" i="4"/>
  <c r="R673" i="4"/>
  <c r="R923" i="4"/>
  <c r="S907" i="4"/>
  <c r="S1117" i="4"/>
  <c r="R666" i="4"/>
  <c r="R1468" i="4"/>
  <c r="S502" i="4"/>
  <c r="S1353" i="4"/>
  <c r="S422" i="4"/>
  <c r="S908" i="4"/>
  <c r="R1452" i="4"/>
  <c r="R1093" i="4"/>
  <c r="R857" i="4"/>
  <c r="S175" i="4"/>
  <c r="S1486" i="4"/>
  <c r="R780" i="4"/>
  <c r="R26" i="4"/>
  <c r="R194" i="4"/>
  <c r="S64" i="4"/>
  <c r="R138" i="4"/>
  <c r="R1159" i="4"/>
  <c r="S1521" i="4"/>
  <c r="S1524" i="4"/>
  <c r="R1181" i="4"/>
  <c r="S1007" i="4"/>
  <c r="S1493" i="4"/>
  <c r="R1483" i="4"/>
  <c r="S1575" i="4"/>
  <c r="S1295" i="4"/>
  <c r="R688" i="4"/>
  <c r="S1108" i="4"/>
  <c r="S786" i="4"/>
  <c r="R1037" i="4"/>
  <c r="S1567" i="4"/>
  <c r="S1252" i="4"/>
  <c r="R1275" i="4"/>
  <c r="S1194" i="4"/>
  <c r="R1448" i="4"/>
  <c r="S517" i="4"/>
  <c r="S367" i="4"/>
  <c r="R971" i="4"/>
  <c r="S248" i="4"/>
  <c r="S1197" i="4"/>
  <c r="R1263" i="4"/>
  <c r="R349" i="4"/>
  <c r="S284" i="4"/>
  <c r="S898" i="4"/>
  <c r="R205" i="4"/>
  <c r="R339" i="4"/>
  <c r="R1576" i="4"/>
  <c r="R566" i="4"/>
  <c r="R1292" i="4"/>
  <c r="R863" i="4"/>
  <c r="R1278" i="4"/>
  <c r="R763" i="4"/>
  <c r="R391" i="4"/>
  <c r="R737" i="4"/>
  <c r="R1232" i="4"/>
  <c r="R266" i="4"/>
  <c r="R722" i="4"/>
  <c r="R721" i="4"/>
  <c r="R485" i="4"/>
  <c r="S878" i="4"/>
  <c r="S629" i="4"/>
  <c r="S439" i="4"/>
  <c r="R548" i="4"/>
  <c r="S325" i="4"/>
  <c r="S613" i="4"/>
  <c r="S434" i="4"/>
  <c r="R387" i="4"/>
  <c r="R103" i="4"/>
  <c r="S388" i="4"/>
  <c r="S637" i="4"/>
  <c r="R1270" i="4"/>
  <c r="R774" i="4"/>
  <c r="R1490" i="4"/>
  <c r="S12" i="4"/>
  <c r="R1249" i="4"/>
  <c r="R162" i="4"/>
  <c r="R1280" i="4"/>
  <c r="S695" i="4"/>
  <c r="S1335" i="4"/>
  <c r="R1385" i="4"/>
  <c r="S108" i="4"/>
  <c r="S1029" i="4"/>
  <c r="R1593" i="4"/>
  <c r="S1233" i="4"/>
  <c r="S986" i="4"/>
  <c r="R1649" i="4"/>
  <c r="S1346" i="4"/>
  <c r="S1348" i="4"/>
  <c r="R1438" i="4"/>
  <c r="S1033" i="4"/>
  <c r="S1533" i="4"/>
  <c r="R1612" i="4"/>
  <c r="S1082" i="4"/>
  <c r="R1204" i="4"/>
  <c r="S767" i="4"/>
  <c r="S42" i="4"/>
  <c r="R235" i="4"/>
  <c r="S587" i="4"/>
  <c r="S1425" i="4"/>
  <c r="R1130" i="4"/>
  <c r="S506" i="4"/>
  <c r="S429" i="4"/>
  <c r="R281" i="4"/>
  <c r="S1528" i="4"/>
  <c r="R203" i="4"/>
  <c r="S351" i="4"/>
  <c r="S1597" i="4"/>
  <c r="S379" i="4"/>
  <c r="S1355" i="4"/>
  <c r="S383" i="4"/>
  <c r="S544" i="4"/>
  <c r="S1574" i="4"/>
  <c r="S614" i="4"/>
  <c r="S689" i="4"/>
  <c r="S567" i="4"/>
  <c r="S744" i="4"/>
  <c r="S749" i="4"/>
  <c r="S648" i="4"/>
  <c r="S673" i="4"/>
  <c r="S149" i="4"/>
  <c r="S1245" i="4"/>
  <c r="S874" i="4"/>
  <c r="S1465" i="4"/>
  <c r="S555" i="4"/>
  <c r="S1107" i="4"/>
  <c r="S257" i="4"/>
  <c r="R680" i="4"/>
  <c r="R1021" i="4"/>
  <c r="R233" i="4"/>
  <c r="S141" i="4"/>
  <c r="R55" i="4"/>
  <c r="R1242" i="4"/>
  <c r="R956" i="4"/>
  <c r="S1462" i="4"/>
  <c r="S89" i="4"/>
  <c r="R107" i="4"/>
  <c r="S1280" i="4"/>
  <c r="R1332" i="4"/>
  <c r="S962" i="4"/>
  <c r="S1165" i="4"/>
  <c r="R477" i="4"/>
  <c r="S1039" i="4"/>
  <c r="S488" i="4"/>
  <c r="S1274" i="4"/>
  <c r="S1193" i="4"/>
  <c r="R1501" i="4"/>
  <c r="R1259" i="4"/>
  <c r="S1130" i="4"/>
  <c r="S1519" i="4"/>
  <c r="R6" i="4"/>
  <c r="R615" i="4"/>
  <c r="R590" i="4"/>
  <c r="R516" i="4"/>
  <c r="R843" i="4"/>
  <c r="R999" i="4"/>
  <c r="S1409" i="4"/>
  <c r="R80" i="4"/>
  <c r="S1505" i="4"/>
  <c r="R7" i="4"/>
  <c r="S1177" i="4"/>
  <c r="S954" i="4"/>
  <c r="S1659" i="4"/>
  <c r="R1345" i="4"/>
  <c r="S556" i="4"/>
  <c r="S1476" i="4"/>
  <c r="S1640" i="4"/>
  <c r="R643" i="4"/>
  <c r="S28" i="4"/>
  <c r="S292" i="4"/>
  <c r="S207" i="4"/>
  <c r="S39" i="4"/>
  <c r="S887" i="4"/>
  <c r="S1116" i="4"/>
  <c r="S634" i="4"/>
  <c r="R776" i="4"/>
  <c r="R1510" i="4"/>
  <c r="S1192" i="4"/>
  <c r="R1591" i="4"/>
  <c r="S1379" i="4"/>
  <c r="S1612" i="4"/>
  <c r="S1290" i="4"/>
  <c r="R565" i="4"/>
  <c r="S948" i="4"/>
  <c r="S1306" i="4"/>
  <c r="S281" i="4"/>
  <c r="R204" i="4"/>
  <c r="R837" i="4"/>
  <c r="R882" i="4"/>
  <c r="R819" i="4"/>
  <c r="R964" i="4"/>
  <c r="R1637" i="4"/>
  <c r="R457" i="4"/>
  <c r="R382" i="4"/>
  <c r="R1098" i="4"/>
  <c r="R418" i="4"/>
  <c r="R671" i="4"/>
  <c r="R527" i="4"/>
  <c r="R581" i="4"/>
  <c r="S1560" i="4"/>
  <c r="S644" i="4"/>
  <c r="R406" i="4"/>
  <c r="R513" i="4"/>
  <c r="S711" i="4"/>
  <c r="R810" i="4"/>
  <c r="S1055" i="4"/>
  <c r="R145" i="4"/>
  <c r="S1642" i="4"/>
  <c r="R719" i="4"/>
  <c r="R1495" i="4"/>
  <c r="R95" i="4"/>
  <c r="S84" i="4"/>
  <c r="S701" i="4"/>
  <c r="S1383" i="4"/>
  <c r="R768" i="4"/>
  <c r="S458" i="4"/>
  <c r="R1540" i="4"/>
  <c r="S1403" i="4"/>
  <c r="R127" i="4"/>
  <c r="S1314" i="4"/>
  <c r="S1199" i="4"/>
  <c r="R420" i="4"/>
  <c r="S1260" i="4"/>
  <c r="S1631" i="4"/>
  <c r="R200" i="4"/>
  <c r="R894" i="4"/>
  <c r="S171" i="4"/>
  <c r="S1419" i="4"/>
  <c r="S1222" i="4"/>
  <c r="S980" i="4"/>
  <c r="S1234" i="4"/>
  <c r="S1663" i="4"/>
  <c r="S361" i="4"/>
  <c r="S732" i="4"/>
  <c r="S137" i="4"/>
  <c r="S380" i="4"/>
  <c r="S1655" i="4"/>
  <c r="S160" i="4"/>
  <c r="R1404" i="4"/>
  <c r="S1554" i="4"/>
  <c r="S619" i="4"/>
  <c r="S541" i="4"/>
  <c r="S1547" i="4"/>
  <c r="S37" i="4"/>
  <c r="S385" i="4"/>
  <c r="S1635" i="4"/>
  <c r="S22" i="4"/>
  <c r="S300" i="4"/>
  <c r="S111" i="4"/>
  <c r="S9" i="4"/>
  <c r="S1467" i="4"/>
  <c r="S1014" i="4"/>
  <c r="S56" i="4"/>
  <c r="S534" i="4"/>
  <c r="S1523" i="4"/>
  <c r="S582" i="4"/>
  <c r="S465" i="4"/>
  <c r="S1357" i="4"/>
  <c r="S1061" i="4"/>
  <c r="S446" i="4"/>
  <c r="S1632" i="4"/>
  <c r="S245" i="4"/>
  <c r="S376" i="4"/>
  <c r="R1626" i="4"/>
  <c r="S1610" i="4"/>
  <c r="S890" i="4"/>
  <c r="S851" i="4"/>
  <c r="S1377" i="4"/>
  <c r="R187" i="4"/>
  <c r="R1421" i="4"/>
  <c r="R1246" i="4"/>
  <c r="R1212" i="4"/>
  <c r="R1445" i="4"/>
  <c r="R508" i="4"/>
  <c r="R1366" i="4"/>
  <c r="R620" i="4"/>
  <c r="S1027" i="4"/>
  <c r="S698" i="4"/>
  <c r="S1026" i="4"/>
  <c r="R1587" i="4"/>
  <c r="R553" i="4"/>
  <c r="R1025" i="4"/>
  <c r="R1198" i="4"/>
  <c r="S604" i="4"/>
  <c r="S1072" i="4"/>
  <c r="R895" i="4"/>
  <c r="S339" i="4"/>
  <c r="S579" i="4"/>
  <c r="S463" i="4"/>
  <c r="S1083" i="4"/>
  <c r="S642" i="4"/>
  <c r="S1394" i="4"/>
  <c r="S735" i="4"/>
  <c r="S830" i="4"/>
  <c r="R557" i="4"/>
  <c r="S415" i="4"/>
  <c r="S520" i="4"/>
  <c r="S532" i="4"/>
  <c r="R1642" i="4"/>
  <c r="S714" i="4"/>
  <c r="S1265" i="4"/>
  <c r="R781" i="4"/>
  <c r="S410" i="4"/>
  <c r="R90" i="4"/>
  <c r="R346" i="4"/>
  <c r="S696" i="4"/>
  <c r="R1335" i="4"/>
  <c r="S1421" i="4"/>
  <c r="S1184" i="4"/>
  <c r="S1152" i="4"/>
  <c r="S1499" i="4"/>
  <c r="R1449" i="4"/>
  <c r="S1630" i="4"/>
  <c r="R1289" i="4"/>
  <c r="R556" i="4"/>
  <c r="S808" i="4"/>
  <c r="R1254" i="4"/>
  <c r="S223" i="4"/>
  <c r="R1202" i="4"/>
  <c r="S1441" i="4"/>
  <c r="S1057" i="4"/>
  <c r="S973" i="4"/>
  <c r="S41" i="4"/>
  <c r="R28" i="4"/>
  <c r="S269" i="4"/>
  <c r="S1315" i="4"/>
  <c r="S895" i="4"/>
  <c r="R62" i="4"/>
  <c r="R390" i="4"/>
  <c r="R379" i="4"/>
  <c r="R1435" i="4"/>
  <c r="R1434" i="4"/>
  <c r="R1574" i="4"/>
  <c r="R241" i="4"/>
  <c r="R1470" i="4"/>
  <c r="R744" i="4"/>
  <c r="R809" i="4"/>
  <c r="R536" i="4"/>
  <c r="R149" i="4"/>
  <c r="S678" i="4"/>
  <c r="R417" i="4"/>
  <c r="R258" i="4"/>
  <c r="S683" i="4"/>
  <c r="R661" i="4"/>
  <c r="S1302" i="4"/>
  <c r="R919" i="4"/>
  <c r="S909" i="4"/>
  <c r="R310" i="4"/>
  <c r="S1333" i="4"/>
  <c r="S1112" i="4"/>
  <c r="R1172" i="4"/>
  <c r="S1191" i="4"/>
  <c r="S1629" i="4"/>
  <c r="R1451" i="4"/>
  <c r="S49" i="4"/>
  <c r="S93" i="4"/>
  <c r="R1209" i="4"/>
  <c r="S1658" i="4"/>
  <c r="S1621" i="4"/>
  <c r="R309" i="4"/>
  <c r="S218" i="4"/>
  <c r="R542" i="4"/>
  <c r="R1420" i="4"/>
  <c r="R1106" i="4"/>
  <c r="R463" i="4"/>
  <c r="R1083" i="4"/>
  <c r="R642" i="4"/>
  <c r="R1394" i="4"/>
  <c r="R735" i="4"/>
  <c r="S899" i="4"/>
  <c r="S842" i="4"/>
  <c r="R598" i="4"/>
  <c r="R253" i="4"/>
  <c r="S751" i="4"/>
  <c r="R993" i="4"/>
  <c r="S44" i="4"/>
  <c r="R74" i="4"/>
  <c r="S632" i="4"/>
  <c r="R1165" i="4"/>
  <c r="S1473" i="4"/>
  <c r="S126" i="4"/>
  <c r="R1039" i="4"/>
  <c r="S1607" i="4"/>
  <c r="R1239" i="4"/>
  <c r="S1139" i="4"/>
  <c r="S834" i="4"/>
  <c r="R708" i="4"/>
  <c r="R948" i="4"/>
  <c r="S118" i="4"/>
  <c r="S1071" i="4"/>
  <c r="S924" i="4"/>
  <c r="S36" i="4"/>
  <c r="S206" i="4"/>
  <c r="S1097" i="4"/>
  <c r="S1544" i="4"/>
  <c r="S1375" i="4"/>
  <c r="S1128" i="4"/>
  <c r="S747" i="4"/>
  <c r="S1550" i="4"/>
  <c r="S1590" i="4"/>
  <c r="S821" i="4"/>
  <c r="S1215" i="4"/>
  <c r="S318" i="4"/>
  <c r="S1031" i="4"/>
  <c r="R1472" i="4"/>
  <c r="S548" i="4"/>
  <c r="R414" i="4"/>
  <c r="R52" i="4"/>
  <c r="S129" i="4"/>
  <c r="R212" i="4"/>
  <c r="R752" i="4"/>
  <c r="R1236" i="4"/>
  <c r="R1027" i="4"/>
  <c r="R10" i="4"/>
  <c r="R1272" i="4"/>
  <c r="R344" i="4"/>
  <c r="S702" i="4"/>
  <c r="S1385" i="4"/>
  <c r="R1005" i="4"/>
  <c r="S994" i="4"/>
  <c r="S1287" i="4"/>
  <c r="S1035" i="4"/>
  <c r="S892" i="4"/>
  <c r="R503" i="4"/>
  <c r="S235" i="4"/>
  <c r="R835" i="4"/>
  <c r="S270" i="4"/>
  <c r="R275" i="4"/>
  <c r="R480" i="4"/>
  <c r="R1087" i="4"/>
  <c r="S725" i="4"/>
  <c r="S918" i="4"/>
  <c r="R334" i="4"/>
  <c r="S1155" i="4"/>
  <c r="R684" i="4"/>
  <c r="S1482" i="4"/>
  <c r="S911" i="4"/>
  <c r="R786" i="4"/>
  <c r="R1252" i="4"/>
  <c r="S1201" i="4"/>
  <c r="S530" i="4"/>
  <c r="S359" i="4"/>
  <c r="S276" i="4"/>
  <c r="S1360" i="4"/>
  <c r="S1434" i="4"/>
  <c r="R5" i="4"/>
  <c r="S1428" i="4"/>
  <c r="R1189" i="4"/>
  <c r="S1619" i="4"/>
  <c r="S805" i="4"/>
  <c r="R88" i="4"/>
  <c r="R770" i="4"/>
  <c r="S708" i="4"/>
  <c r="R1196" i="4"/>
  <c r="R560" i="4"/>
  <c r="R278" i="4"/>
  <c r="R249" i="4"/>
  <c r="R1086" i="4"/>
  <c r="R453" i="4"/>
  <c r="R539" i="4"/>
  <c r="R875" i="4"/>
  <c r="R1609" i="4"/>
  <c r="R1622" i="4"/>
  <c r="R1050" i="4"/>
  <c r="R1436" i="4"/>
  <c r="S1585" i="4"/>
  <c r="S31" i="4"/>
  <c r="R502" i="4"/>
  <c r="S497" i="4"/>
  <c r="R152" i="4"/>
  <c r="R462" i="4"/>
  <c r="S818" i="4"/>
  <c r="S1262" i="4"/>
  <c r="R1173" i="4"/>
  <c r="R651" i="4"/>
  <c r="S1520" i="4"/>
  <c r="S1049" i="4"/>
  <c r="S1477" i="4"/>
  <c r="R881" i="4"/>
  <c r="R172" i="4"/>
  <c r="S1257" i="4"/>
  <c r="S1202" i="4"/>
  <c r="S668" i="4"/>
  <c r="R753" i="4"/>
  <c r="S188" i="4"/>
  <c r="S897" i="4"/>
  <c r="S390" i="4"/>
  <c r="S1571" i="4"/>
  <c r="S1431" i="4"/>
  <c r="S265" i="4"/>
  <c r="S1470" i="4"/>
  <c r="S489" i="4"/>
  <c r="S536" i="4"/>
  <c r="S451" i="4"/>
  <c r="S510" i="4"/>
  <c r="S1044" i="4"/>
  <c r="S976" i="4"/>
  <c r="S1358" i="4"/>
  <c r="S611" i="4"/>
  <c r="S858" i="4"/>
  <c r="S298" i="4"/>
  <c r="S360" i="4"/>
  <c r="S829" i="4"/>
  <c r="S1371" i="4"/>
  <c r="S739" i="4"/>
  <c r="S758" i="4"/>
  <c r="S959" i="4"/>
  <c r="S766" i="4"/>
  <c r="S594" i="4"/>
  <c r="S1121" i="4"/>
  <c r="S827" i="4"/>
  <c r="S1051" i="4"/>
  <c r="S1572" i="4"/>
  <c r="S1359" i="4"/>
  <c r="S239" i="4"/>
  <c r="S1595" i="4"/>
  <c r="S14" i="4"/>
  <c r="S1364" i="4"/>
  <c r="S963" i="4"/>
  <c r="S936" i="4"/>
  <c r="S1565" i="4"/>
  <c r="S1013" i="4"/>
  <c r="S844" i="4"/>
  <c r="S1604" i="4"/>
  <c r="S110" i="4"/>
  <c r="S1310" i="4"/>
  <c r="S650" i="4"/>
  <c r="S392" i="4"/>
  <c r="S920" i="4"/>
  <c r="S1356" i="4"/>
  <c r="S1073" i="4"/>
  <c r="S512" i="4"/>
  <c r="S320" i="4"/>
  <c r="S1124" i="4"/>
  <c r="S1123" i="4"/>
  <c r="S24" i="4"/>
  <c r="S929" i="4"/>
  <c r="S1551" i="4"/>
  <c r="S1012" i="4"/>
  <c r="S1085" i="4"/>
  <c r="S1017" i="4"/>
  <c r="S299" i="4"/>
  <c r="S1516" i="4"/>
  <c r="S1352" i="4"/>
  <c r="S930" i="4"/>
  <c r="S870" i="4"/>
  <c r="S674" i="4"/>
  <c r="S979" i="4"/>
  <c r="S386" i="4"/>
  <c r="S190" i="4"/>
  <c r="S1543" i="4"/>
  <c r="S1546" i="4"/>
  <c r="S1553" i="4"/>
  <c r="S1641" i="4"/>
  <c r="S1218" i="4"/>
  <c r="S1588" i="4"/>
  <c r="R1554" i="4"/>
  <c r="R619" i="4"/>
  <c r="R541" i="4"/>
  <c r="R1547" i="4"/>
  <c r="R37" i="4"/>
  <c r="R385" i="4"/>
  <c r="R1635" i="4"/>
  <c r="R22" i="4"/>
  <c r="R300" i="4"/>
  <c r="R111" i="4"/>
  <c r="R9" i="4"/>
  <c r="R1467" i="4"/>
  <c r="R1014" i="4"/>
  <c r="R56" i="4"/>
  <c r="R534" i="4"/>
  <c r="R1523" i="4"/>
  <c r="R582" i="4"/>
  <c r="R465" i="4"/>
  <c r="R1357" i="4"/>
  <c r="R1061" i="4"/>
  <c r="R446" i="4"/>
  <c r="R1632" i="4"/>
  <c r="R245" i="4"/>
  <c r="R376" i="4"/>
  <c r="R1595" i="4"/>
  <c r="R14" i="4"/>
  <c r="R1364" i="4"/>
  <c r="R963" i="4"/>
  <c r="R936" i="4"/>
  <c r="R1565" i="4"/>
  <c r="R1013" i="4"/>
  <c r="R844" i="4"/>
  <c r="R1604" i="4"/>
  <c r="R110" i="4"/>
  <c r="R1310" i="4"/>
  <c r="R650" i="4"/>
  <c r="R392" i="4"/>
  <c r="R920" i="4"/>
  <c r="R674" i="4"/>
  <c r="R631" i="4"/>
  <c r="R568" i="4"/>
  <c r="R1608" i="4"/>
  <c r="R1349" i="4"/>
  <c r="R1381" i="4"/>
  <c r="R1361" i="4"/>
  <c r="R1175" i="4"/>
  <c r="R124" i="4"/>
  <c r="R949" i="4"/>
  <c r="R1504" i="4"/>
  <c r="R562" i="4"/>
  <c r="R1600" i="4"/>
  <c r="R307" i="4"/>
  <c r="R16" i="4"/>
  <c r="R813" i="4"/>
  <c r="R50" i="4"/>
  <c r="R476" i="4"/>
  <c r="R1120" i="4"/>
  <c r="R252" i="4"/>
  <c r="R523" i="4"/>
  <c r="R946" i="4"/>
  <c r="R942" i="4"/>
  <c r="R803" i="4"/>
  <c r="R583" i="4"/>
  <c r="R1578" i="4"/>
  <c r="S1219" i="4"/>
  <c r="S99" i="4"/>
  <c r="S94" i="4"/>
  <c r="R1524" i="4"/>
  <c r="S1000" i="4"/>
  <c r="S807" i="4"/>
  <c r="R1217" i="4"/>
  <c r="S1133" i="4"/>
  <c r="S563" i="4"/>
  <c r="S1374" i="4"/>
  <c r="S1058" i="4"/>
  <c r="S1466" i="4"/>
  <c r="S1125" i="4"/>
  <c r="S923" i="4"/>
  <c r="S1650" i="4"/>
  <c r="S1627" i="4"/>
  <c r="S607" i="4"/>
  <c r="S1515" i="4"/>
  <c r="S1370" i="4"/>
  <c r="S1589" i="4"/>
  <c r="S17" i="4"/>
  <c r="S1623" i="4"/>
  <c r="S125" i="4"/>
  <c r="S639" i="4"/>
  <c r="S537" i="4"/>
  <c r="S577" i="4"/>
  <c r="S543" i="4"/>
  <c r="S243" i="4"/>
  <c r="S416" i="4"/>
  <c r="S740" i="4"/>
  <c r="S319" i="4"/>
  <c r="S412" i="4"/>
  <c r="S1535" i="4"/>
  <c r="S430" i="4"/>
  <c r="S638" i="4"/>
  <c r="S798" i="4"/>
  <c r="S958" i="4"/>
  <c r="S484" i="4"/>
  <c r="S210" i="4"/>
  <c r="S1392" i="4"/>
  <c r="S1381" i="4"/>
  <c r="S840" i="4"/>
  <c r="S957" i="4"/>
  <c r="S622" i="4"/>
  <c r="S1660" i="4"/>
  <c r="S23" i="4"/>
  <c r="S1405" i="4"/>
  <c r="S1391" i="4"/>
  <c r="S596" i="4"/>
  <c r="S631" i="4"/>
  <c r="S568" i="4"/>
  <c r="S1577" i="4"/>
  <c r="S707" i="4"/>
  <c r="S1411" i="4"/>
  <c r="R540" i="4"/>
  <c r="R630" i="4"/>
  <c r="R1299" i="4"/>
  <c r="R1358" i="4"/>
  <c r="R888" i="4"/>
  <c r="R1515" i="4"/>
  <c r="R298" i="4"/>
  <c r="R375" i="4"/>
  <c r="R546" i="4"/>
  <c r="R1371" i="4"/>
  <c r="R547" i="4"/>
  <c r="R935" i="4"/>
  <c r="R848" i="4"/>
  <c r="R407" i="4"/>
  <c r="R1121" i="4"/>
  <c r="R1525" i="4"/>
  <c r="R524" i="4"/>
  <c r="R1572" i="4"/>
  <c r="R231" i="4"/>
  <c r="R405" i="4"/>
  <c r="R1460" i="4"/>
  <c r="R740" i="4"/>
  <c r="R932" i="4"/>
  <c r="R412" i="4"/>
  <c r="R228" i="4"/>
  <c r="R430" i="4"/>
  <c r="R15" i="4"/>
  <c r="R798" i="4"/>
  <c r="R1647" i="4"/>
  <c r="R1536" i="4"/>
  <c r="R113" i="4"/>
  <c r="R320" i="4"/>
  <c r="R242" i="4"/>
  <c r="R1367" i="4"/>
  <c r="S1293" i="4"/>
  <c r="S983" i="4"/>
  <c r="S224" i="4"/>
  <c r="S706" i="4"/>
  <c r="R86" i="4"/>
  <c r="R685" i="4"/>
  <c r="R1251" i="4"/>
  <c r="R1343" i="4"/>
  <c r="R1247" i="4"/>
  <c r="R358" i="4"/>
  <c r="R944" i="4"/>
  <c r="S640" i="4"/>
  <c r="S1021" i="4"/>
  <c r="R1277" i="4"/>
  <c r="S1008" i="4"/>
  <c r="S1174" i="4"/>
  <c r="R1243" i="4"/>
  <c r="S1034" i="4"/>
  <c r="S303" i="4"/>
  <c r="S503" i="4"/>
  <c r="S1432" i="4"/>
  <c r="S754" i="4"/>
  <c r="R335" i="4"/>
  <c r="R202" i="4"/>
  <c r="S837" i="4"/>
  <c r="S1141" i="4"/>
  <c r="S593" i="4"/>
  <c r="S875" i="4"/>
  <c r="S1223" i="4"/>
  <c r="S1050" i="4"/>
  <c r="S1268" i="4"/>
  <c r="S793" i="4"/>
  <c r="R254" i="4"/>
  <c r="S1354" i="4"/>
  <c r="S427" i="4"/>
  <c r="R1569" i="4"/>
  <c r="R533" i="4"/>
  <c r="S116" i="4"/>
  <c r="R1285" i="4"/>
  <c r="R787" i="4"/>
  <c r="R1344" i="4"/>
  <c r="R72" i="4"/>
  <c r="S139" i="4"/>
  <c r="R701" i="4"/>
  <c r="S226" i="4"/>
  <c r="R1122" i="4"/>
  <c r="S778" i="4"/>
  <c r="S1475" i="4"/>
  <c r="S1587" i="4"/>
  <c r="R198" i="4"/>
  <c r="S591" i="4"/>
  <c r="S448" i="4"/>
  <c r="R1481" i="4"/>
  <c r="S1256" i="4"/>
  <c r="S1479" i="4"/>
  <c r="R1443" i="4"/>
  <c r="S234" i="4"/>
  <c r="S975" i="4"/>
  <c r="S856" i="4"/>
  <c r="S30" i="4"/>
  <c r="S271" i="4"/>
  <c r="R13" i="4"/>
  <c r="R897" i="4"/>
  <c r="R171" i="4"/>
  <c r="R836" i="4"/>
  <c r="R1429" i="4"/>
  <c r="R578" i="4"/>
  <c r="R308" i="4"/>
  <c r="R1431" i="4"/>
  <c r="R1598" i="4"/>
  <c r="R1119" i="4"/>
  <c r="R489" i="4"/>
  <c r="R454" i="4"/>
  <c r="R356" i="4"/>
  <c r="R965" i="4"/>
  <c r="S1231" i="4"/>
  <c r="S1143" i="4"/>
  <c r="S860" i="4"/>
  <c r="R150" i="4"/>
  <c r="S1362" i="4"/>
  <c r="R167" i="4"/>
  <c r="S1328" i="4"/>
  <c r="R57" i="4"/>
  <c r="S652" i="4"/>
  <c r="S684" i="4"/>
  <c r="R992" i="4"/>
  <c r="S881" i="4"/>
  <c r="S1437" i="4"/>
  <c r="R157" i="4"/>
  <c r="S68" i="4"/>
  <c r="S1258" i="4"/>
  <c r="S966" i="4"/>
  <c r="S1195" i="4"/>
  <c r="R174" i="4"/>
  <c r="S894" i="4"/>
  <c r="R354" i="4"/>
  <c r="R928" i="4"/>
  <c r="R1662" i="4"/>
  <c r="R1654" i="4"/>
  <c r="R1464" i="4"/>
  <c r="R621" i="4"/>
  <c r="R381" i="4"/>
  <c r="R1423" i="4"/>
  <c r="R940" i="4"/>
  <c r="R411" i="4"/>
  <c r="R257" i="4"/>
  <c r="S230" i="4"/>
  <c r="R141" i="4"/>
  <c r="S1447" i="4"/>
  <c r="R1636" i="4"/>
  <c r="S106" i="4"/>
  <c r="R702" i="4"/>
  <c r="S812" i="4"/>
  <c r="S1170" i="4"/>
  <c r="R1656" i="4"/>
  <c r="S1449" i="4"/>
  <c r="S11" i="4"/>
  <c r="R1379" i="4"/>
  <c r="S1615" i="4"/>
  <c r="R600" i="4"/>
  <c r="S1503" i="4"/>
  <c r="S968" i="4"/>
  <c r="S40" i="4"/>
  <c r="R133" i="4"/>
  <c r="S66" i="4"/>
  <c r="S181" i="4"/>
  <c r="S272" i="4"/>
  <c r="S337" i="4"/>
  <c r="S574" i="4"/>
  <c r="S1579" i="4"/>
  <c r="S1282" i="4"/>
  <c r="S1548" i="4"/>
  <c r="S1127" i="4"/>
  <c r="S610" i="4"/>
  <c r="S1580" i="4"/>
  <c r="S762" i="4"/>
  <c r="S121" i="4"/>
  <c r="S19" i="4"/>
  <c r="S1067" i="4"/>
  <c r="S1424" i="4"/>
  <c r="S501" i="4"/>
  <c r="S493" i="4"/>
  <c r="S440" i="4"/>
  <c r="R1126" i="4"/>
  <c r="R734" i="4"/>
  <c r="R1480" i="4"/>
  <c r="R987" i="4"/>
  <c r="S785" i="4"/>
  <c r="R1564" i="4"/>
  <c r="R77" i="4"/>
  <c r="S1149" i="4"/>
  <c r="S1539" i="4"/>
  <c r="S922" i="4"/>
  <c r="S1179" i="4"/>
  <c r="S1649" i="4"/>
  <c r="R1077" i="4"/>
  <c r="R1530" i="4"/>
  <c r="R222" i="4"/>
  <c r="S600" i="4"/>
  <c r="S816" i="4"/>
  <c r="S119" i="4"/>
  <c r="R295" i="4"/>
  <c r="R164" i="4"/>
  <c r="R1463" i="4"/>
  <c r="R1377" i="4"/>
  <c r="R1486" i="4"/>
  <c r="R1422" i="4"/>
  <c r="R347" i="4"/>
  <c r="S384" i="4"/>
  <c r="S1043" i="4"/>
  <c r="R1191" i="4"/>
  <c r="S687" i="4"/>
  <c r="S1036" i="4"/>
  <c r="S1390" i="4"/>
  <c r="R1194" i="4"/>
  <c r="R367" i="4"/>
  <c r="S455" i="4"/>
  <c r="R483" i="4"/>
  <c r="S353" i="4"/>
  <c r="S1221" i="4"/>
  <c r="S817" i="4"/>
  <c r="R906" i="4"/>
  <c r="S1593" i="4"/>
  <c r="S1002" i="4"/>
  <c r="S1283" i="4"/>
  <c r="S720" i="4"/>
  <c r="S1239" i="4"/>
  <c r="S617" i="4"/>
  <c r="S974" i="4"/>
  <c r="S133" i="4"/>
  <c r="S331" i="4"/>
  <c r="R85" i="4"/>
  <c r="R442" i="4"/>
  <c r="R1433" i="4"/>
  <c r="R876" i="4"/>
  <c r="R237" i="4"/>
  <c r="R915" i="4"/>
  <c r="R428" i="4"/>
  <c r="R1103" i="4"/>
  <c r="R1048" i="4"/>
  <c r="R3" i="4"/>
  <c r="S664" i="4"/>
  <c r="R1129" i="4"/>
  <c r="S225" i="4"/>
  <c r="R908" i="4"/>
  <c r="R1362" i="4"/>
  <c r="S779" i="4"/>
  <c r="S1169" i="4"/>
  <c r="R68" i="4"/>
  <c r="S757" i="4"/>
  <c r="S279" i="4"/>
  <c r="S1090" i="4"/>
  <c r="S1279" i="4"/>
  <c r="R1588" i="4"/>
  <c r="S1299" i="4"/>
  <c r="S1047" i="4"/>
  <c r="S546" i="4"/>
  <c r="S935" i="4"/>
  <c r="S1484" i="4"/>
  <c r="S524" i="4"/>
  <c r="S405" i="4"/>
  <c r="S1460" i="4"/>
  <c r="S932" i="4"/>
  <c r="S228" i="4"/>
  <c r="S15" i="4"/>
  <c r="S1647" i="4"/>
  <c r="S1094" i="4"/>
  <c r="S1361" i="4"/>
  <c r="S1229" i="4"/>
  <c r="S847" i="4"/>
  <c r="S1417" i="4"/>
  <c r="S476" i="4"/>
  <c r="S523" i="4"/>
  <c r="S296" i="4"/>
  <c r="S471" i="4"/>
  <c r="R1526" i="4"/>
  <c r="R244" i="4"/>
  <c r="R868" i="4"/>
  <c r="R959" i="4"/>
  <c r="R1484" i="4"/>
  <c r="R790" i="4"/>
  <c r="R1457" i="4"/>
  <c r="R416" i="4"/>
  <c r="R319" i="4"/>
  <c r="R1535" i="4"/>
  <c r="R638" i="4"/>
  <c r="R958" i="4"/>
  <c r="R977" i="4"/>
  <c r="R716" i="4"/>
  <c r="S183" i="4"/>
  <c r="S1485" i="4"/>
  <c r="R723" i="4"/>
  <c r="R1615" i="4"/>
  <c r="R505" i="4"/>
  <c r="S443" i="4"/>
  <c r="S1272" i="4"/>
  <c r="S1478" i="4"/>
  <c r="S1530" i="4"/>
  <c r="S765" i="4"/>
  <c r="R663" i="4"/>
  <c r="S85" i="4"/>
  <c r="S819" i="4"/>
  <c r="S794" i="4"/>
  <c r="S340" i="4"/>
  <c r="S1556" i="4"/>
  <c r="S612" i="4"/>
  <c r="R230" i="4"/>
  <c r="S177" i="4"/>
  <c r="R1511" i="4"/>
  <c r="R65" i="4"/>
  <c r="S1164" i="4"/>
  <c r="S1113" i="4"/>
  <c r="S1509" i="4"/>
  <c r="S1246" i="4"/>
  <c r="S1456" i="4"/>
  <c r="S169" i="4"/>
  <c r="S1594" i="4"/>
  <c r="S1038" i="4"/>
  <c r="S1330" i="4"/>
  <c r="S182" i="4"/>
  <c r="R351" i="4"/>
  <c r="R1393" i="4"/>
  <c r="R1128" i="4"/>
  <c r="R689" i="4"/>
  <c r="R679" i="4"/>
  <c r="R318" i="4"/>
  <c r="R191" i="4"/>
  <c r="R153" i="4"/>
  <c r="R120" i="4"/>
  <c r="R96" i="4"/>
  <c r="S693" i="4"/>
  <c r="S768" i="4"/>
  <c r="R670" i="4"/>
  <c r="S550" i="4"/>
  <c r="R1582" i="4"/>
  <c r="S29" i="4"/>
  <c r="R277" i="4"/>
  <c r="R921" i="4"/>
  <c r="R1040" i="4"/>
  <c r="R368" i="4"/>
  <c r="S1369" i="4"/>
  <c r="S492" i="4"/>
  <c r="R706" i="4"/>
  <c r="R785" i="4"/>
  <c r="R1149" i="4"/>
  <c r="S1122" i="4"/>
  <c r="R1494" i="4"/>
  <c r="S846" i="4"/>
  <c r="S1254" i="4"/>
  <c r="R1290" i="4"/>
  <c r="R972" i="4"/>
  <c r="S1237" i="4"/>
  <c r="R597" i="4"/>
  <c r="S114" i="4"/>
  <c r="S1435" i="4"/>
  <c r="S1555" i="4"/>
  <c r="S864" i="4"/>
  <c r="S809" i="4"/>
  <c r="S1416" i="4"/>
  <c r="R1074" i="4"/>
  <c r="R1228" i="4"/>
  <c r="S253" i="4"/>
  <c r="S947" i="4"/>
  <c r="R800" i="4"/>
  <c r="R75" i="4"/>
  <c r="R1157" i="4"/>
  <c r="S1656" i="4"/>
  <c r="S1438" i="4"/>
  <c r="S1644" i="4"/>
  <c r="S972" i="4"/>
  <c r="S597" i="4"/>
  <c r="R1469" i="4"/>
  <c r="R1653" i="4"/>
  <c r="S1325" i="4"/>
  <c r="R1053" i="4"/>
  <c r="S1289" i="4"/>
  <c r="S1264" i="4"/>
  <c r="S421" i="4"/>
  <c r="R284" i="4"/>
  <c r="S1079" i="4"/>
  <c r="S845" i="4"/>
  <c r="R1142" i="4"/>
  <c r="R1072" i="4"/>
  <c r="R507" i="4"/>
  <c r="R372" i="4"/>
  <c r="R820" i="4"/>
  <c r="R1223" i="4"/>
  <c r="R1522" i="4"/>
  <c r="S552" i="4"/>
  <c r="S1300" i="4"/>
  <c r="S158" i="4"/>
  <c r="S1104" i="4"/>
  <c r="S679" i="4"/>
  <c r="S466" i="4"/>
  <c r="S931" i="4"/>
  <c r="S748" i="4"/>
  <c r="S1624" i="4"/>
  <c r="S261" i="4"/>
  <c r="S885" i="4"/>
  <c r="S949" i="4"/>
  <c r="S813" i="4"/>
  <c r="S104" i="4"/>
  <c r="R1044" i="4"/>
  <c r="R466" i="4"/>
  <c r="R931" i="4"/>
  <c r="R748" i="4"/>
  <c r="R1248" i="4"/>
  <c r="R867" i="4"/>
  <c r="R870" i="4"/>
  <c r="R389" i="4"/>
  <c r="R1085" i="4"/>
  <c r="R797" i="4"/>
  <c r="R1356" i="4"/>
  <c r="R1628" i="4"/>
  <c r="R1110" i="4"/>
  <c r="S57" i="4"/>
  <c r="S267" i="4"/>
  <c r="R1298" i="4"/>
  <c r="S507" i="4"/>
  <c r="S1054" i="4"/>
  <c r="R98" i="4"/>
  <c r="S1041" i="4"/>
  <c r="R686" i="4"/>
  <c r="R530" i="4"/>
  <c r="R195" i="4"/>
  <c r="R1548" i="4"/>
  <c r="R19" i="4"/>
  <c r="R564" i="4"/>
  <c r="R1542" i="4"/>
  <c r="S362" i="4"/>
  <c r="R1618" i="4"/>
  <c r="S1308" i="4"/>
  <c r="S1414" i="4"/>
  <c r="S1321" i="4"/>
  <c r="R892" i="4"/>
  <c r="S1445" i="4"/>
  <c r="S836" i="4"/>
  <c r="S1119" i="4"/>
  <c r="R640" i="4"/>
  <c r="R219" i="4"/>
  <c r="S467" i="4"/>
  <c r="R1034" i="4"/>
  <c r="S1140" i="4"/>
  <c r="R697" i="4"/>
  <c r="S1450" i="4"/>
  <c r="S195" i="4"/>
  <c r="S852" i="4"/>
  <c r="S67" i="4"/>
  <c r="R1054" i="4"/>
  <c r="S514" i="4"/>
  <c r="S1240" i="4"/>
  <c r="S1267" i="4"/>
  <c r="S724" i="4"/>
  <c r="S595" i="4"/>
  <c r="S456" i="4"/>
  <c r="S1011" i="4"/>
  <c r="S672" i="4"/>
  <c r="S690" i="4"/>
  <c r="S246" i="4"/>
  <c r="S1120" i="4"/>
  <c r="S473" i="4"/>
  <c r="S797" i="4"/>
  <c r="S1180" i="4"/>
  <c r="R1627" i="4"/>
  <c r="R1047" i="4"/>
  <c r="R1589" i="4"/>
  <c r="R586" i="4"/>
  <c r="R577" i="4"/>
  <c r="R112" i="4"/>
  <c r="R209" i="4"/>
  <c r="R937" i="4"/>
  <c r="R1392" i="4"/>
  <c r="R580" i="4"/>
  <c r="R21" i="4"/>
  <c r="R1147" i="4"/>
  <c r="R104" i="4"/>
  <c r="R473" i="4"/>
  <c r="S705" i="4"/>
  <c r="R1646" i="4"/>
  <c r="S1273" i="4"/>
  <c r="S1420" i="4"/>
  <c r="R1396" i="4"/>
  <c r="S561" i="4"/>
  <c r="R1281" i="4"/>
  <c r="R986" i="4"/>
  <c r="S804" i="4"/>
  <c r="R1133" i="4"/>
  <c r="R1097" i="4"/>
  <c r="R1131" i="4"/>
  <c r="S1401" i="4"/>
  <c r="S80" i="4"/>
  <c r="S643" i="4"/>
  <c r="R340" i="4"/>
  <c r="R216" i="4"/>
  <c r="R1163" i="4"/>
  <c r="S1296" i="4"/>
  <c r="S727" i="4"/>
  <c r="S62" i="4"/>
  <c r="S241" i="4"/>
  <c r="S378" i="4"/>
  <c r="R871" i="4"/>
  <c r="S1153" i="4"/>
  <c r="R115" i="4"/>
  <c r="S998" i="4"/>
  <c r="R1197" i="4"/>
  <c r="R1323" i="4"/>
  <c r="S1453" i="4"/>
  <c r="R173" i="4"/>
  <c r="R413" i="4"/>
  <c r="S294" i="4"/>
  <c r="S1529" i="4"/>
  <c r="S13" i="4"/>
  <c r="S1545" i="4"/>
  <c r="S888" i="4"/>
  <c r="S547" i="4"/>
  <c r="S790" i="4"/>
  <c r="S1248" i="4"/>
  <c r="S867" i="4"/>
  <c r="S1099" i="4"/>
  <c r="S943" i="4"/>
  <c r="S1600" i="4"/>
  <c r="S1536" i="4"/>
  <c r="S886" i="4"/>
  <c r="R607" i="4"/>
  <c r="R17" i="4"/>
  <c r="R1011" i="4"/>
  <c r="R543" i="4"/>
  <c r="R1624" i="4"/>
  <c r="R261" i="4"/>
  <c r="R297" i="4"/>
  <c r="R1123" i="4"/>
  <c r="R1661" i="4"/>
  <c r="R232" i="4"/>
  <c r="R1003" i="4"/>
  <c r="R1538" i="4"/>
  <c r="S620" i="4"/>
  <c r="R492" i="4"/>
  <c r="R699" i="4"/>
  <c r="R1573" i="4"/>
  <c r="R366" i="4"/>
  <c r="S1399" i="4"/>
  <c r="S219" i="4"/>
  <c r="S685" i="4"/>
  <c r="S1235" i="4"/>
  <c r="R975" i="4"/>
  <c r="S185" i="4"/>
  <c r="S566" i="4"/>
  <c r="S237" i="4"/>
  <c r="S1103" i="4"/>
  <c r="S729" i="4"/>
  <c r="R552" i="4"/>
  <c r="S1088" i="4"/>
  <c r="S425" i="4"/>
  <c r="R692" i="4"/>
  <c r="R1167" i="4"/>
  <c r="R1015" i="4"/>
  <c r="S1474" i="4"/>
  <c r="S1028" i="4"/>
  <c r="S990" i="4"/>
  <c r="S1583" i="4"/>
  <c r="R807" i="4"/>
  <c r="S1331" i="4"/>
  <c r="S771" i="4"/>
  <c r="S901" i="4"/>
  <c r="S179" i="4"/>
  <c r="S273" i="4"/>
  <c r="R574" i="4"/>
  <c r="R862" i="4"/>
  <c r="R1127" i="4"/>
  <c r="R1580" i="4"/>
  <c r="R1559" i="4"/>
  <c r="R678" i="4"/>
  <c r="S713" i="4"/>
  <c r="S423" i="4"/>
  <c r="R1602" i="4"/>
  <c r="R341" i="4"/>
  <c r="S903" i="4"/>
  <c r="S1137" i="4"/>
  <c r="R1342" i="4"/>
  <c r="S1024" i="4"/>
  <c r="S1217" i="4"/>
  <c r="R604" i="4"/>
  <c r="S944" i="4"/>
  <c r="R1459" i="4"/>
  <c r="R1092" i="4"/>
  <c r="R1430" i="4"/>
  <c r="R1114" i="4"/>
  <c r="R1465" i="4"/>
  <c r="S147" i="4"/>
  <c r="R193" i="4"/>
  <c r="R89" i="4"/>
  <c r="S1162" i="4"/>
  <c r="S1154" i="4"/>
  <c r="R852" i="4"/>
  <c r="S48" i="4"/>
  <c r="S1208" i="4"/>
  <c r="S371" i="4"/>
  <c r="S1603" i="4"/>
  <c r="S601" i="4"/>
  <c r="S165" i="4"/>
  <c r="S1089" i="4"/>
  <c r="S308" i="4"/>
  <c r="S1598" i="4"/>
  <c r="S400" i="4"/>
  <c r="S356" i="4"/>
  <c r="R791" i="4"/>
  <c r="S326" i="4"/>
  <c r="R255" i="4"/>
  <c r="S1064" i="4"/>
  <c r="S774" i="4"/>
  <c r="R481" i="4"/>
  <c r="S364" i="4"/>
  <c r="S1004" i="4"/>
  <c r="R1570" i="4"/>
  <c r="R1339" i="4"/>
  <c r="S832" i="4"/>
  <c r="S1284" i="4"/>
  <c r="R355" i="4"/>
  <c r="R178" i="4"/>
  <c r="S63" i="4"/>
  <c r="S825" i="4"/>
  <c r="R1295" i="4"/>
  <c r="S1481" i="4"/>
  <c r="R1658" i="4"/>
  <c r="S1271" i="4"/>
  <c r="S677" i="4"/>
  <c r="S1163" i="4"/>
  <c r="S1494" i="4"/>
  <c r="R783" i="4"/>
  <c r="S1207" i="4"/>
  <c r="S1241" i="4"/>
  <c r="S201" i="4"/>
  <c r="R264" i="4"/>
  <c r="R623" i="4"/>
  <c r="R1227" i="4"/>
  <c r="R589" i="4"/>
  <c r="R981" i="4"/>
  <c r="S289" i="4"/>
  <c r="S627" i="4"/>
  <c r="R329" i="4"/>
  <c r="R18" i="4"/>
  <c r="R1333" i="4"/>
  <c r="R1137" i="4"/>
  <c r="S43" i="4"/>
  <c r="R130" i="4"/>
  <c r="S603" i="4"/>
  <c r="S1599" i="4"/>
  <c r="S1393" i="4"/>
  <c r="S464" i="4"/>
  <c r="S883" i="4"/>
  <c r="S865" i="4"/>
  <c r="S540" i="4"/>
  <c r="S1135" i="4"/>
  <c r="S1514" i="4"/>
  <c r="S244" i="4"/>
  <c r="S738" i="4"/>
  <c r="S259" i="4"/>
  <c r="S848" i="4"/>
  <c r="S715" i="4"/>
  <c r="S238" i="4"/>
  <c r="S1457" i="4"/>
  <c r="S112" i="4"/>
  <c r="S1657" i="4"/>
  <c r="S745" i="4"/>
  <c r="S209" i="4"/>
  <c r="S20" i="4"/>
  <c r="S1019" i="4"/>
  <c r="S937" i="4"/>
  <c r="S742" i="4"/>
  <c r="S252" i="4"/>
  <c r="S1628" i="4"/>
  <c r="S389" i="4"/>
  <c r="S1110" i="4"/>
  <c r="S572" i="4"/>
  <c r="S21" i="4"/>
  <c r="S861" i="4"/>
  <c r="S1147" i="4"/>
  <c r="S297" i="4"/>
  <c r="S839" i="4"/>
  <c r="S1388" i="4"/>
  <c r="S803" i="4"/>
  <c r="S1578" i="4"/>
  <c r="R976" i="4"/>
  <c r="R982" i="4"/>
  <c r="R858" i="4"/>
  <c r="R1091" i="4"/>
  <c r="R829" i="4"/>
  <c r="R189" i="4"/>
  <c r="R758" i="4"/>
  <c r="R728" i="4"/>
  <c r="R594" i="4"/>
  <c r="R511" i="4"/>
  <c r="R1051" i="4"/>
  <c r="R828" i="4"/>
  <c r="R239" i="4"/>
  <c r="R838" i="4"/>
  <c r="R690" i="4"/>
  <c r="R764" i="4"/>
  <c r="R1537" i="4"/>
  <c r="R246" i="4"/>
  <c r="R1351" i="4"/>
  <c r="R426" i="4"/>
  <c r="R979" i="4"/>
  <c r="R190" i="4"/>
  <c r="R1546" i="4"/>
  <c r="R943" i="4"/>
  <c r="R1218" i="4"/>
  <c r="R1229" i="4"/>
  <c r="R572" i="4"/>
  <c r="R1017" i="4"/>
  <c r="R23" i="4"/>
  <c r="R861" i="4"/>
  <c r="R930" i="4"/>
  <c r="R742" i="4"/>
  <c r="R1073" i="4"/>
  <c r="R1094" i="4"/>
  <c r="R1577" i="4"/>
  <c r="R1553" i="4"/>
  <c r="R1411" i="4"/>
  <c r="R957" i="4"/>
  <c r="S146" i="4"/>
  <c r="S487" i="4"/>
  <c r="R64" i="4"/>
  <c r="S1111" i="4"/>
  <c r="S605" i="4"/>
  <c r="S1443" i="4"/>
  <c r="R1308" i="4"/>
  <c r="S60" i="4"/>
  <c r="S576" i="4"/>
  <c r="S1559" i="4"/>
  <c r="S630" i="4"/>
  <c r="S982" i="4"/>
  <c r="S375" i="4"/>
  <c r="S189" i="4"/>
  <c r="S407" i="4"/>
  <c r="S511" i="4"/>
  <c r="S231" i="4"/>
  <c r="S656" i="4"/>
  <c r="S609" i="4"/>
  <c r="S1052" i="4"/>
  <c r="S1224" i="4"/>
  <c r="S1146" i="4"/>
  <c r="S1003" i="4"/>
  <c r="S242" i="4"/>
  <c r="S583" i="4"/>
  <c r="S562" i="4"/>
  <c r="S307" i="4"/>
  <c r="S1060" i="4"/>
  <c r="S977" i="4"/>
  <c r="S1538" i="4"/>
  <c r="S1175" i="4"/>
  <c r="R509" i="4"/>
  <c r="R611" i="4"/>
  <c r="R360" i="4"/>
  <c r="R1517" i="4"/>
  <c r="R739" i="4"/>
  <c r="R766" i="4"/>
  <c r="R1387" i="4"/>
  <c r="R827" i="4"/>
  <c r="R1359" i="4"/>
  <c r="R795" i="4"/>
  <c r="R646" i="4"/>
  <c r="R373" i="4"/>
  <c r="R796" i="4"/>
  <c r="R746" i="4"/>
  <c r="R1180" i="4"/>
  <c r="R618" i="4"/>
  <c r="R1124" i="4"/>
  <c r="R471" i="4"/>
  <c r="R1363" i="4"/>
  <c r="R847" i="4"/>
  <c r="R1352" i="4"/>
  <c r="R1391" i="4"/>
  <c r="R210" i="4"/>
  <c r="R885" i="4"/>
  <c r="R707" i="4"/>
  <c r="R840" i="4"/>
  <c r="R824" i="4"/>
  <c r="S1602" i="4"/>
  <c r="R1478" i="4"/>
  <c r="R1271" i="4"/>
  <c r="R76" i="4"/>
  <c r="S1189" i="4"/>
  <c r="S854" i="4"/>
  <c r="S1312" i="4"/>
  <c r="S372" i="4"/>
  <c r="S1227" i="4"/>
  <c r="S449" i="4"/>
  <c r="S431" i="4"/>
  <c r="R215" i="4"/>
  <c r="R117" i="4"/>
  <c r="S1161" i="4"/>
  <c r="R954" i="4"/>
  <c r="R1296" i="4"/>
  <c r="S1611" i="4"/>
  <c r="S703" i="4"/>
  <c r="R1425" i="4"/>
  <c r="R1267" i="4"/>
  <c r="R353" i="4"/>
  <c r="R1579" i="4"/>
  <c r="R576" i="4"/>
  <c r="R762" i="4"/>
  <c r="R32" i="4"/>
  <c r="R736" i="4"/>
  <c r="R1150" i="4"/>
  <c r="S697" i="4"/>
  <c r="S172" i="4"/>
  <c r="S199" i="4"/>
  <c r="R61" i="4"/>
  <c r="R579" i="4"/>
  <c r="R25" i="4"/>
  <c r="R1426" i="4"/>
  <c r="S1563" i="4"/>
  <c r="R1581" i="4"/>
  <c r="R955" i="4"/>
  <c r="R845" i="4"/>
  <c r="S1190" i="4"/>
  <c r="S447" i="4"/>
  <c r="S616" i="4"/>
  <c r="R1284" i="4"/>
  <c r="S470" i="4"/>
  <c r="S578" i="4"/>
  <c r="S1136" i="4"/>
  <c r="S454" i="4"/>
  <c r="S731" i="4"/>
  <c r="R933" i="4"/>
  <c r="S103" i="4"/>
  <c r="R1408" i="4"/>
  <c r="S1336" i="4"/>
  <c r="S1500" i="4"/>
  <c r="R1200" i="4"/>
  <c r="S203" i="4"/>
  <c r="R1118" i="4"/>
  <c r="R393" i="4"/>
  <c r="S855" i="4"/>
  <c r="S862" i="4"/>
  <c r="S227" i="4"/>
  <c r="S1255" i="4"/>
  <c r="S1056" i="4"/>
  <c r="R653" i="4"/>
  <c r="R1558" i="4"/>
  <c r="R741" i="4"/>
  <c r="R914" i="4"/>
  <c r="S760" i="4"/>
  <c r="R683" i="4"/>
  <c r="R1302" i="4"/>
  <c r="R1318" i="4"/>
  <c r="S1168" i="4"/>
  <c r="S1614" i="4"/>
  <c r="S338" i="4"/>
  <c r="S1617" i="4"/>
  <c r="S965" i="4"/>
  <c r="S709" i="4"/>
  <c r="S1526" i="4"/>
  <c r="S402" i="4"/>
  <c r="S868" i="4"/>
  <c r="S586" i="4"/>
  <c r="S1525" i="4"/>
  <c r="S109" i="4"/>
  <c r="S838" i="4"/>
  <c r="S764" i="4"/>
  <c r="S1537" i="4"/>
  <c r="S1351" i="4"/>
  <c r="S426" i="4"/>
  <c r="S1608" i="4"/>
  <c r="S403" i="4"/>
  <c r="S1363" i="4"/>
  <c r="S1661" i="4"/>
  <c r="S232" i="4"/>
  <c r="S1404" i="4"/>
  <c r="S618" i="4"/>
  <c r="S942" i="4"/>
  <c r="S525" i="4"/>
  <c r="R1135" i="4"/>
  <c r="R402" i="4"/>
  <c r="R738" i="4"/>
  <c r="R1623" i="4"/>
  <c r="R639" i="4"/>
  <c r="R715" i="4"/>
  <c r="R672" i="4"/>
  <c r="R243" i="4"/>
  <c r="R1657" i="4"/>
  <c r="R745" i="4"/>
  <c r="R20" i="4"/>
  <c r="R1019" i="4"/>
  <c r="R1060" i="4"/>
  <c r="R386" i="4"/>
  <c r="R403" i="4"/>
  <c r="R24" i="4"/>
  <c r="R1012" i="4"/>
  <c r="R1660" i="4"/>
  <c r="R1516" i="4"/>
  <c r="R1417" i="4"/>
  <c r="R484" i="4"/>
  <c r="R478" i="4"/>
  <c r="R296" i="4"/>
  <c r="R886" i="4"/>
  <c r="S256" i="4"/>
  <c r="R293" i="4"/>
  <c r="R166" i="4"/>
  <c r="R197" i="4"/>
  <c r="R714" i="4"/>
  <c r="S906" i="4"/>
  <c r="S1380" i="4"/>
  <c r="S280" i="4"/>
  <c r="S1040" i="4"/>
  <c r="S368" i="4"/>
  <c r="S286" i="4"/>
  <c r="R815" i="4"/>
  <c r="R1447" i="4"/>
  <c r="S187" i="4"/>
  <c r="R812" i="4"/>
  <c r="R1049" i="4"/>
  <c r="S1646" i="4"/>
  <c r="S91" i="4"/>
  <c r="R1476" i="4"/>
  <c r="R371" i="4"/>
  <c r="R563" i="4"/>
  <c r="S202" i="4"/>
  <c r="R383" i="4"/>
  <c r="R1590" i="4"/>
  <c r="R648" i="4"/>
  <c r="S314" i="4"/>
  <c r="R100" i="4"/>
  <c r="R302" i="4"/>
  <c r="R635" i="4"/>
  <c r="S951" i="4"/>
  <c r="S1345" i="4"/>
  <c r="S1498" i="4"/>
  <c r="R280" i="4"/>
  <c r="R263" i="4"/>
  <c r="R675" i="4"/>
  <c r="R794" i="4"/>
  <c r="R1327" i="4"/>
  <c r="R1471" i="4"/>
  <c r="S1167" i="4"/>
  <c r="S1592" i="4"/>
  <c r="R805" i="4"/>
  <c r="S1244" i="4"/>
  <c r="S508" i="4"/>
  <c r="S1269" i="4"/>
  <c r="S35" i="4"/>
  <c r="S1066" i="4"/>
  <c r="S8" i="4"/>
  <c r="S1372" i="4"/>
  <c r="R545" i="4"/>
  <c r="S1488" i="4"/>
  <c r="R1410" i="4"/>
  <c r="R939" i="4"/>
  <c r="S1291" i="4"/>
  <c r="S304" i="4"/>
  <c r="R1312" i="4"/>
  <c r="R352" i="4"/>
  <c r="R880" i="4"/>
  <c r="S902" i="4"/>
  <c r="R49" i="4"/>
  <c r="S1247" i="4"/>
  <c r="S584" i="4"/>
  <c r="S1489" i="4"/>
  <c r="S1204" i="4"/>
  <c r="R1261" i="4"/>
  <c r="R519" i="4"/>
  <c r="R593" i="4"/>
  <c r="R1313" i="4"/>
  <c r="R1268" i="4"/>
  <c r="S317" i="4"/>
  <c r="R301" i="4"/>
  <c r="R1328" i="4"/>
  <c r="R1493" i="4"/>
  <c r="R1562" i="4"/>
  <c r="R966" i="4"/>
  <c r="S1429" i="4"/>
  <c r="S1131" i="4"/>
  <c r="S636" i="4"/>
  <c r="R1099" i="4"/>
  <c r="S509" i="4"/>
  <c r="S1091" i="4"/>
  <c r="S1517" i="4"/>
  <c r="S728" i="4"/>
  <c r="S1387" i="4"/>
  <c r="S828" i="4"/>
  <c r="S795" i="4"/>
  <c r="S646" i="4"/>
  <c r="S373" i="4"/>
  <c r="S796" i="4"/>
  <c r="S746" i="4"/>
  <c r="S478" i="4"/>
  <c r="S1349" i="4"/>
  <c r="S580" i="4"/>
  <c r="S1504" i="4"/>
  <c r="S16" i="4"/>
  <c r="S50" i="4"/>
  <c r="S113" i="4"/>
  <c r="S946" i="4"/>
  <c r="S124" i="4"/>
  <c r="R595" i="4"/>
  <c r="R1514" i="4"/>
  <c r="R1370" i="4"/>
  <c r="R456" i="4"/>
  <c r="R259" i="4"/>
  <c r="R125" i="4"/>
  <c r="R537" i="4"/>
  <c r="R238" i="4"/>
  <c r="R109" i="4"/>
  <c r="R656" i="4"/>
  <c r="R609" i="4"/>
  <c r="R1052" i="4"/>
  <c r="R1224" i="4"/>
  <c r="R1146" i="4"/>
  <c r="R839" i="4"/>
  <c r="R1388" i="4"/>
  <c r="R525" i="4"/>
  <c r="R1551" i="4"/>
  <c r="R622" i="4"/>
  <c r="R299" i="4"/>
  <c r="R1405" i="4"/>
  <c r="R596" i="4"/>
  <c r="R512" i="4"/>
  <c r="R1543" i="4"/>
  <c r="R1641" i="4"/>
  <c r="R929" i="4"/>
  <c r="S1552" i="4"/>
  <c r="R1552" i="4"/>
  <c r="U2" i="4"/>
  <c r="P907" i="4"/>
  <c r="P438" i="4"/>
  <c r="P1144" i="4"/>
  <c r="P641" i="4"/>
  <c r="P1404" i="4"/>
  <c r="P1099" i="4"/>
  <c r="P1588" i="4"/>
  <c r="P639" i="4"/>
  <c r="P946" i="4"/>
  <c r="P1060" i="4"/>
  <c r="P1647" i="4"/>
  <c r="P766" i="4"/>
  <c r="P1110" i="4"/>
  <c r="P1349" i="4"/>
  <c r="P596" i="4"/>
  <c r="P848" i="4"/>
  <c r="P920" i="4"/>
  <c r="P1578" i="4"/>
  <c r="P1577" i="4"/>
  <c r="P534" i="4"/>
  <c r="P870" i="4"/>
  <c r="P426" i="4"/>
  <c r="P580" i="4"/>
  <c r="P728" i="4"/>
  <c r="P1392" i="4"/>
  <c r="P1147" i="4"/>
  <c r="P1146" i="4"/>
  <c r="P125" i="4"/>
  <c r="P124" i="4"/>
  <c r="P1543" i="4"/>
  <c r="P50" i="4"/>
  <c r="P959" i="4"/>
  <c r="P958" i="4"/>
  <c r="P957" i="4"/>
  <c r="P618" i="4"/>
  <c r="P1667" i="4"/>
  <c r="P1391" i="4"/>
  <c r="P392" i="4"/>
  <c r="P609" i="4"/>
  <c r="P586" i="4"/>
  <c r="P471" i="4"/>
  <c r="P320" i="4"/>
  <c r="P932" i="4"/>
  <c r="P931" i="4"/>
  <c r="P930" i="4"/>
  <c r="P937" i="4"/>
  <c r="P936" i="4"/>
  <c r="P935" i="4"/>
  <c r="P929" i="4"/>
  <c r="P104" i="4"/>
  <c r="P745" i="4"/>
  <c r="P56" i="4"/>
  <c r="P232" i="4"/>
  <c r="P746" i="4"/>
  <c r="P646" i="4"/>
  <c r="P758" i="4"/>
  <c r="P1218" i="4"/>
  <c r="P1608" i="4"/>
  <c r="P319" i="4"/>
  <c r="P259" i="4"/>
  <c r="P813" i="4"/>
  <c r="P798" i="4"/>
  <c r="P963" i="4"/>
  <c r="P547" i="4"/>
  <c r="P473" i="4"/>
  <c r="P523" i="4"/>
  <c r="P690" i="4"/>
  <c r="P1014" i="4"/>
  <c r="P1417" i="4"/>
  <c r="P650" i="4"/>
  <c r="P1624" i="4"/>
  <c r="P1623" i="4"/>
  <c r="P525" i="4"/>
  <c r="P885" i="4"/>
  <c r="P740" i="4"/>
  <c r="P739" i="4"/>
  <c r="P1352" i="4"/>
  <c r="P1351" i="4"/>
  <c r="P1364" i="4"/>
  <c r="P868" i="4"/>
  <c r="P583" i="4"/>
  <c r="P190" i="4"/>
  <c r="P1657" i="4"/>
  <c r="P1467" i="4"/>
  <c r="P861" i="4"/>
  <c r="P1224" i="4"/>
  <c r="P1248" i="4"/>
  <c r="P189" i="4"/>
  <c r="P1175" i="4"/>
  <c r="P1094" i="4"/>
  <c r="P1460" i="4"/>
  <c r="P1371" i="4"/>
  <c r="P840" i="4"/>
  <c r="P839" i="4"/>
  <c r="P838" i="4"/>
  <c r="P1405" i="4"/>
  <c r="P1310" i="4"/>
  <c r="P656" i="4"/>
  <c r="P738" i="4"/>
  <c r="P1411" i="4"/>
  <c r="P512" i="4"/>
  <c r="P416" i="4"/>
  <c r="P1517" i="4"/>
  <c r="P1516" i="4"/>
  <c r="P1019" i="4"/>
  <c r="P1595" i="4"/>
  <c r="P546" i="4"/>
  <c r="P24" i="4"/>
  <c r="P113" i="4"/>
  <c r="P112" i="4"/>
  <c r="P111" i="4"/>
  <c r="P797" i="4"/>
  <c r="P796" i="4"/>
  <c r="P795" i="4"/>
  <c r="P829" i="4"/>
  <c r="P1641" i="4"/>
  <c r="P252" i="4"/>
  <c r="P405" i="4"/>
  <c r="P456" i="4"/>
  <c r="P307" i="4"/>
  <c r="P638" i="4"/>
  <c r="P376" i="4"/>
  <c r="P375" i="4"/>
  <c r="P389" i="4"/>
  <c r="P568" i="4"/>
  <c r="P239" i="4"/>
  <c r="P300" i="4"/>
  <c r="P23" i="4"/>
  <c r="P110" i="4"/>
  <c r="P109" i="4"/>
  <c r="P1589" i="4"/>
  <c r="P803" i="4"/>
  <c r="P478" i="4"/>
  <c r="P231" i="4"/>
  <c r="P360" i="4"/>
  <c r="P299" i="4"/>
  <c r="P246" i="4"/>
  <c r="P245" i="4"/>
  <c r="P244" i="4"/>
  <c r="P943" i="4"/>
  <c r="P386" i="4"/>
  <c r="P243" i="4"/>
  <c r="P22" i="4"/>
  <c r="P21" i="4"/>
  <c r="P261" i="4"/>
  <c r="P1359" i="4"/>
  <c r="P1091" i="4"/>
  <c r="P886" i="4"/>
  <c r="P210" i="4"/>
  <c r="P1457" i="4"/>
  <c r="P1370" i="4"/>
  <c r="P1600" i="4"/>
  <c r="P430" i="4"/>
  <c r="P1666" i="4"/>
  <c r="P298" i="4"/>
  <c r="P1361" i="4"/>
  <c r="P1180" i="4"/>
  <c r="P828" i="4"/>
  <c r="P1635" i="4"/>
  <c r="P847" i="4"/>
  <c r="P1604" i="4"/>
  <c r="P543" i="4"/>
  <c r="P402" i="4"/>
  <c r="P707" i="4"/>
  <c r="P1073" i="4"/>
  <c r="P1572" i="4"/>
  <c r="P466" i="4"/>
  <c r="P1017" i="4"/>
  <c r="P20" i="4"/>
  <c r="P1632" i="4"/>
  <c r="P1515" i="4"/>
  <c r="P1123" i="4"/>
  <c r="P977" i="4"/>
  <c r="P672" i="4"/>
  <c r="P385" i="4"/>
  <c r="P1661" i="4"/>
  <c r="P867" i="4"/>
  <c r="P748" i="4"/>
  <c r="P858" i="4"/>
  <c r="P1553" i="4"/>
  <c r="P1120" i="4"/>
  <c r="P524" i="4"/>
  <c r="P1514" i="4"/>
  <c r="P562" i="4"/>
  <c r="P228" i="4"/>
  <c r="P446" i="4"/>
  <c r="P888" i="4"/>
  <c r="P403" i="4"/>
  <c r="P631" i="4"/>
  <c r="P1051" i="4"/>
  <c r="P37" i="4"/>
  <c r="P1660" i="4"/>
  <c r="P844" i="4"/>
  <c r="P238" i="4"/>
  <c r="P1047" i="4"/>
  <c r="P942" i="4"/>
  <c r="P1003" i="4"/>
  <c r="P790" i="4"/>
  <c r="P611" i="4"/>
  <c r="P1085" i="4"/>
  <c r="P1537" i="4"/>
  <c r="P1061" i="4"/>
  <c r="P1526" i="4"/>
  <c r="P242" i="4"/>
  <c r="P979" i="4"/>
  <c r="P577" i="4"/>
  <c r="P1547" i="4"/>
  <c r="P572" i="4"/>
  <c r="P1052" i="4"/>
  <c r="P827" i="4"/>
  <c r="P982" i="4"/>
  <c r="P1538" i="4"/>
  <c r="P484" i="4"/>
  <c r="P1525" i="4"/>
  <c r="P607" i="4"/>
  <c r="P1504" i="4"/>
  <c r="P1535" i="4"/>
  <c r="P1357" i="4"/>
  <c r="P1358" i="4"/>
  <c r="P1381" i="4"/>
  <c r="P297" i="4"/>
  <c r="P511" i="4"/>
  <c r="P541" i="4"/>
  <c r="P622" i="4"/>
  <c r="P1013" i="4"/>
  <c r="P537" i="4"/>
  <c r="P1135" i="4"/>
  <c r="P296" i="4"/>
  <c r="P1356" i="4"/>
  <c r="P1121" i="4"/>
  <c r="P509" i="4"/>
  <c r="P1012" i="4"/>
  <c r="P209" i="4"/>
  <c r="P465" i="4"/>
  <c r="P1299" i="4"/>
  <c r="P1124" i="4"/>
  <c r="P1536" i="4"/>
  <c r="P715" i="4"/>
  <c r="P619" i="4"/>
  <c r="P1363" i="4"/>
  <c r="P373" i="4"/>
  <c r="P1387" i="4"/>
  <c r="P976" i="4"/>
  <c r="P1546" i="4"/>
  <c r="P476" i="4"/>
  <c r="P1484" i="4"/>
  <c r="P595" i="4"/>
  <c r="P949" i="4"/>
  <c r="P412" i="4"/>
  <c r="P582" i="4"/>
  <c r="P630" i="4"/>
  <c r="P1628" i="4"/>
  <c r="P742" i="4"/>
  <c r="P594" i="4"/>
  <c r="P1554" i="4"/>
  <c r="P1229" i="4"/>
  <c r="P1565" i="4"/>
  <c r="P1011" i="4"/>
  <c r="P1627" i="4"/>
  <c r="P1388" i="4"/>
  <c r="P674" i="4"/>
  <c r="P407" i="4"/>
  <c r="P1044" i="4"/>
  <c r="P1551" i="4"/>
  <c r="P764" i="4"/>
  <c r="P1523" i="4"/>
  <c r="P540" i="4"/>
  <c r="P1552" i="4"/>
  <c r="K907" i="4"/>
  <c r="K1110" i="4"/>
  <c r="K1391" i="4"/>
  <c r="K392" i="4"/>
  <c r="K319" i="4"/>
  <c r="K259" i="4"/>
  <c r="K1411" i="4"/>
  <c r="K512" i="4"/>
  <c r="K416" i="4"/>
  <c r="K568" i="4"/>
  <c r="K239" i="4"/>
  <c r="K1600" i="4"/>
  <c r="K430" i="4"/>
  <c r="K1666" i="4"/>
  <c r="K672" i="4"/>
  <c r="K1661" i="4"/>
  <c r="K867" i="4"/>
  <c r="K1013" i="4"/>
  <c r="K1536" i="4"/>
  <c r="K715" i="4"/>
  <c r="K594" i="4"/>
  <c r="K1044" i="4"/>
  <c r="K1551" i="4"/>
  <c r="I907" i="4"/>
  <c r="I438" i="4"/>
  <c r="I1144" i="4"/>
  <c r="I641" i="4"/>
  <c r="I1404" i="4"/>
  <c r="I1099" i="4"/>
  <c r="I1588" i="4"/>
  <c r="I639" i="4"/>
  <c r="I946" i="4"/>
  <c r="I1060" i="4"/>
  <c r="I1647" i="4"/>
  <c r="I766" i="4"/>
  <c r="I1110" i="4"/>
  <c r="I1349" i="4"/>
  <c r="I596" i="4"/>
  <c r="I848" i="4"/>
  <c r="I920" i="4"/>
  <c r="I1578" i="4"/>
  <c r="I1577" i="4"/>
  <c r="I534" i="4"/>
  <c r="I870" i="4"/>
  <c r="I426" i="4"/>
  <c r="I580" i="4"/>
  <c r="I728" i="4"/>
  <c r="I1392" i="4"/>
  <c r="I1147" i="4"/>
  <c r="I1146" i="4"/>
  <c r="I125" i="4"/>
  <c r="I124" i="4"/>
  <c r="I1543" i="4"/>
  <c r="I50" i="4"/>
  <c r="I959" i="4"/>
  <c r="I958" i="4"/>
  <c r="I957" i="4"/>
  <c r="I618" i="4"/>
  <c r="I1667" i="4"/>
  <c r="I1391" i="4"/>
  <c r="I392" i="4"/>
  <c r="I609" i="4"/>
  <c r="I586" i="4"/>
  <c r="I471" i="4"/>
  <c r="I320" i="4"/>
  <c r="I932" i="4"/>
  <c r="I931" i="4"/>
  <c r="I930" i="4"/>
  <c r="I937" i="4"/>
  <c r="I936" i="4"/>
  <c r="I935" i="4"/>
  <c r="I929" i="4"/>
  <c r="I104" i="4"/>
  <c r="I745" i="4"/>
  <c r="I56" i="4"/>
  <c r="I232" i="4"/>
  <c r="I746" i="4"/>
  <c r="I646" i="4"/>
  <c r="I758" i="4"/>
  <c r="I1218" i="4"/>
  <c r="I1608" i="4"/>
  <c r="I319" i="4"/>
  <c r="I259" i="4"/>
  <c r="I813" i="4"/>
  <c r="I798" i="4"/>
  <c r="I963" i="4"/>
  <c r="I547" i="4"/>
  <c r="I473" i="4"/>
  <c r="I523" i="4"/>
  <c r="I690" i="4"/>
  <c r="I1014" i="4"/>
  <c r="I1417" i="4"/>
  <c r="I650" i="4"/>
  <c r="I1624" i="4"/>
  <c r="I1623" i="4"/>
  <c r="I525" i="4"/>
  <c r="I885" i="4"/>
  <c r="I740" i="4"/>
  <c r="I739" i="4"/>
  <c r="I1352" i="4"/>
  <c r="I1351" i="4"/>
  <c r="I1364" i="4"/>
  <c r="I868" i="4"/>
  <c r="I583" i="4"/>
  <c r="I190" i="4"/>
  <c r="I1657" i="4"/>
  <c r="I1467" i="4"/>
  <c r="I861" i="4"/>
  <c r="I1224" i="4"/>
  <c r="I1248" i="4"/>
  <c r="I189" i="4"/>
  <c r="I1175" i="4"/>
  <c r="I1094" i="4"/>
  <c r="I1460" i="4"/>
  <c r="I17" i="4"/>
  <c r="I16" i="4"/>
  <c r="I15" i="4"/>
  <c r="I14" i="4"/>
  <c r="I1371" i="4"/>
  <c r="I840" i="4"/>
  <c r="I839" i="4"/>
  <c r="I838" i="4"/>
  <c r="I9" i="4"/>
  <c r="I1405" i="4"/>
  <c r="I1310" i="4"/>
  <c r="I656" i="4"/>
  <c r="I738" i="4"/>
  <c r="I1411" i="4"/>
  <c r="I512" i="4"/>
  <c r="I416" i="4"/>
  <c r="I1517" i="4"/>
  <c r="I1516" i="4"/>
  <c r="I1019" i="4"/>
  <c r="I1595" i="4"/>
  <c r="I546" i="4"/>
  <c r="I24" i="4"/>
  <c r="I113" i="4"/>
  <c r="I112" i="4"/>
  <c r="I111" i="4"/>
  <c r="I797" i="4"/>
  <c r="I796" i="4"/>
  <c r="I795" i="4"/>
  <c r="I829" i="4"/>
  <c r="I1641" i="4"/>
  <c r="I252" i="4"/>
  <c r="I405" i="4"/>
  <c r="I456" i="4"/>
  <c r="I307" i="4"/>
  <c r="I638" i="4"/>
  <c r="I376" i="4"/>
  <c r="I375" i="4"/>
  <c r="I389" i="4"/>
  <c r="I568" i="4"/>
  <c r="I239" i="4"/>
  <c r="I300" i="4"/>
  <c r="I23" i="4"/>
  <c r="I110" i="4"/>
  <c r="I109" i="4"/>
  <c r="I1589" i="4"/>
  <c r="I803" i="4"/>
  <c r="I478" i="4"/>
  <c r="I231" i="4"/>
  <c r="I360" i="4"/>
  <c r="I299" i="4"/>
  <c r="I246" i="4"/>
  <c r="I245" i="4"/>
  <c r="I244" i="4"/>
  <c r="I943" i="4"/>
  <c r="I386" i="4"/>
  <c r="I243" i="4"/>
  <c r="I22" i="4"/>
  <c r="I21" i="4"/>
  <c r="I261" i="4"/>
  <c r="I1359" i="4"/>
  <c r="I1091" i="4"/>
  <c r="I886" i="4"/>
  <c r="I210" i="4"/>
  <c r="I1457" i="4"/>
  <c r="I1370" i="4"/>
  <c r="I1600" i="4"/>
  <c r="I430" i="4"/>
  <c r="I1666" i="4"/>
  <c r="I298" i="4"/>
  <c r="I1361" i="4"/>
  <c r="I1180" i="4"/>
  <c r="I828" i="4"/>
  <c r="I1635" i="4"/>
  <c r="I847" i="4"/>
  <c r="I1604" i="4"/>
  <c r="I543" i="4"/>
  <c r="I402" i="4"/>
  <c r="I707" i="4"/>
  <c r="I1073" i="4"/>
  <c r="I1572" i="4"/>
  <c r="I466" i="4"/>
  <c r="I1017" i="4"/>
  <c r="I20" i="4"/>
  <c r="I1632" i="4"/>
  <c r="I1515" i="4"/>
  <c r="I1123" i="4"/>
  <c r="I977" i="4"/>
  <c r="I672" i="4"/>
  <c r="I385" i="4"/>
  <c r="I1661" i="4"/>
  <c r="I867" i="4"/>
  <c r="I748" i="4"/>
  <c r="I858" i="4"/>
  <c r="I1553" i="4"/>
  <c r="I1120" i="4"/>
  <c r="I524" i="4"/>
  <c r="I1514" i="4"/>
  <c r="I562" i="4"/>
  <c r="I228" i="4"/>
  <c r="I446" i="4"/>
  <c r="I888" i="4"/>
  <c r="I403" i="4"/>
  <c r="I631" i="4"/>
  <c r="I1051" i="4"/>
  <c r="I37" i="4"/>
  <c r="I1660" i="4"/>
  <c r="I844" i="4"/>
  <c r="I238" i="4"/>
  <c r="I1047" i="4"/>
  <c r="I942" i="4"/>
  <c r="I1003" i="4"/>
  <c r="I790" i="4"/>
  <c r="I611" i="4"/>
  <c r="I1085" i="4"/>
  <c r="I1537" i="4"/>
  <c r="I1061" i="4"/>
  <c r="I1526" i="4"/>
  <c r="I242" i="4"/>
  <c r="I979" i="4"/>
  <c r="I577" i="4"/>
  <c r="I1547" i="4"/>
  <c r="I572" i="4"/>
  <c r="I1052" i="4"/>
  <c r="I827" i="4"/>
  <c r="I982" i="4"/>
  <c r="I1538" i="4"/>
  <c r="I484" i="4"/>
  <c r="I1525" i="4"/>
  <c r="I607" i="4"/>
  <c r="I1504" i="4"/>
  <c r="I1535" i="4"/>
  <c r="I1357" i="4"/>
  <c r="I1358" i="4"/>
  <c r="I1381" i="4"/>
  <c r="I297" i="4"/>
  <c r="I511" i="4"/>
  <c r="I541" i="4"/>
  <c r="I622" i="4"/>
  <c r="I1013" i="4"/>
  <c r="I537" i="4"/>
  <c r="I1135" i="4"/>
  <c r="I296" i="4"/>
  <c r="I1356" i="4"/>
  <c r="I1121" i="4"/>
  <c r="I509" i="4"/>
  <c r="I1012" i="4"/>
  <c r="I209" i="4"/>
  <c r="I465" i="4"/>
  <c r="I1299" i="4"/>
  <c r="I1124" i="4"/>
  <c r="I1536" i="4"/>
  <c r="I715" i="4"/>
  <c r="I619" i="4"/>
  <c r="I1363" i="4"/>
  <c r="I373" i="4"/>
  <c r="I1387" i="4"/>
  <c r="I976" i="4"/>
  <c r="I1546" i="4"/>
  <c r="I476" i="4"/>
  <c r="I1484" i="4"/>
  <c r="I595" i="4"/>
  <c r="I949" i="4"/>
  <c r="I412" i="4"/>
  <c r="I582" i="4"/>
  <c r="I630" i="4"/>
  <c r="I1628" i="4"/>
  <c r="I742" i="4"/>
  <c r="I594" i="4"/>
  <c r="I1554" i="4"/>
  <c r="I1229" i="4"/>
  <c r="I1565" i="4"/>
  <c r="I1011" i="4"/>
  <c r="I1627" i="4"/>
  <c r="I1388" i="4"/>
  <c r="I674" i="4"/>
  <c r="I407" i="4"/>
  <c r="I1044" i="4"/>
  <c r="I1551" i="4"/>
  <c r="I764" i="4"/>
  <c r="I1523" i="4"/>
  <c r="I540" i="4"/>
  <c r="I1552" i="4"/>
  <c r="D540" i="4"/>
  <c r="K1404" i="4"/>
  <c r="K1392" i="4"/>
  <c r="K930" i="4"/>
  <c r="K813" i="4"/>
  <c r="K1352" i="4"/>
  <c r="K16" i="4"/>
  <c r="K24" i="4"/>
  <c r="K389" i="4"/>
  <c r="K943" i="4"/>
  <c r="K847" i="4"/>
  <c r="K1553" i="4"/>
  <c r="K942" i="4"/>
  <c r="K1538" i="4"/>
  <c r="K296" i="4"/>
  <c r="K1546" i="4"/>
  <c r="K1388" i="4"/>
  <c r="K958" i="4"/>
  <c r="K861" i="4"/>
  <c r="K1641" i="4"/>
  <c r="K886" i="4"/>
  <c r="K1381" i="4"/>
  <c r="K946" i="4"/>
  <c r="K124" i="4"/>
  <c r="K929" i="4"/>
  <c r="K473" i="4"/>
  <c r="K583" i="4"/>
  <c r="K840" i="4"/>
  <c r="K797" i="4"/>
  <c r="K23" i="4"/>
  <c r="K21" i="4"/>
  <c r="K707" i="4"/>
  <c r="K562" i="4"/>
  <c r="K1085" i="4"/>
  <c r="K1504" i="4"/>
  <c r="K1012" i="4"/>
  <c r="K949" i="4"/>
  <c r="K920" i="4"/>
  <c r="K1417" i="4"/>
  <c r="K803" i="4"/>
  <c r="K403" i="4"/>
  <c r="K1124" i="4"/>
  <c r="K1628" i="4"/>
  <c r="K870" i="4"/>
  <c r="K471" i="4"/>
  <c r="K1218" i="4"/>
  <c r="K525" i="4"/>
  <c r="K1175" i="4"/>
  <c r="K1516" i="4"/>
  <c r="K307" i="4"/>
  <c r="K299" i="4"/>
  <c r="K1361" i="4"/>
  <c r="K1123" i="4"/>
  <c r="K1660" i="4"/>
  <c r="K572" i="4"/>
  <c r="K622" i="4"/>
  <c r="K1363" i="4"/>
  <c r="K1229" i="4"/>
  <c r="K232" i="4"/>
  <c r="K1405" i="4"/>
  <c r="K1017" i="4"/>
  <c r="K242" i="4"/>
  <c r="K1552" i="4"/>
  <c r="K596" i="4"/>
  <c r="K936" i="4"/>
  <c r="K690" i="4"/>
  <c r="K1657" i="4"/>
  <c r="K838" i="4"/>
  <c r="K376" i="4"/>
  <c r="K828" i="4"/>
  <c r="K790" i="4"/>
  <c r="K465" i="4"/>
  <c r="K639" i="4"/>
  <c r="K586" i="4"/>
  <c r="K739" i="4"/>
  <c r="K1517" i="4"/>
  <c r="K244" i="4"/>
  <c r="K1515" i="4"/>
  <c r="K1526" i="4"/>
  <c r="K438" i="4"/>
  <c r="K1578" i="4"/>
  <c r="K957" i="4"/>
  <c r="K746" i="4"/>
  <c r="K650" i="4"/>
  <c r="K1224" i="4"/>
  <c r="K1310" i="4"/>
  <c r="K252" i="4"/>
  <c r="K246" i="4"/>
  <c r="K1180" i="4"/>
  <c r="K977" i="4"/>
  <c r="K844" i="4"/>
  <c r="K1052" i="4"/>
  <c r="K1356" i="4"/>
  <c r="K412" i="4"/>
  <c r="K764" i="4"/>
  <c r="K50" i="4"/>
  <c r="K405" i="4"/>
  <c r="K543" i="4"/>
  <c r="K238" i="4"/>
  <c r="K511" i="4"/>
  <c r="K1523" i="4"/>
  <c r="K125" i="4"/>
  <c r="K547" i="4"/>
  <c r="K1371" i="4"/>
  <c r="K375" i="4"/>
  <c r="K1370" i="4"/>
  <c r="K1514" i="4"/>
  <c r="K607" i="4"/>
  <c r="K976" i="4"/>
  <c r="K1627" i="4"/>
  <c r="K37" i="4"/>
  <c r="K1554" i="4"/>
  <c r="K1588" i="4"/>
  <c r="K1364" i="4"/>
  <c r="K1457" i="4"/>
  <c r="K407" i="4"/>
  <c r="K9" i="4"/>
  <c r="K402" i="4"/>
  <c r="K1349" i="4"/>
  <c r="K523" i="4"/>
  <c r="K796" i="4"/>
  <c r="K20" i="4"/>
  <c r="K979" i="4"/>
  <c r="K674" i="4"/>
  <c r="K1359" i="4"/>
  <c r="K1525" i="4"/>
  <c r="K758" i="4"/>
  <c r="K22" i="4"/>
  <c r="K1299" i="4"/>
  <c r="K1577" i="4"/>
  <c r="K745" i="4"/>
  <c r="K1624" i="4"/>
  <c r="K1248" i="4"/>
  <c r="K656" i="4"/>
  <c r="K231" i="4"/>
  <c r="K1572" i="4"/>
  <c r="K577" i="4"/>
  <c r="K1387" i="4"/>
  <c r="K766" i="4"/>
  <c r="K931" i="4"/>
  <c r="K1467" i="4"/>
  <c r="K111" i="4"/>
  <c r="K1091" i="4"/>
  <c r="K858" i="4"/>
  <c r="K982" i="4"/>
  <c r="K1099" i="4"/>
  <c r="K426" i="4"/>
  <c r="K320" i="4"/>
  <c r="K1608" i="4"/>
  <c r="K885" i="4"/>
  <c r="K1094" i="4"/>
  <c r="K1019" i="4"/>
  <c r="K638" i="4"/>
  <c r="K386" i="4"/>
  <c r="K1604" i="4"/>
  <c r="K1120" i="4"/>
  <c r="K1003" i="4"/>
  <c r="K484" i="4"/>
  <c r="K209" i="4"/>
  <c r="K742" i="4"/>
  <c r="K1144" i="4"/>
  <c r="K618" i="4"/>
  <c r="K109" i="4"/>
  <c r="K1632" i="4"/>
  <c r="K1061" i="4"/>
  <c r="K1121" i="4"/>
  <c r="K641" i="4"/>
  <c r="K1667" i="4"/>
  <c r="K1623" i="4"/>
  <c r="K738" i="4"/>
  <c r="K300" i="4"/>
  <c r="K1635" i="4"/>
  <c r="K541" i="4"/>
  <c r="K630" i="4"/>
  <c r="K609" i="4"/>
  <c r="K795" i="4"/>
  <c r="K537" i="4"/>
  <c r="K1014" i="4"/>
  <c r="K1047" i="4"/>
  <c r="K1543" i="4"/>
  <c r="K190" i="4"/>
  <c r="K478" i="4"/>
  <c r="K631" i="4"/>
  <c r="K476" i="4"/>
  <c r="K1595" i="4"/>
  <c r="K1011" i="4"/>
  <c r="K189" i="4"/>
  <c r="K385" i="4"/>
  <c r="K595" i="4"/>
  <c r="K1146" i="4"/>
  <c r="K646" i="4"/>
  <c r="K740" i="4"/>
  <c r="K1460" i="4"/>
  <c r="K112" i="4"/>
  <c r="K243" i="4"/>
  <c r="K524" i="4"/>
  <c r="K1357" i="4"/>
  <c r="K582" i="4"/>
  <c r="K534" i="4"/>
  <c r="K56" i="4"/>
  <c r="K17" i="4"/>
  <c r="K456" i="4"/>
  <c r="K298" i="4"/>
  <c r="K888" i="4"/>
  <c r="K1358" i="4"/>
  <c r="K1060" i="4"/>
  <c r="K1147" i="4"/>
  <c r="K937" i="4"/>
  <c r="K798" i="4"/>
  <c r="K1351" i="4"/>
  <c r="K15" i="4"/>
  <c r="K113" i="4"/>
  <c r="K110" i="4"/>
  <c r="K261" i="4"/>
  <c r="K1073" i="4"/>
  <c r="K228" i="4"/>
  <c r="K1537" i="4"/>
  <c r="K1535" i="4"/>
  <c r="K373" i="4"/>
  <c r="K1565" i="4"/>
  <c r="K1647" i="4"/>
  <c r="K932" i="4"/>
  <c r="K245" i="4"/>
  <c r="K748" i="4"/>
  <c r="K827" i="4"/>
  <c r="K1484" i="4"/>
  <c r="K848" i="4"/>
  <c r="K935" i="4"/>
  <c r="K868" i="4"/>
  <c r="K546" i="4"/>
  <c r="K360" i="4"/>
  <c r="K466" i="4"/>
  <c r="K611" i="4"/>
  <c r="K509" i="4"/>
  <c r="K540" i="4"/>
  <c r="K619" i="4"/>
  <c r="K963" i="4"/>
  <c r="K14" i="4"/>
  <c r="K1051" i="4"/>
  <c r="K959" i="4"/>
  <c r="K1589" i="4"/>
  <c r="K1135" i="4"/>
  <c r="K104" i="4"/>
  <c r="K839" i="4"/>
  <c r="K210" i="4"/>
  <c r="K297" i="4"/>
  <c r="K580" i="4"/>
  <c r="K446" i="4"/>
  <c r="K728" i="4"/>
  <c r="K829" i="4"/>
  <c r="K1547" i="4"/>
  <c r="G438" i="4"/>
  <c r="G641" i="4"/>
  <c r="G766" i="4"/>
  <c r="G534" i="4"/>
  <c r="G1667" i="4"/>
  <c r="G931" i="4"/>
  <c r="G259" i="4"/>
  <c r="G1014" i="4"/>
  <c r="G739" i="4"/>
  <c r="G1467" i="4"/>
  <c r="G1517" i="4"/>
  <c r="G456" i="4"/>
  <c r="G300" i="4"/>
  <c r="G360" i="4"/>
  <c r="G1370" i="4"/>
  <c r="G1635" i="4"/>
  <c r="G466" i="4"/>
  <c r="G385" i="4"/>
  <c r="G1514" i="4"/>
  <c r="G611" i="4"/>
  <c r="G1547" i="4"/>
  <c r="G607" i="4"/>
  <c r="G541" i="4"/>
  <c r="G509" i="4"/>
  <c r="G619" i="4"/>
  <c r="G595" i="4"/>
  <c r="F1588" i="4"/>
  <c r="F1578" i="4"/>
  <c r="F609" i="4"/>
  <c r="G813" i="4"/>
  <c r="F1624" i="4"/>
  <c r="F656" i="4"/>
  <c r="G307" i="4"/>
  <c r="F386" i="4"/>
  <c r="G1600" i="4"/>
  <c r="F543" i="4"/>
  <c r="F977" i="4"/>
  <c r="G562" i="4"/>
  <c r="F238" i="4"/>
  <c r="F979" i="4"/>
  <c r="G1504" i="4"/>
  <c r="F537" i="4"/>
  <c r="F1536" i="4"/>
  <c r="G949" i="4"/>
  <c r="F1229" i="4"/>
  <c r="F1551" i="4"/>
  <c r="F1404" i="4"/>
  <c r="F848" i="4"/>
  <c r="G1146" i="4"/>
  <c r="F1391" i="4"/>
  <c r="F935" i="4"/>
  <c r="G319" i="4"/>
  <c r="F1417" i="4"/>
  <c r="F868" i="4"/>
  <c r="G1460" i="4"/>
  <c r="F1405" i="4"/>
  <c r="F1099" i="4"/>
  <c r="G920" i="4"/>
  <c r="F1146" i="4"/>
  <c r="F392" i="4"/>
  <c r="G929" i="4"/>
  <c r="F319" i="4"/>
  <c r="F650" i="4"/>
  <c r="G583" i="4"/>
  <c r="F1460" i="4"/>
  <c r="F1310" i="4"/>
  <c r="F405" i="4"/>
  <c r="G943" i="4"/>
  <c r="F1457" i="4"/>
  <c r="F1604" i="4"/>
  <c r="G1123" i="4"/>
  <c r="F524" i="4"/>
  <c r="F844" i="4"/>
  <c r="G242" i="4"/>
  <c r="F1525" i="4"/>
  <c r="F1013" i="4"/>
  <c r="G1124" i="4"/>
  <c r="F1484" i="4"/>
  <c r="F1554" i="4"/>
  <c r="F1044" i="4"/>
  <c r="F641" i="4"/>
  <c r="G596" i="4"/>
  <c r="F1392" i="4"/>
  <c r="F1667" i="4"/>
  <c r="G936" i="4"/>
  <c r="F1218" i="4"/>
  <c r="G1248" i="4"/>
  <c r="G795" i="4"/>
  <c r="F360" i="4"/>
  <c r="F1361" i="4"/>
  <c r="G748" i="4"/>
  <c r="F611" i="4"/>
  <c r="F1381" i="4"/>
  <c r="G1387" i="4"/>
  <c r="G1388" i="4"/>
  <c r="G1364" i="4"/>
  <c r="F1589" i="4"/>
  <c r="F1600" i="4"/>
  <c r="G672" i="4"/>
  <c r="F1047" i="4"/>
  <c r="F1504" i="4"/>
  <c r="G715" i="4"/>
  <c r="G1565" i="4"/>
  <c r="G582" i="4"/>
  <c r="F1411" i="4"/>
  <c r="G1457" i="4"/>
  <c r="F1660" i="4"/>
  <c r="G1554" i="4"/>
  <c r="F1641" i="4"/>
  <c r="G245" i="4"/>
  <c r="F1635" i="4"/>
  <c r="F1553" i="4"/>
  <c r="G1061" i="4"/>
  <c r="F541" i="4"/>
  <c r="G594" i="4"/>
  <c r="G231" i="4"/>
  <c r="F1661" i="4"/>
  <c r="G1525" i="4"/>
  <c r="G1484" i="4"/>
  <c r="D1404" i="4"/>
  <c r="D1577" i="4"/>
  <c r="D1391" i="4"/>
  <c r="D936" i="4"/>
  <c r="C1144" i="4"/>
  <c r="G848" i="4"/>
  <c r="G728" i="4"/>
  <c r="G758" i="4"/>
  <c r="G1623" i="4"/>
  <c r="G738" i="4"/>
  <c r="G829" i="4"/>
  <c r="G1589" i="4"/>
  <c r="G1091" i="4"/>
  <c r="G1515" i="4"/>
  <c r="G1047" i="4"/>
  <c r="G1358" i="4"/>
  <c r="G976" i="4"/>
  <c r="F580" i="4"/>
  <c r="F646" i="4"/>
  <c r="F1248" i="4"/>
  <c r="F795" i="4"/>
  <c r="F1359" i="4"/>
  <c r="G1017" i="4"/>
  <c r="F631" i="4"/>
  <c r="F827" i="4"/>
  <c r="G1012" i="4"/>
  <c r="F1628" i="4"/>
  <c r="F1552" i="4"/>
  <c r="F959" i="4"/>
  <c r="F547" i="4"/>
  <c r="F861" i="4"/>
  <c r="F1647" i="4"/>
  <c r="F932" i="4"/>
  <c r="G473" i="4"/>
  <c r="F1224" i="4"/>
  <c r="G840" i="4"/>
  <c r="F796" i="4"/>
  <c r="F231" i="4"/>
  <c r="F261" i="4"/>
  <c r="F1572" i="4"/>
  <c r="G403" i="4"/>
  <c r="F1052" i="4"/>
  <c r="G1381" i="4"/>
  <c r="F373" i="4"/>
  <c r="F1627" i="4"/>
  <c r="F540" i="4"/>
  <c r="F534" i="4"/>
  <c r="F471" i="4"/>
  <c r="F1517" i="4"/>
  <c r="G1359" i="4"/>
  <c r="F403" i="4"/>
  <c r="G827" i="4"/>
  <c r="G1628" i="4"/>
  <c r="G1552" i="4"/>
  <c r="F307" i="4"/>
  <c r="F402" i="4"/>
  <c r="G577" i="4"/>
  <c r="F1135" i="4"/>
  <c r="G764" i="4"/>
  <c r="F622" i="4"/>
  <c r="G1595" i="4"/>
  <c r="F886" i="4"/>
  <c r="F619" i="4"/>
  <c r="G405" i="4"/>
  <c r="G790" i="4"/>
  <c r="G1627" i="4"/>
  <c r="D1146" i="4"/>
  <c r="D932" i="4"/>
  <c r="G1099" i="4"/>
  <c r="G1349" i="4"/>
  <c r="G426" i="4"/>
  <c r="G1543" i="4"/>
  <c r="G392" i="4"/>
  <c r="G937" i="4"/>
  <c r="G746" i="4"/>
  <c r="G798" i="4"/>
  <c r="G650" i="4"/>
  <c r="G1351" i="4"/>
  <c r="G1224" i="4"/>
  <c r="G1310" i="4"/>
  <c r="G1019" i="4"/>
  <c r="G796" i="4"/>
  <c r="G638" i="4"/>
  <c r="G246" i="4"/>
  <c r="G261" i="4"/>
  <c r="G430" i="4"/>
  <c r="G1604" i="4"/>
  <c r="G867" i="4"/>
  <c r="G228" i="4"/>
  <c r="G844" i="4"/>
  <c r="G1537" i="4"/>
  <c r="G1052" i="4"/>
  <c r="G1535" i="4"/>
  <c r="G1013" i="4"/>
  <c r="G373" i="4"/>
  <c r="G412" i="4"/>
  <c r="F1060" i="4"/>
  <c r="G870" i="4"/>
  <c r="F320" i="4"/>
  <c r="G232" i="4"/>
  <c r="F963" i="4"/>
  <c r="F885" i="4"/>
  <c r="G861" i="4"/>
  <c r="F512" i="4"/>
  <c r="G797" i="4"/>
  <c r="F376" i="4"/>
  <c r="F478" i="4"/>
  <c r="F1666" i="4"/>
  <c r="F1073" i="4"/>
  <c r="G1661" i="4"/>
  <c r="F446" i="4"/>
  <c r="F1003" i="4"/>
  <c r="G572" i="4"/>
  <c r="F1357" i="4"/>
  <c r="F1356" i="4"/>
  <c r="G1363" i="4"/>
  <c r="F582" i="4"/>
  <c r="F1011" i="4"/>
  <c r="F1523" i="4"/>
  <c r="F639" i="4"/>
  <c r="G1577" i="4"/>
  <c r="F586" i="4"/>
  <c r="G745" i="4"/>
  <c r="F813" i="4"/>
  <c r="F1623" i="4"/>
  <c r="G1657" i="4"/>
  <c r="F738" i="4"/>
  <c r="G946" i="4"/>
  <c r="F1577" i="4"/>
  <c r="F1543" i="4"/>
  <c r="G471" i="4"/>
  <c r="F745" i="4"/>
  <c r="F798" i="4"/>
  <c r="G525" i="4"/>
  <c r="F1657" i="4"/>
  <c r="G1411" i="4"/>
  <c r="F638" i="4"/>
  <c r="G803" i="4"/>
  <c r="F243" i="4"/>
  <c r="F430" i="4"/>
  <c r="G707" i="4"/>
  <c r="F672" i="4"/>
  <c r="F228" i="4"/>
  <c r="G942" i="4"/>
  <c r="F577" i="4"/>
  <c r="F1535" i="4"/>
  <c r="G296" i="4"/>
  <c r="F715" i="4"/>
  <c r="F412" i="4"/>
  <c r="F1565" i="4"/>
  <c r="F764" i="4"/>
  <c r="G1588" i="4"/>
  <c r="F920" i="4"/>
  <c r="G609" i="4"/>
  <c r="F929" i="4"/>
  <c r="F259" i="4"/>
  <c r="F840" i="4"/>
  <c r="F456" i="4"/>
  <c r="F943" i="4"/>
  <c r="G543" i="4"/>
  <c r="F1514" i="4"/>
  <c r="F242" i="4"/>
  <c r="G537" i="4"/>
  <c r="F595" i="4"/>
  <c r="G1551" i="4"/>
  <c r="F1175" i="4"/>
  <c r="F829" i="4"/>
  <c r="F299" i="4"/>
  <c r="G828" i="4"/>
  <c r="F858" i="4"/>
  <c r="F1085" i="4"/>
  <c r="G511" i="4"/>
  <c r="F976" i="4"/>
  <c r="G674" i="4"/>
  <c r="G407" i="4"/>
  <c r="F797" i="4"/>
  <c r="F847" i="4"/>
  <c r="F572" i="4"/>
  <c r="G540" i="4"/>
  <c r="G656" i="4"/>
  <c r="G376" i="4"/>
  <c r="F707" i="4"/>
  <c r="G446" i="4"/>
  <c r="F1547" i="4"/>
  <c r="F296" i="4"/>
  <c r="G1011" i="4"/>
  <c r="F546" i="4"/>
  <c r="F888" i="4"/>
  <c r="F1358" i="4"/>
  <c r="G630" i="4"/>
  <c r="D946" i="4"/>
  <c r="D1392" i="4"/>
  <c r="D609" i="4"/>
  <c r="D929" i="4"/>
  <c r="C1404" i="4"/>
  <c r="G639" i="4"/>
  <c r="G959" i="4"/>
  <c r="G935" i="4"/>
  <c r="G547" i="4"/>
  <c r="G868" i="4"/>
  <c r="G1371" i="4"/>
  <c r="G546" i="4"/>
  <c r="G375" i="4"/>
  <c r="G244" i="4"/>
  <c r="G402" i="4"/>
  <c r="G888" i="4"/>
  <c r="G982" i="4"/>
  <c r="G1299" i="4"/>
  <c r="G1110" i="4"/>
  <c r="F957" i="4"/>
  <c r="F523" i="4"/>
  <c r="G1516" i="4"/>
  <c r="F568" i="4"/>
  <c r="F1180" i="4"/>
  <c r="F748" i="4"/>
  <c r="G1085" i="4"/>
  <c r="F297" i="4"/>
  <c r="F1387" i="4"/>
  <c r="F1388" i="4"/>
  <c r="F870" i="4"/>
  <c r="G932" i="4"/>
  <c r="G740" i="4"/>
  <c r="G416" i="4"/>
  <c r="F426" i="4"/>
  <c r="G1060" i="4"/>
  <c r="G1578" i="4"/>
  <c r="G1147" i="4"/>
  <c r="G957" i="4"/>
  <c r="G320" i="4"/>
  <c r="G1608" i="4"/>
  <c r="G523" i="4"/>
  <c r="G885" i="4"/>
  <c r="G1094" i="4"/>
  <c r="G839" i="4"/>
  <c r="G512" i="4"/>
  <c r="G252" i="4"/>
  <c r="G568" i="4"/>
  <c r="G478" i="4"/>
  <c r="G386" i="4"/>
  <c r="G1180" i="4"/>
  <c r="G1073" i="4"/>
  <c r="G977" i="4"/>
  <c r="G1120" i="4"/>
  <c r="G631" i="4"/>
  <c r="G1003" i="4"/>
  <c r="G979" i="4"/>
  <c r="G484" i="4"/>
  <c r="G297" i="4"/>
  <c r="G1356" i="4"/>
  <c r="G1536" i="4"/>
  <c r="G476" i="4"/>
  <c r="G1404" i="4"/>
  <c r="F596" i="4"/>
  <c r="F1147" i="4"/>
  <c r="G1391" i="4"/>
  <c r="F936" i="4"/>
  <c r="F1608" i="4"/>
  <c r="G1417" i="4"/>
  <c r="F1364" i="4"/>
  <c r="F1094" i="4"/>
  <c r="G1405" i="4"/>
  <c r="F1595" i="4"/>
  <c r="F252" i="4"/>
  <c r="F245" i="4"/>
  <c r="G847" i="4"/>
  <c r="F1632" i="4"/>
  <c r="F1120" i="4"/>
  <c r="G1660" i="4"/>
  <c r="F1061" i="4"/>
  <c r="F484" i="4"/>
  <c r="G622" i="4"/>
  <c r="F465" i="4"/>
  <c r="F476" i="4"/>
  <c r="F594" i="4"/>
  <c r="F407" i="4"/>
  <c r="G1144" i="4"/>
  <c r="F1110" i="4"/>
  <c r="F728" i="4"/>
  <c r="G618" i="4"/>
  <c r="F930" i="4"/>
  <c r="F758" i="4"/>
  <c r="G690" i="4"/>
  <c r="F1352" i="4"/>
  <c r="G838" i="4"/>
  <c r="F1144" i="4"/>
  <c r="F1349" i="4"/>
  <c r="G1392" i="4"/>
  <c r="F618" i="4"/>
  <c r="F937" i="4"/>
  <c r="G1218" i="4"/>
  <c r="F690" i="4"/>
  <c r="F1351" i="4"/>
  <c r="G1175" i="4"/>
  <c r="F838" i="4"/>
  <c r="F1019" i="4"/>
  <c r="G1641" i="4"/>
  <c r="F239" i="4"/>
  <c r="F246" i="4"/>
  <c r="G886" i="4"/>
  <c r="F828" i="4"/>
  <c r="G1553" i="4"/>
  <c r="F1051" i="4"/>
  <c r="F1537" i="4"/>
  <c r="G1538" i="4"/>
  <c r="F511" i="4"/>
  <c r="G1546" i="4"/>
  <c r="F742" i="4"/>
  <c r="F674" i="4"/>
  <c r="F907" i="4"/>
  <c r="F766" i="4"/>
  <c r="G580" i="4"/>
  <c r="F958" i="4"/>
  <c r="F931" i="4"/>
  <c r="G646" i="4"/>
  <c r="F739" i="4"/>
  <c r="F1370" i="4"/>
  <c r="F1123" i="4"/>
  <c r="G238" i="4"/>
  <c r="F607" i="4"/>
  <c r="F1124" i="4"/>
  <c r="G1229" i="4"/>
  <c r="F1014" i="4"/>
  <c r="F1516" i="4"/>
  <c r="G239" i="4"/>
  <c r="F1091" i="4"/>
  <c r="F1017" i="4"/>
  <c r="G1051" i="4"/>
  <c r="F982" i="4"/>
  <c r="F1012" i="4"/>
  <c r="G742" i="4"/>
  <c r="G465" i="4"/>
  <c r="F1467" i="4"/>
  <c r="F244" i="4"/>
  <c r="G524" i="4"/>
  <c r="F1363" i="4"/>
  <c r="F583" i="4"/>
  <c r="F803" i="4"/>
  <c r="G1666" i="4"/>
  <c r="F385" i="4"/>
  <c r="F942" i="4"/>
  <c r="G1357" i="4"/>
  <c r="F1546" i="4"/>
  <c r="F525" i="4"/>
  <c r="F375" i="4"/>
  <c r="G1572" i="4"/>
  <c r="F1526" i="4"/>
  <c r="F1299" i="4"/>
  <c r="G1044" i="4"/>
  <c r="D920" i="4"/>
  <c r="D124" i="4"/>
  <c r="D930" i="4"/>
  <c r="C907" i="4"/>
  <c r="G586" i="4"/>
  <c r="G298" i="4"/>
  <c r="G858" i="4"/>
  <c r="G1526" i="4"/>
  <c r="G1135" i="4"/>
  <c r="F438" i="4"/>
  <c r="G930" i="4"/>
  <c r="G1352" i="4"/>
  <c r="F839" i="4"/>
  <c r="G299" i="4"/>
  <c r="G1647" i="4"/>
  <c r="F232" i="4"/>
  <c r="F1371" i="4"/>
  <c r="G958" i="4"/>
  <c r="F746" i="4"/>
  <c r="F740" i="4"/>
  <c r="F416" i="4"/>
  <c r="G389" i="4"/>
  <c r="G1361" i="4"/>
  <c r="F867" i="4"/>
  <c r="F790" i="4"/>
  <c r="F1121" i="4"/>
  <c r="F630" i="4"/>
  <c r="F946" i="4"/>
  <c r="F473" i="4"/>
  <c r="F389" i="4"/>
  <c r="F466" i="4"/>
  <c r="F509" i="4"/>
  <c r="F9" i="4"/>
  <c r="G243" i="4"/>
  <c r="F562" i="4"/>
  <c r="F949" i="4"/>
  <c r="G963" i="4"/>
  <c r="F1515" i="4"/>
  <c r="G1624" i="4"/>
  <c r="F300" i="4"/>
  <c r="G1632" i="4"/>
  <c r="F1538" i="4"/>
  <c r="G1523" i="4"/>
  <c r="F298" i="4"/>
  <c r="G1121" i="4"/>
  <c r="D1110" i="4"/>
  <c r="D1218" i="4"/>
  <c r="C438" i="4"/>
  <c r="C641" i="4"/>
  <c r="C766" i="4"/>
  <c r="C534" i="4"/>
  <c r="C125" i="4"/>
  <c r="C1667" i="4"/>
  <c r="C931" i="4"/>
  <c r="C56" i="4"/>
  <c r="C259" i="4"/>
  <c r="C1014" i="4"/>
  <c r="C739" i="4"/>
  <c r="C1467" i="4"/>
  <c r="C17" i="4"/>
  <c r="C9" i="4"/>
  <c r="C1517" i="4"/>
  <c r="C111" i="4"/>
  <c r="C456" i="4"/>
  <c r="C300" i="4"/>
  <c r="C360" i="4"/>
  <c r="C22" i="4"/>
  <c r="C1370" i="4"/>
  <c r="C1635" i="4"/>
  <c r="C466" i="4"/>
  <c r="C385" i="4"/>
  <c r="C1514" i="4"/>
  <c r="C37" i="4"/>
  <c r="C611" i="4"/>
  <c r="C1547" i="4"/>
  <c r="C607" i="4"/>
  <c r="C541" i="4"/>
  <c r="C509" i="4"/>
  <c r="C619" i="4"/>
  <c r="C595" i="4"/>
  <c r="D125" i="4"/>
  <c r="D56" i="4"/>
  <c r="C690" i="4"/>
  <c r="C1657" i="4"/>
  <c r="D840" i="4"/>
  <c r="C112" i="4"/>
  <c r="D638" i="4"/>
  <c r="D803" i="4"/>
  <c r="D261" i="4"/>
  <c r="C828" i="4"/>
  <c r="C1525" i="4"/>
  <c r="C630" i="4"/>
  <c r="C946" i="4"/>
  <c r="D963" i="4"/>
  <c r="D14" i="4"/>
  <c r="D109" i="4"/>
  <c r="D466" i="4"/>
  <c r="D607" i="4"/>
  <c r="D1628" i="4"/>
  <c r="D1543" i="4"/>
  <c r="D1352" i="4"/>
  <c r="C795" i="4"/>
  <c r="C1577" i="4"/>
  <c r="C618" i="4"/>
  <c r="C745" i="4"/>
  <c r="D547" i="4"/>
  <c r="D740" i="4"/>
  <c r="C861" i="4"/>
  <c r="D838" i="4"/>
  <c r="C1516" i="4"/>
  <c r="D405" i="4"/>
  <c r="C21" i="4"/>
  <c r="C847" i="4"/>
  <c r="C1661" i="4"/>
  <c r="D888" i="4"/>
  <c r="C1085" i="4"/>
  <c r="C1504" i="4"/>
  <c r="D1135" i="4"/>
  <c r="C1363" i="4"/>
  <c r="D630" i="4"/>
  <c r="D1627" i="4"/>
  <c r="C672" i="4"/>
  <c r="C1051" i="4"/>
  <c r="C577" i="4"/>
  <c r="C511" i="4"/>
  <c r="D1546" i="4"/>
  <c r="C1044" i="4"/>
  <c r="D942" i="4"/>
  <c r="C1121" i="4"/>
  <c r="C1094" i="4"/>
  <c r="C210" i="4"/>
  <c r="C631" i="4"/>
  <c r="C484" i="4"/>
  <c r="C476" i="4"/>
  <c r="D798" i="4"/>
  <c r="D24" i="4"/>
  <c r="C243" i="4"/>
  <c r="C790" i="4"/>
  <c r="C1218" i="4"/>
  <c r="C707" i="4"/>
  <c r="D827" i="4"/>
  <c r="C963" i="4"/>
  <c r="C596" i="4"/>
  <c r="C936" i="4"/>
  <c r="D1371" i="4"/>
  <c r="C299" i="4"/>
  <c r="D672" i="4"/>
  <c r="D1525" i="4"/>
  <c r="D1565" i="4"/>
  <c r="C715" i="4"/>
  <c r="C674" i="4"/>
  <c r="C1099" i="4"/>
  <c r="C1349" i="4"/>
  <c r="C426" i="4"/>
  <c r="C1543" i="4"/>
  <c r="C392" i="4"/>
  <c r="C937" i="4"/>
  <c r="C746" i="4"/>
  <c r="C798" i="4"/>
  <c r="C650" i="4"/>
  <c r="C1351" i="4"/>
  <c r="C1224" i="4"/>
  <c r="C15" i="4"/>
  <c r="C1310" i="4"/>
  <c r="C1019" i="4"/>
  <c r="C796" i="4"/>
  <c r="C638" i="4"/>
  <c r="C110" i="4"/>
  <c r="C246" i="4"/>
  <c r="C261" i="4"/>
  <c r="C430" i="4"/>
  <c r="C1604" i="4"/>
  <c r="C20" i="4"/>
  <c r="C867" i="4"/>
  <c r="C228" i="4"/>
  <c r="C844" i="4"/>
  <c r="C1537" i="4"/>
  <c r="C1052" i="4"/>
  <c r="C1535" i="4"/>
  <c r="C1013" i="4"/>
  <c r="C209" i="4"/>
  <c r="C373" i="4"/>
  <c r="C412" i="4"/>
  <c r="D586" i="4"/>
  <c r="D758" i="4"/>
  <c r="D650" i="4"/>
  <c r="D1224" i="4"/>
  <c r="C838" i="4"/>
  <c r="D796" i="4"/>
  <c r="D389" i="4"/>
  <c r="C231" i="4"/>
  <c r="D886" i="4"/>
  <c r="C1572" i="4"/>
  <c r="D1535" i="4"/>
  <c r="C1554" i="4"/>
  <c r="C1391" i="4"/>
  <c r="D1624" i="4"/>
  <c r="C1411" i="4"/>
  <c r="C943" i="4"/>
  <c r="D748" i="4"/>
  <c r="D537" i="4"/>
  <c r="D1011" i="4"/>
  <c r="D320" i="4"/>
  <c r="D861" i="4"/>
  <c r="C1588" i="4"/>
  <c r="C580" i="4"/>
  <c r="C609" i="4"/>
  <c r="C646" i="4"/>
  <c r="D690" i="4"/>
  <c r="C1352" i="4"/>
  <c r="D1460" i="4"/>
  <c r="C1405" i="4"/>
  <c r="D112" i="4"/>
  <c r="C307" i="4"/>
  <c r="D1457" i="4"/>
  <c r="C1017" i="4"/>
  <c r="D858" i="4"/>
  <c r="D1051" i="4"/>
  <c r="D1526" i="4"/>
  <c r="D1358" i="4"/>
  <c r="D1121" i="4"/>
  <c r="D976" i="4"/>
  <c r="D742" i="4"/>
  <c r="D764" i="4"/>
  <c r="D867" i="4"/>
  <c r="D844" i="4"/>
  <c r="D1052" i="4"/>
  <c r="D1013" i="4"/>
  <c r="C742" i="4"/>
  <c r="C639" i="4"/>
  <c r="C848" i="4"/>
  <c r="C728" i="4"/>
  <c r="C959" i="4"/>
  <c r="C586" i="4"/>
  <c r="C935" i="4"/>
  <c r="C758" i="4"/>
  <c r="C547" i="4"/>
  <c r="C1623" i="4"/>
  <c r="C868" i="4"/>
  <c r="C189" i="4"/>
  <c r="C1371" i="4"/>
  <c r="C738" i="4"/>
  <c r="C546" i="4"/>
  <c r="C829" i="4"/>
  <c r="C375" i="4"/>
  <c r="C1589" i="4"/>
  <c r="C244" i="4"/>
  <c r="C1091" i="4"/>
  <c r="C298" i="4"/>
  <c r="C402" i="4"/>
  <c r="C1515" i="4"/>
  <c r="C858" i="4"/>
  <c r="C888" i="4"/>
  <c r="C1047" i="4"/>
  <c r="C1526" i="4"/>
  <c r="C982" i="4"/>
  <c r="C1358" i="4"/>
  <c r="C1135" i="4"/>
  <c r="C1299" i="4"/>
  <c r="C976" i="4"/>
  <c r="D639" i="4"/>
  <c r="D931" i="4"/>
  <c r="C319" i="4"/>
  <c r="C740" i="4"/>
  <c r="C1460" i="4"/>
  <c r="C416" i="4"/>
  <c r="D1641" i="4"/>
  <c r="C239" i="4"/>
  <c r="D943" i="4"/>
  <c r="C1457" i="4"/>
  <c r="D1553" i="4"/>
  <c r="D1124" i="4"/>
  <c r="C1627" i="4"/>
  <c r="C929" i="4"/>
  <c r="C583" i="4"/>
  <c r="C1641" i="4"/>
  <c r="D22" i="4"/>
  <c r="C242" i="4"/>
  <c r="D465" i="4"/>
  <c r="D1552" i="4"/>
  <c r="D746" i="4"/>
  <c r="D16" i="4"/>
  <c r="C1647" i="4"/>
  <c r="C1146" i="4"/>
  <c r="C932" i="4"/>
  <c r="D319" i="4"/>
  <c r="C1417" i="4"/>
  <c r="D868" i="4"/>
  <c r="C16" i="4"/>
  <c r="D738" i="4"/>
  <c r="C797" i="4"/>
  <c r="C23" i="4"/>
  <c r="C1600" i="4"/>
  <c r="D1515" i="4"/>
  <c r="D524" i="4"/>
  <c r="C1660" i="4"/>
  <c r="C572" i="4"/>
  <c r="D511" i="4"/>
  <c r="C1012" i="4"/>
  <c r="D1484" i="4"/>
  <c r="D1554" i="4"/>
  <c r="D707" i="4"/>
  <c r="C524" i="4"/>
  <c r="D1538" i="4"/>
  <c r="C1565" i="4"/>
  <c r="C512" i="4"/>
  <c r="C568" i="4"/>
  <c r="C478" i="4"/>
  <c r="C1180" i="4"/>
  <c r="C977" i="4"/>
  <c r="C1003" i="4"/>
  <c r="C1356" i="4"/>
  <c r="C1536" i="4"/>
  <c r="D935" i="4"/>
  <c r="D15" i="4"/>
  <c r="C405" i="4"/>
  <c r="D1361" i="4"/>
  <c r="C764" i="4"/>
  <c r="D456" i="4"/>
  <c r="D1060" i="4"/>
  <c r="C50" i="4"/>
  <c r="C813" i="4"/>
  <c r="D1657" i="4"/>
  <c r="D416" i="4"/>
  <c r="D828" i="4"/>
  <c r="D1047" i="4"/>
  <c r="C622" i="4"/>
  <c r="D1299" i="4"/>
  <c r="D228" i="4"/>
  <c r="D1381" i="4"/>
  <c r="C1060" i="4"/>
  <c r="C1578" i="4"/>
  <c r="C1147" i="4"/>
  <c r="C957" i="4"/>
  <c r="C320" i="4"/>
  <c r="C104" i="4"/>
  <c r="C1608" i="4"/>
  <c r="C523" i="4"/>
  <c r="C885" i="4"/>
  <c r="C190" i="4"/>
  <c r="C839" i="4"/>
  <c r="C113" i="4"/>
  <c r="C252" i="4"/>
  <c r="C386" i="4"/>
  <c r="C1073" i="4"/>
  <c r="C1120" i="4"/>
  <c r="C979" i="4"/>
  <c r="C297" i="4"/>
  <c r="D728" i="4"/>
  <c r="D1351" i="4"/>
  <c r="D110" i="4"/>
  <c r="C1484" i="4"/>
  <c r="D1248" i="4"/>
  <c r="D1387" i="4"/>
  <c r="D1516" i="4"/>
  <c r="D1623" i="4"/>
  <c r="D829" i="4"/>
  <c r="C562" i="4"/>
  <c r="C949" i="4"/>
  <c r="D20" i="4"/>
  <c r="D1537" i="4"/>
  <c r="C540" i="4"/>
  <c r="G272" i="1" l="1"/>
  <c r="G253" i="1"/>
  <c r="G273" i="1"/>
  <c r="G263" i="1"/>
  <c r="G264" i="1"/>
  <c r="G265" i="1"/>
  <c r="G266" i="1"/>
  <c r="G267" i="1"/>
  <c r="G268" i="1"/>
  <c r="G269" i="1"/>
  <c r="G270" i="1"/>
  <c r="G271" i="1"/>
  <c r="G233" i="1"/>
  <c r="G237" i="1"/>
  <c r="G241" i="1"/>
  <c r="G245" i="1"/>
  <c r="G249" i="1"/>
  <c r="G257" i="1"/>
  <c r="G261" i="1"/>
  <c r="G234" i="1"/>
  <c r="G238" i="1"/>
  <c r="G242" i="1"/>
  <c r="G246" i="1"/>
  <c r="G250" i="1"/>
  <c r="G254" i="1"/>
  <c r="G258" i="1"/>
  <c r="G262" i="1"/>
  <c r="G235" i="1"/>
  <c r="G239" i="1"/>
  <c r="G243" i="1"/>
  <c r="G247" i="1"/>
  <c r="G251" i="1"/>
  <c r="G255" i="1"/>
  <c r="G259" i="1"/>
  <c r="G236" i="1"/>
  <c r="G240" i="1"/>
  <c r="G244" i="1"/>
  <c r="G248" i="1"/>
  <c r="G252" i="1"/>
  <c r="G256" i="1"/>
  <c r="G260" i="1"/>
  <c r="I274" i="1"/>
  <c r="K274" i="1"/>
  <c r="P274" i="1"/>
  <c r="R274" i="1"/>
  <c r="S274" i="1"/>
  <c r="R273" i="1"/>
  <c r="S273" i="1"/>
  <c r="P273" i="1"/>
  <c r="I273" i="1"/>
  <c r="C274" i="1"/>
  <c r="D274" i="1"/>
  <c r="F274" i="1"/>
  <c r="K273" i="1"/>
  <c r="C273" i="1"/>
  <c r="D641" i="4"/>
  <c r="C1392" i="4"/>
  <c r="C930" i="4"/>
  <c r="D1014" i="4"/>
  <c r="C1175" i="4"/>
  <c r="D1517" i="4"/>
  <c r="C389" i="4"/>
  <c r="D1370" i="4"/>
  <c r="D385" i="4"/>
  <c r="D37" i="4"/>
  <c r="C1538" i="4"/>
  <c r="C296" i="4"/>
  <c r="D1229" i="4"/>
  <c r="D1578" i="4"/>
  <c r="D813" i="4"/>
  <c r="C1248" i="4"/>
  <c r="C656" i="4"/>
  <c r="D797" i="4"/>
  <c r="D1120" i="4"/>
  <c r="C238" i="4"/>
  <c r="D1073" i="4"/>
  <c r="C1359" i="4"/>
  <c r="C827" i="4"/>
  <c r="C1388" i="4"/>
  <c r="C594" i="4"/>
  <c r="D977" i="4"/>
  <c r="D21" i="4"/>
  <c r="D259" i="4"/>
  <c r="D543" i="4"/>
  <c r="C1381" i="4"/>
  <c r="D1551" i="4"/>
  <c r="C14" i="4"/>
  <c r="C245" i="4"/>
  <c r="D1363" i="4"/>
  <c r="D386" i="4"/>
  <c r="C582" i="4"/>
  <c r="C1110" i="4"/>
  <c r="C124" i="4"/>
  <c r="C232" i="4"/>
  <c r="C525" i="4"/>
  <c r="D17" i="4"/>
  <c r="C24" i="4"/>
  <c r="C803" i="4"/>
  <c r="C1361" i="4"/>
  <c r="C1553" i="4"/>
  <c r="C942" i="4"/>
  <c r="D1357" i="4"/>
  <c r="C1124" i="4"/>
  <c r="D1388" i="4"/>
  <c r="D1147" i="4"/>
  <c r="C1624" i="4"/>
  <c r="D1094" i="4"/>
  <c r="D512" i="4"/>
  <c r="D23" i="4"/>
  <c r="D1660" i="4"/>
  <c r="D1504" i="4"/>
  <c r="D572" i="4"/>
  <c r="D1180" i="4"/>
  <c r="D1012" i="4"/>
  <c r="C1552" i="4"/>
  <c r="C109" i="4"/>
  <c r="D562" i="4"/>
  <c r="D949" i="4"/>
  <c r="C1666" i="4"/>
  <c r="D1356" i="4"/>
  <c r="C920" i="4"/>
  <c r="D739" i="4"/>
  <c r="D360" i="4"/>
  <c r="D611" i="4"/>
  <c r="D885" i="4"/>
  <c r="D622" i="4"/>
  <c r="C1387" i="4"/>
  <c r="C1061" i="4"/>
  <c r="C1551" i="4"/>
  <c r="D1661" i="4"/>
  <c r="C870" i="4"/>
  <c r="C471" i="4"/>
  <c r="C473" i="4"/>
  <c r="D1467" i="4"/>
  <c r="D9" i="4"/>
  <c r="D795" i="4"/>
  <c r="C886" i="4"/>
  <c r="C1123" i="4"/>
  <c r="C403" i="4"/>
  <c r="D1547" i="4"/>
  <c r="D541" i="4"/>
  <c r="D582" i="4"/>
  <c r="D1523" i="4"/>
  <c r="D1608" i="4"/>
  <c r="C1364" i="4"/>
  <c r="D839" i="4"/>
  <c r="D113" i="4"/>
  <c r="C1632" i="4"/>
  <c r="C407" i="4"/>
  <c r="D478" i="4"/>
  <c r="D568" i="4"/>
  <c r="C748" i="4"/>
  <c r="C1628" i="4"/>
  <c r="C465" i="4"/>
  <c r="C543" i="4"/>
  <c r="C537" i="4"/>
  <c r="C376" i="4"/>
  <c r="C446" i="4"/>
  <c r="C1011" i="4"/>
  <c r="D1536" i="4"/>
  <c r="C1357" i="4"/>
  <c r="C1523" i="4"/>
  <c r="C958" i="4"/>
  <c r="C840" i="4"/>
  <c r="D111" i="4"/>
  <c r="D1514" i="4"/>
  <c r="C1546" i="4"/>
  <c r="D937" i="4"/>
  <c r="C1595" i="4"/>
  <c r="C1229" i="4"/>
  <c r="D1017" i="4"/>
  <c r="D979" i="4"/>
  <c r="D618" i="4"/>
  <c r="D509" i="4"/>
  <c r="D104" i="4"/>
  <c r="D619" i="4"/>
  <c r="D50" i="4"/>
  <c r="D373" i="4"/>
  <c r="D375" i="4"/>
  <c r="D646" i="4"/>
  <c r="D907" i="4"/>
  <c r="D307" i="4"/>
  <c r="D243" i="4"/>
  <c r="D1604" i="4"/>
  <c r="D190" i="4"/>
  <c r="D476" i="4"/>
  <c r="D523" i="4"/>
  <c r="D1310" i="4"/>
  <c r="D1572" i="4"/>
  <c r="D426" i="4"/>
  <c r="D583" i="4"/>
  <c r="D392" i="4"/>
  <c r="D674" i="4"/>
  <c r="D1647" i="4"/>
  <c r="D1635" i="4"/>
  <c r="D246" i="4"/>
  <c r="D715" i="4"/>
  <c r="D1588" i="4"/>
  <c r="D297" i="4"/>
  <c r="D959" i="4"/>
  <c r="D412" i="4"/>
  <c r="D745" i="4"/>
  <c r="D595" i="4"/>
  <c r="D210" i="4"/>
  <c r="D1667" i="4"/>
  <c r="D1003" i="4"/>
  <c r="D957" i="4"/>
  <c r="D1349" i="4"/>
  <c r="D577" i="4"/>
  <c r="D484" i="4"/>
  <c r="D766" i="4"/>
  <c r="D1019" i="4"/>
  <c r="D790" i="4"/>
  <c r="D596" i="4"/>
  <c r="D1589" i="4"/>
  <c r="D1091" i="4"/>
  <c r="D1144" i="4"/>
  <c r="D402" i="4"/>
  <c r="D1405" i="4"/>
  <c r="D231" i="4"/>
  <c r="D438" i="4"/>
  <c r="D580" i="4"/>
  <c r="D1417" i="4"/>
  <c r="D239" i="4"/>
  <c r="D298" i="4"/>
  <c r="D189" i="4"/>
  <c r="D1085" i="4"/>
  <c r="D1411" i="4"/>
  <c r="D982" i="4"/>
  <c r="D546" i="4"/>
  <c r="D1099" i="4"/>
  <c r="D300" i="4"/>
  <c r="D244" i="4"/>
  <c r="D242" i="4"/>
  <c r="D252" i="4"/>
  <c r="D847" i="4"/>
  <c r="D1600" i="4"/>
  <c r="D631" i="4"/>
  <c r="D430" i="4"/>
  <c r="D1044" i="4"/>
  <c r="D209" i="4"/>
  <c r="D534" i="4"/>
  <c r="D848" i="4"/>
  <c r="D299" i="4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3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10" i="1"/>
  <c r="K18" i="1"/>
  <c r="K22" i="1"/>
  <c r="K30" i="1"/>
  <c r="K38" i="1"/>
  <c r="K42" i="1"/>
  <c r="K50" i="1"/>
  <c r="K58" i="1"/>
  <c r="K66" i="1"/>
  <c r="K70" i="1"/>
  <c r="K74" i="1"/>
  <c r="K82" i="1"/>
  <c r="K4" i="1"/>
  <c r="K8" i="1"/>
  <c r="K12" i="1"/>
  <c r="K20" i="1"/>
  <c r="K24" i="1"/>
  <c r="K28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100" i="1"/>
  <c r="K104" i="1"/>
  <c r="K108" i="1"/>
  <c r="K112" i="1"/>
  <c r="K120" i="1"/>
  <c r="K124" i="1"/>
  <c r="K128" i="1"/>
  <c r="K132" i="1"/>
  <c r="K136" i="1"/>
  <c r="K140" i="1"/>
  <c r="K148" i="1"/>
  <c r="K152" i="1"/>
  <c r="K156" i="1"/>
  <c r="K160" i="1"/>
  <c r="K164" i="1"/>
  <c r="K172" i="1"/>
  <c r="K176" i="1"/>
  <c r="K180" i="1"/>
  <c r="K184" i="1"/>
  <c r="K188" i="1"/>
  <c r="K192" i="1"/>
  <c r="K196" i="1"/>
  <c r="K200" i="1"/>
  <c r="K204" i="1"/>
  <c r="K208" i="1"/>
  <c r="K212" i="1"/>
  <c r="K220" i="1"/>
  <c r="K224" i="1"/>
  <c r="K228" i="1"/>
  <c r="K232" i="1"/>
  <c r="K236" i="1"/>
  <c r="K240" i="1"/>
  <c r="K244" i="1"/>
  <c r="K248" i="1"/>
  <c r="K252" i="1"/>
  <c r="K256" i="1"/>
  <c r="K260" i="1"/>
  <c r="K264" i="1"/>
  <c r="K268" i="1"/>
  <c r="K272" i="1"/>
  <c r="K5" i="1"/>
  <c r="K9" i="1"/>
  <c r="K13" i="1"/>
  <c r="K17" i="1"/>
  <c r="K21" i="1"/>
  <c r="K25" i="1"/>
  <c r="K29" i="1"/>
  <c r="K37" i="1"/>
  <c r="K41" i="1"/>
  <c r="K49" i="1"/>
  <c r="K53" i="1"/>
  <c r="K57" i="1"/>
  <c r="K61" i="1"/>
  <c r="K65" i="1"/>
  <c r="K69" i="1"/>
  <c r="K73" i="1"/>
  <c r="K77" i="1"/>
  <c r="K81" i="1"/>
  <c r="K85" i="1"/>
  <c r="K89" i="1"/>
  <c r="K97" i="1"/>
  <c r="K101" i="1"/>
  <c r="K105" i="1"/>
  <c r="K109" i="1"/>
  <c r="K113" i="1"/>
  <c r="K121" i="1"/>
  <c r="K125" i="1"/>
  <c r="K129" i="1"/>
  <c r="K133" i="1"/>
  <c r="K137" i="1"/>
  <c r="K141" i="1"/>
  <c r="K149" i="1"/>
  <c r="K153" i="1"/>
  <c r="K157" i="1"/>
  <c r="K161" i="1"/>
  <c r="K165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41" i="1"/>
  <c r="K245" i="1"/>
  <c r="K249" i="1"/>
  <c r="K253" i="1"/>
  <c r="K257" i="1"/>
  <c r="K261" i="1"/>
  <c r="K265" i="1"/>
  <c r="K269" i="1"/>
  <c r="K14" i="1"/>
  <c r="K26" i="1"/>
  <c r="K34" i="1"/>
  <c r="K46" i="1"/>
  <c r="K54" i="1"/>
  <c r="K62" i="1"/>
  <c r="K78" i="1"/>
  <c r="K106" i="1"/>
  <c r="K130" i="1"/>
  <c r="K154" i="1"/>
  <c r="K178" i="1"/>
  <c r="K194" i="1"/>
  <c r="K210" i="1"/>
  <c r="K218" i="1"/>
  <c r="K234" i="1"/>
  <c r="K246" i="1"/>
  <c r="K198" i="1"/>
  <c r="K222" i="1"/>
  <c r="K250" i="1"/>
  <c r="K90" i="1"/>
  <c r="K114" i="1"/>
  <c r="K138" i="1"/>
  <c r="K162" i="1"/>
  <c r="K202" i="1"/>
  <c r="K86" i="1"/>
  <c r="K110" i="1"/>
  <c r="K134" i="1"/>
  <c r="K158" i="1"/>
  <c r="K182" i="1"/>
  <c r="K214" i="1"/>
  <c r="K266" i="1"/>
  <c r="K98" i="1"/>
  <c r="K122" i="1"/>
  <c r="K146" i="1"/>
  <c r="K186" i="1"/>
  <c r="K226" i="1"/>
  <c r="K254" i="1"/>
  <c r="K270" i="1"/>
  <c r="K102" i="1"/>
  <c r="K126" i="1"/>
  <c r="K142" i="1"/>
  <c r="K150" i="1"/>
  <c r="K166" i="1"/>
  <c r="K174" i="1"/>
  <c r="K190" i="1"/>
  <c r="K206" i="1"/>
  <c r="K230" i="1"/>
  <c r="K242" i="1"/>
  <c r="K258" i="1"/>
  <c r="K2" i="1"/>
  <c r="F273" i="1"/>
  <c r="F272" i="1"/>
  <c r="D273" i="1"/>
  <c r="D1595" i="4"/>
  <c r="D407" i="4"/>
  <c r="D1123" i="4"/>
  <c r="D1061" i="4"/>
  <c r="D245" i="4"/>
  <c r="D656" i="4"/>
  <c r="D446" i="4"/>
  <c r="D525" i="4"/>
  <c r="D958" i="4"/>
  <c r="D1632" i="4"/>
  <c r="D473" i="4"/>
  <c r="D1666" i="4"/>
  <c r="D594" i="4"/>
  <c r="D296" i="4"/>
  <c r="D471" i="4"/>
  <c r="D1175" i="4"/>
  <c r="D376" i="4"/>
  <c r="D403" i="4"/>
  <c r="D870" i="4"/>
  <c r="D232" i="4"/>
  <c r="D238" i="4"/>
  <c r="D1364" i="4"/>
  <c r="D1359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D76" i="1"/>
  <c r="D171" i="1"/>
  <c r="C31" i="1"/>
  <c r="C218" i="1"/>
  <c r="C57" i="1"/>
  <c r="C87" i="1"/>
  <c r="D39" i="1"/>
  <c r="D250" i="1"/>
  <c r="D190" i="1"/>
  <c r="C135" i="1"/>
  <c r="C224" i="1"/>
  <c r="C256" i="1"/>
  <c r="C29" i="1"/>
  <c r="C159" i="1"/>
  <c r="D194" i="1"/>
  <c r="C34" i="1"/>
  <c r="D72" i="1"/>
  <c r="C79" i="1"/>
  <c r="C80" i="1"/>
  <c r="C8" i="1"/>
  <c r="C93" i="1"/>
  <c r="D243" i="1"/>
  <c r="D13" i="1"/>
  <c r="C247" i="1"/>
  <c r="C58" i="1"/>
  <c r="C108" i="1"/>
  <c r="C120" i="1"/>
  <c r="C26" i="1"/>
  <c r="D61" i="1"/>
  <c r="D53" i="1"/>
  <c r="C54" i="1"/>
  <c r="C139" i="1"/>
  <c r="C63" i="1"/>
  <c r="C238" i="1"/>
  <c r="C39" i="1"/>
  <c r="C84" i="1"/>
  <c r="C182" i="1"/>
  <c r="C223" i="1"/>
  <c r="C191" i="1"/>
  <c r="C246" i="1"/>
  <c r="D123" i="1"/>
  <c r="C136" i="1"/>
  <c r="D47" i="1"/>
  <c r="D80" i="1"/>
  <c r="D3" i="1"/>
  <c r="C130" i="1"/>
  <c r="D152" i="1"/>
  <c r="D251" i="1"/>
  <c r="C97" i="1"/>
  <c r="C52" i="1"/>
  <c r="C266" i="1"/>
  <c r="C174" i="1"/>
  <c r="D20" i="1"/>
  <c r="D84" i="1"/>
  <c r="D11" i="1"/>
  <c r="C96" i="1"/>
  <c r="C196" i="1"/>
  <c r="C183" i="1"/>
  <c r="C38" i="1"/>
  <c r="C100" i="1"/>
  <c r="D156" i="1"/>
  <c r="C40" i="1"/>
  <c r="D121" i="1"/>
  <c r="C5" i="1"/>
  <c r="D10" i="1"/>
  <c r="C164" i="1"/>
  <c r="C53" i="1"/>
  <c r="D188" i="1"/>
  <c r="D153" i="1"/>
  <c r="C202" i="1"/>
  <c r="C49" i="1"/>
  <c r="C30" i="1"/>
  <c r="C156" i="1"/>
  <c r="D154" i="1"/>
  <c r="D199" i="1"/>
  <c r="D48" i="1"/>
  <c r="C68" i="1"/>
  <c r="C101" i="1"/>
  <c r="C74" i="1"/>
  <c r="D57" i="1"/>
  <c r="C175" i="1"/>
  <c r="D109" i="1"/>
  <c r="C81" i="1"/>
  <c r="C48" i="1"/>
  <c r="C37" i="1"/>
  <c r="C176" i="1"/>
  <c r="D52" i="1"/>
  <c r="C27" i="1"/>
  <c r="D18" i="1"/>
  <c r="D75" i="1"/>
  <c r="C2" i="1"/>
  <c r="C195" i="1"/>
  <c r="C172" i="1"/>
  <c r="C244" i="1"/>
  <c r="C150" i="1"/>
  <c r="D182" i="1"/>
  <c r="D22" i="1"/>
  <c r="C257" i="1"/>
  <c r="C204" i="1"/>
  <c r="C10" i="1"/>
  <c r="C145" i="1"/>
  <c r="C116" i="1"/>
  <c r="C55" i="1"/>
  <c r="C241" i="1"/>
  <c r="C147" i="1"/>
  <c r="C163" i="1"/>
  <c r="C179" i="1"/>
  <c r="D64" i="1"/>
  <c r="C230" i="1"/>
  <c r="D97" i="1"/>
  <c r="C239" i="1"/>
  <c r="D105" i="1"/>
  <c r="C119" i="1"/>
  <c r="C212" i="1"/>
  <c r="D219" i="1"/>
  <c r="D74" i="1"/>
  <c r="C210" i="1"/>
  <c r="C15" i="1"/>
  <c r="C240" i="1"/>
  <c r="C188" i="1"/>
  <c r="D9" i="1"/>
  <c r="D59" i="1"/>
  <c r="C75" i="1"/>
  <c r="C187" i="1"/>
  <c r="C25" i="1"/>
  <c r="D124" i="1"/>
  <c r="C114" i="1"/>
  <c r="C71" i="1"/>
  <c r="C121" i="1"/>
  <c r="D65" i="1"/>
  <c r="C22" i="1"/>
  <c r="C32" i="1"/>
  <c r="C184" i="1"/>
  <c r="C153" i="1"/>
  <c r="C61" i="1"/>
  <c r="C83" i="1"/>
  <c r="C185" i="1"/>
  <c r="C18" i="1"/>
  <c r="C214" i="1"/>
  <c r="C151" i="1"/>
  <c r="D202" i="1"/>
  <c r="C51" i="1"/>
  <c r="D36" i="1"/>
  <c r="D4" i="1"/>
  <c r="C95" i="1"/>
  <c r="C138" i="1"/>
  <c r="C148" i="1"/>
  <c r="G180" i="1"/>
  <c r="F123" i="1"/>
  <c r="F95" i="1"/>
  <c r="F3" i="1"/>
  <c r="G48" i="1"/>
  <c r="G96" i="1"/>
  <c r="F18" i="1"/>
  <c r="F89" i="1"/>
  <c r="G10" i="1"/>
  <c r="F260" i="1"/>
  <c r="G139" i="1"/>
  <c r="F179" i="1"/>
  <c r="G86" i="1"/>
  <c r="F197" i="1"/>
  <c r="F240" i="1"/>
  <c r="G151" i="1"/>
  <c r="F221" i="1"/>
  <c r="F136" i="1"/>
  <c r="D23" i="1"/>
  <c r="D73" i="1"/>
  <c r="C234" i="1"/>
  <c r="C168" i="1"/>
  <c r="C50" i="1"/>
  <c r="C12" i="1"/>
  <c r="C216" i="1"/>
  <c r="D71" i="1"/>
  <c r="D231" i="1"/>
  <c r="D8" i="1"/>
  <c r="C199" i="1"/>
  <c r="C160" i="1"/>
  <c r="C170" i="1"/>
  <c r="C229" i="1"/>
  <c r="C42" i="1"/>
  <c r="C23" i="1"/>
  <c r="C149" i="1"/>
  <c r="D108" i="1"/>
  <c r="C192" i="1"/>
  <c r="D38" i="1"/>
  <c r="C200" i="1"/>
  <c r="D56" i="1"/>
  <c r="D186" i="1"/>
  <c r="D191" i="1"/>
  <c r="C252" i="1"/>
  <c r="C220" i="1"/>
  <c r="C115" i="1"/>
  <c r="C253" i="1"/>
  <c r="D193" i="1"/>
  <c r="D69" i="1"/>
  <c r="D232" i="1"/>
  <c r="C21" i="1"/>
  <c r="C82" i="1"/>
  <c r="C47" i="1"/>
  <c r="C269" i="1"/>
  <c r="C99" i="1"/>
  <c r="D253" i="1"/>
  <c r="C243" i="1"/>
  <c r="D78" i="1"/>
  <c r="C44" i="1"/>
  <c r="C117" i="1"/>
  <c r="C70" i="1"/>
  <c r="C167" i="1"/>
  <c r="D175" i="1"/>
  <c r="D68" i="1"/>
  <c r="C91" i="1"/>
  <c r="C171" i="1"/>
  <c r="C264" i="1"/>
  <c r="C105" i="1"/>
  <c r="D46" i="1"/>
  <c r="D99" i="1"/>
  <c r="D19" i="1"/>
  <c r="C197" i="1"/>
  <c r="C267" i="1"/>
  <c r="C207" i="1"/>
  <c r="D201" i="1"/>
  <c r="C89" i="1"/>
  <c r="D197" i="1"/>
  <c r="C98" i="1"/>
  <c r="C180" i="1"/>
  <c r="C261" i="1"/>
  <c r="C258" i="1"/>
  <c r="D187" i="1"/>
  <c r="C194" i="1"/>
  <c r="D195" i="1"/>
  <c r="C109" i="1"/>
  <c r="D220" i="1"/>
  <c r="C69" i="1"/>
  <c r="D125" i="1"/>
  <c r="D185" i="1"/>
  <c r="D120" i="1"/>
  <c r="C262" i="1"/>
  <c r="C235" i="1"/>
  <c r="C45" i="1"/>
  <c r="C106" i="1"/>
  <c r="C9" i="1"/>
  <c r="C158" i="1"/>
  <c r="C123" i="1"/>
  <c r="D41" i="1"/>
  <c r="C270" i="1"/>
  <c r="C112" i="1"/>
  <c r="C271" i="1"/>
  <c r="C217" i="1"/>
  <c r="C90" i="1"/>
  <c r="C107" i="1"/>
  <c r="C86" i="1"/>
  <c r="D122" i="1"/>
  <c r="C248" i="1"/>
  <c r="D66" i="1"/>
  <c r="C92" i="1"/>
  <c r="D230" i="1"/>
  <c r="C143" i="1"/>
  <c r="D200" i="1"/>
  <c r="D172" i="1"/>
  <c r="C128" i="1"/>
  <c r="D183" i="1"/>
  <c r="C24" i="1"/>
  <c r="C60" i="1"/>
  <c r="C126" i="1"/>
  <c r="C67" i="1"/>
  <c r="D24" i="1"/>
  <c r="D79" i="1"/>
  <c r="F94" i="1"/>
  <c r="G117" i="1"/>
  <c r="F65" i="1"/>
  <c r="G119" i="1"/>
  <c r="F118" i="1"/>
  <c r="F90" i="1"/>
  <c r="G159" i="1"/>
  <c r="F67" i="1"/>
  <c r="G65" i="1"/>
  <c r="F249" i="1"/>
  <c r="F154" i="1"/>
  <c r="F135" i="1"/>
  <c r="G93" i="1"/>
  <c r="F151" i="1"/>
  <c r="F243" i="1"/>
  <c r="D28" i="1"/>
  <c r="C242" i="1"/>
  <c r="C263" i="1"/>
  <c r="C189" i="1"/>
  <c r="C133" i="1"/>
  <c r="C3" i="1"/>
  <c r="C227" i="1"/>
  <c r="D25" i="1"/>
  <c r="C232" i="1"/>
  <c r="C260" i="1"/>
  <c r="C4" i="1"/>
  <c r="C152" i="1"/>
  <c r="C237" i="1"/>
  <c r="D102" i="1"/>
  <c r="D151" i="1"/>
  <c r="C19" i="1"/>
  <c r="C28" i="1"/>
  <c r="C177" i="1"/>
  <c r="D246" i="1"/>
  <c r="D85" i="1"/>
  <c r="C205" i="1"/>
  <c r="C124" i="1"/>
  <c r="C208" i="1"/>
  <c r="D229" i="1"/>
  <c r="C141" i="1"/>
  <c r="C134" i="1"/>
  <c r="C209" i="1"/>
  <c r="D40" i="1"/>
  <c r="C142" i="1"/>
  <c r="D126" i="1"/>
  <c r="C41" i="1"/>
  <c r="C132" i="1"/>
  <c r="C215" i="1"/>
  <c r="D239" i="1"/>
  <c r="D62" i="1"/>
  <c r="D43" i="1"/>
  <c r="C255" i="1"/>
  <c r="C13" i="1"/>
  <c r="C249" i="1"/>
  <c r="D50" i="1"/>
  <c r="F87" i="1"/>
  <c r="F266" i="1"/>
  <c r="F36" i="1"/>
  <c r="F47" i="1"/>
  <c r="G132" i="1"/>
  <c r="F238" i="1"/>
  <c r="F54" i="1"/>
  <c r="F27" i="1"/>
  <c r="F100" i="1"/>
  <c r="F108" i="1"/>
  <c r="F55" i="1"/>
  <c r="F24" i="1"/>
  <c r="F96" i="1"/>
  <c r="F92" i="1"/>
  <c r="G193" i="1"/>
  <c r="G208" i="1"/>
  <c r="G144" i="1"/>
  <c r="F257" i="1"/>
  <c r="G186" i="1"/>
  <c r="G33" i="1"/>
  <c r="F117" i="1"/>
  <c r="G75" i="1"/>
  <c r="F128" i="1"/>
  <c r="F105" i="1"/>
  <c r="F59" i="1"/>
  <c r="F203" i="1"/>
  <c r="G215" i="1"/>
  <c r="G9" i="1"/>
  <c r="G153" i="1"/>
  <c r="G116" i="1"/>
  <c r="F176" i="1"/>
  <c r="G5" i="1"/>
  <c r="G76" i="1"/>
  <c r="F132" i="1"/>
  <c r="G79" i="1"/>
  <c r="F166" i="1"/>
  <c r="G114" i="1"/>
  <c r="F170" i="1"/>
  <c r="G77" i="1"/>
  <c r="F193" i="1"/>
  <c r="F262" i="1"/>
  <c r="G28" i="1"/>
  <c r="G26" i="1"/>
  <c r="F213" i="1"/>
  <c r="G100" i="1"/>
  <c r="F50" i="1"/>
  <c r="G87" i="1"/>
  <c r="F264" i="1"/>
  <c r="G157" i="1"/>
  <c r="F220" i="1"/>
  <c r="F83" i="1"/>
  <c r="F237" i="1"/>
  <c r="G173" i="1"/>
  <c r="F25" i="1"/>
  <c r="G45" i="1"/>
  <c r="G69" i="1"/>
  <c r="F66" i="1"/>
  <c r="F107" i="1"/>
  <c r="C250" i="1"/>
  <c r="D63" i="1"/>
  <c r="C62" i="1"/>
  <c r="D77" i="1"/>
  <c r="C72" i="1"/>
  <c r="D26" i="1"/>
  <c r="C56" i="1"/>
  <c r="D100" i="1"/>
  <c r="C213" i="1"/>
  <c r="D189" i="1"/>
  <c r="C16" i="1"/>
  <c r="C104" i="1"/>
  <c r="C211" i="1"/>
  <c r="D58" i="1"/>
  <c r="C162" i="1"/>
  <c r="C169" i="1"/>
  <c r="C254" i="1"/>
  <c r="C201" i="1"/>
  <c r="C110" i="1"/>
  <c r="C157" i="1"/>
  <c r="C59" i="1"/>
  <c r="D54" i="1"/>
  <c r="D98" i="1"/>
  <c r="C203" i="1"/>
  <c r="C231" i="1"/>
  <c r="C17" i="1"/>
  <c r="C113" i="1"/>
  <c r="D60" i="1"/>
  <c r="C64" i="1"/>
  <c r="C206" i="1"/>
  <c r="C166" i="1"/>
  <c r="C221" i="1"/>
  <c r="D21" i="1"/>
  <c r="C165" i="1"/>
  <c r="C33" i="1"/>
  <c r="C35" i="1"/>
  <c r="C77" i="1"/>
  <c r="C78" i="1"/>
  <c r="D257" i="1"/>
  <c r="G182" i="1"/>
  <c r="F190" i="1"/>
  <c r="F9" i="1"/>
  <c r="F91" i="1"/>
  <c r="F22" i="1"/>
  <c r="G212" i="1"/>
  <c r="G158" i="1"/>
  <c r="G95" i="1"/>
  <c r="G211" i="1"/>
  <c r="F138" i="1"/>
  <c r="F216" i="1"/>
  <c r="G88" i="1"/>
  <c r="G40" i="1"/>
  <c r="G130" i="1"/>
  <c r="G64" i="1"/>
  <c r="G210" i="1"/>
  <c r="F175" i="1"/>
  <c r="F43" i="1"/>
  <c r="F165" i="1"/>
  <c r="G150" i="1"/>
  <c r="F255" i="1"/>
  <c r="F37" i="1"/>
  <c r="G189" i="1"/>
  <c r="F205" i="1"/>
  <c r="F152" i="1"/>
  <c r="C155" i="1"/>
  <c r="D106" i="1"/>
  <c r="C36" i="1"/>
  <c r="C88" i="1"/>
  <c r="D12" i="1"/>
  <c r="D242" i="1"/>
  <c r="C85" i="1"/>
  <c r="C20" i="1"/>
  <c r="C125" i="1"/>
  <c r="C251" i="1"/>
  <c r="D55" i="1"/>
  <c r="C131" i="1"/>
  <c r="C272" i="1"/>
  <c r="D184" i="1"/>
  <c r="C161" i="1"/>
  <c r="C233" i="1"/>
  <c r="C127" i="1"/>
  <c r="C129" i="1"/>
  <c r="C193" i="1"/>
  <c r="C144" i="1"/>
  <c r="C118" i="1"/>
  <c r="C245" i="1"/>
  <c r="D104" i="1"/>
  <c r="C181" i="1"/>
  <c r="C11" i="1"/>
  <c r="D241" i="1"/>
  <c r="C94" i="1"/>
  <c r="C103" i="1"/>
  <c r="C66" i="1"/>
  <c r="D173" i="1"/>
  <c r="D82" i="1"/>
  <c r="D174" i="1"/>
  <c r="D42" i="1"/>
  <c r="D103" i="1"/>
  <c r="C46" i="1"/>
  <c r="C225" i="1"/>
  <c r="C7" i="1"/>
  <c r="D101" i="1"/>
  <c r="C43" i="1"/>
  <c r="G152" i="1"/>
  <c r="G36" i="1"/>
  <c r="G103" i="1"/>
  <c r="F131" i="1"/>
  <c r="G72" i="1"/>
  <c r="G214" i="1"/>
  <c r="F5" i="1"/>
  <c r="F116" i="1"/>
  <c r="G46" i="1"/>
  <c r="F57" i="1"/>
  <c r="G155" i="1"/>
  <c r="F110" i="1"/>
  <c r="G220" i="1"/>
  <c r="F211" i="1"/>
  <c r="F147" i="1"/>
  <c r="F125" i="1"/>
  <c r="F149" i="1"/>
  <c r="F159" i="1"/>
  <c r="G6" i="1"/>
  <c r="G184" i="1"/>
  <c r="G42" i="1"/>
  <c r="F6" i="1"/>
  <c r="F17" i="1"/>
  <c r="F130" i="1"/>
  <c r="G49" i="1"/>
  <c r="G57" i="1"/>
  <c r="F142" i="1"/>
  <c r="D67" i="1"/>
  <c r="C111" i="1"/>
  <c r="C122" i="1"/>
  <c r="C178" i="1"/>
  <c r="C219" i="1"/>
  <c r="C173" i="1"/>
  <c r="C154" i="1"/>
  <c r="C186" i="1"/>
  <c r="C198" i="1"/>
  <c r="D70" i="1"/>
  <c r="G61" i="1"/>
  <c r="F250" i="1"/>
  <c r="G143" i="1"/>
  <c r="F182" i="1"/>
  <c r="F236" i="1"/>
  <c r="F49" i="1"/>
  <c r="G145" i="1"/>
  <c r="F181" i="1"/>
  <c r="G2" i="1"/>
  <c r="G111" i="1"/>
  <c r="G217" i="1"/>
  <c r="F40" i="1"/>
  <c r="F268" i="1"/>
  <c r="G183" i="1"/>
  <c r="G106" i="1"/>
  <c r="F188" i="1"/>
  <c r="G12" i="1"/>
  <c r="F225" i="1"/>
  <c r="F16" i="1"/>
  <c r="G108" i="1"/>
  <c r="F39" i="1"/>
  <c r="F228" i="1"/>
  <c r="G127" i="1"/>
  <c r="F263" i="1"/>
  <c r="F232" i="1"/>
  <c r="G164" i="1"/>
  <c r="F82" i="1"/>
  <c r="G149" i="1"/>
  <c r="G122" i="1"/>
  <c r="F48" i="1"/>
  <c r="G136" i="1"/>
  <c r="F177" i="1"/>
  <c r="F191" i="1"/>
  <c r="F148" i="1"/>
  <c r="G13" i="1"/>
  <c r="F235" i="1"/>
  <c r="F28" i="1"/>
  <c r="F208" i="1"/>
  <c r="G204" i="1"/>
  <c r="G222" i="1"/>
  <c r="G18" i="1"/>
  <c r="F75" i="1"/>
  <c r="F251" i="1"/>
  <c r="G105" i="1"/>
  <c r="G16" i="1"/>
  <c r="G198" i="1"/>
  <c r="G224" i="1"/>
  <c r="F194" i="1"/>
  <c r="G91" i="1"/>
  <c r="F11" i="1"/>
  <c r="F34" i="1"/>
  <c r="G190" i="1"/>
  <c r="F163" i="1"/>
  <c r="F196" i="1"/>
  <c r="G197" i="1"/>
  <c r="G146" i="1"/>
  <c r="F242" i="1"/>
  <c r="F109" i="1"/>
  <c r="G137" i="1"/>
  <c r="G229" i="1"/>
  <c r="F124" i="1"/>
  <c r="G231" i="1"/>
  <c r="F219" i="1"/>
  <c r="G68" i="1"/>
  <c r="F88" i="1"/>
  <c r="F29" i="1"/>
  <c r="G62" i="1"/>
  <c r="F56" i="1"/>
  <c r="F103" i="1"/>
  <c r="G52" i="1"/>
  <c r="G110" i="1"/>
  <c r="F76" i="1"/>
  <c r="F173" i="1"/>
  <c r="C137" i="1"/>
  <c r="C14" i="1"/>
  <c r="C228" i="1"/>
  <c r="D83" i="1"/>
  <c r="D107" i="1"/>
  <c r="C146" i="1"/>
  <c r="C76" i="1"/>
  <c r="D181" i="1"/>
  <c r="C259" i="1"/>
  <c r="D155" i="1"/>
  <c r="G99" i="1"/>
  <c r="F265" i="1"/>
  <c r="F169" i="1"/>
  <c r="G232" i="1"/>
  <c r="G141" i="1"/>
  <c r="F253" i="1"/>
  <c r="F156" i="1"/>
  <c r="G92" i="1"/>
  <c r="F93" i="1"/>
  <c r="F141" i="1"/>
  <c r="G188" i="1"/>
  <c r="G223" i="1"/>
  <c r="G191" i="1"/>
  <c r="G3" i="1"/>
  <c r="G85" i="1"/>
  <c r="F206" i="1"/>
  <c r="F53" i="1"/>
  <c r="F224" i="1"/>
  <c r="G175" i="1"/>
  <c r="F140" i="1"/>
  <c r="F247" i="1"/>
  <c r="F207" i="1"/>
  <c r="F35" i="1"/>
  <c r="G90" i="1"/>
  <c r="F153" i="1"/>
  <c r="G170" i="1"/>
  <c r="F160" i="1"/>
  <c r="G187" i="1"/>
  <c r="G218" i="1"/>
  <c r="F226" i="1"/>
  <c r="G126" i="1"/>
  <c r="F121" i="1"/>
  <c r="F200" i="1"/>
  <c r="F198" i="1"/>
  <c r="F215" i="1"/>
  <c r="F259" i="1"/>
  <c r="F167" i="1"/>
  <c r="F14" i="1"/>
  <c r="F186" i="1"/>
  <c r="G67" i="1"/>
  <c r="F144" i="1"/>
  <c r="G53" i="1"/>
  <c r="G37" i="1"/>
  <c r="G23" i="1"/>
  <c r="F267" i="1"/>
  <c r="F51" i="1"/>
  <c r="F122" i="1"/>
  <c r="F214" i="1"/>
  <c r="F99" i="1"/>
  <c r="G166" i="1"/>
  <c r="F79" i="1"/>
  <c r="G74" i="1"/>
  <c r="F112" i="1"/>
  <c r="G125" i="1"/>
  <c r="G8" i="1"/>
  <c r="F63" i="1"/>
  <c r="F115" i="1"/>
  <c r="G121" i="1"/>
  <c r="F212" i="1"/>
  <c r="F62" i="1"/>
  <c r="G142" i="1"/>
  <c r="F146" i="1"/>
  <c r="G120" i="1"/>
  <c r="F245" i="1"/>
  <c r="G135" i="1"/>
  <c r="G22" i="1"/>
  <c r="F230" i="1"/>
  <c r="F145" i="1"/>
  <c r="G163" i="1"/>
  <c r="G66" i="1"/>
  <c r="G115" i="1"/>
  <c r="G56" i="1"/>
  <c r="G14" i="1"/>
  <c r="F139" i="1"/>
  <c r="G176" i="1"/>
  <c r="C222" i="1"/>
  <c r="D49" i="1"/>
  <c r="C73" i="1"/>
  <c r="C140" i="1"/>
  <c r="C190" i="1"/>
  <c r="G80" i="1"/>
  <c r="F158" i="1"/>
  <c r="F60" i="1"/>
  <c r="F31" i="1"/>
  <c r="F33" i="1"/>
  <c r="F44" i="1"/>
  <c r="F41" i="1"/>
  <c r="F113" i="1"/>
  <c r="F209" i="1"/>
  <c r="G213" i="1"/>
  <c r="F52" i="1"/>
  <c r="F218" i="1"/>
  <c r="F126" i="1"/>
  <c r="F8" i="1"/>
  <c r="F271" i="1"/>
  <c r="G196" i="1"/>
  <c r="G97" i="1"/>
  <c r="G7" i="1"/>
  <c r="G134" i="1"/>
  <c r="F199" i="1"/>
  <c r="F111" i="1"/>
  <c r="F134" i="1"/>
  <c r="F261" i="1"/>
  <c r="F239" i="1"/>
  <c r="G225" i="1"/>
  <c r="G179" i="1"/>
  <c r="G118" i="1"/>
  <c r="G195" i="1"/>
  <c r="F248" i="1"/>
  <c r="F23" i="1"/>
  <c r="F20" i="1"/>
  <c r="G174" i="1"/>
  <c r="F174" i="1"/>
  <c r="G202" i="1"/>
  <c r="F129" i="1"/>
  <c r="G209" i="1"/>
  <c r="G168" i="1"/>
  <c r="G162" i="1"/>
  <c r="G30" i="1"/>
  <c r="G172" i="1"/>
  <c r="G140" i="1"/>
  <c r="G228" i="1"/>
  <c r="F187" i="1"/>
  <c r="G43" i="1"/>
  <c r="F192" i="1"/>
  <c r="G230" i="1"/>
  <c r="G70" i="1"/>
  <c r="G60" i="1"/>
  <c r="F164" i="1"/>
  <c r="G94" i="1"/>
  <c r="F13" i="1"/>
  <c r="G206" i="1"/>
  <c r="G133" i="1"/>
  <c r="G160" i="1"/>
  <c r="G51" i="1"/>
  <c r="G165" i="1"/>
  <c r="F157" i="1"/>
  <c r="F244" i="1"/>
  <c r="F202" i="1"/>
  <c r="G102" i="1"/>
  <c r="F222" i="1"/>
  <c r="D51" i="1"/>
  <c r="D192" i="1"/>
  <c r="F12" i="1"/>
  <c r="G194" i="1"/>
  <c r="G216" i="1"/>
  <c r="G78" i="1"/>
  <c r="F84" i="1"/>
  <c r="F77" i="1"/>
  <c r="F32" i="1"/>
  <c r="F81" i="1"/>
  <c r="F78" i="1"/>
  <c r="G38" i="1"/>
  <c r="F119" i="1"/>
  <c r="F73" i="1"/>
  <c r="F233" i="1"/>
  <c r="F72" i="1"/>
  <c r="F231" i="1"/>
  <c r="F64" i="1"/>
  <c r="G207" i="1"/>
  <c r="G109" i="1"/>
  <c r="F258" i="1"/>
  <c r="F256" i="1"/>
  <c r="G34" i="1"/>
  <c r="F195" i="1"/>
  <c r="G59" i="1"/>
  <c r="G177" i="1"/>
  <c r="G21" i="1"/>
  <c r="F101" i="1"/>
  <c r="D81" i="1"/>
  <c r="C65" i="1"/>
  <c r="C226" i="1"/>
  <c r="G221" i="1"/>
  <c r="F80" i="1"/>
  <c r="F38" i="1"/>
  <c r="F246" i="1"/>
  <c r="F189" i="1"/>
  <c r="F270" i="1"/>
  <c r="G24" i="1"/>
  <c r="G219" i="1"/>
  <c r="F127" i="1"/>
  <c r="G81" i="1"/>
  <c r="F85" i="1"/>
  <c r="G178" i="1"/>
  <c r="F120" i="1"/>
  <c r="F10" i="1"/>
  <c r="G101" i="1"/>
  <c r="G169" i="1"/>
  <c r="G123" i="1"/>
  <c r="G124" i="1"/>
  <c r="G32" i="1"/>
  <c r="F61" i="1"/>
  <c r="G129" i="1"/>
  <c r="G203" i="1"/>
  <c r="F58" i="1"/>
  <c r="D14" i="1"/>
  <c r="C265" i="1"/>
  <c r="D196" i="1"/>
  <c r="C268" i="1"/>
  <c r="C102" i="1"/>
  <c r="G98" i="1"/>
  <c r="F26" i="1"/>
  <c r="F252" i="1"/>
  <c r="F150" i="1"/>
  <c r="G147" i="1"/>
  <c r="F180" i="1"/>
  <c r="F168" i="1"/>
  <c r="G192" i="1"/>
  <c r="G205" i="1"/>
  <c r="F241" i="1"/>
  <c r="F19" i="1"/>
  <c r="F171" i="1"/>
  <c r="G156" i="1"/>
  <c r="G47" i="1"/>
  <c r="F201" i="1"/>
  <c r="F178" i="1"/>
  <c r="G112" i="1"/>
  <c r="G82" i="1"/>
  <c r="F71" i="1"/>
  <c r="G71" i="1"/>
  <c r="G63" i="1"/>
  <c r="F45" i="1"/>
  <c r="F183" i="1"/>
  <c r="G15" i="1"/>
  <c r="F234" i="1"/>
  <c r="F46" i="1"/>
  <c r="F137" i="1"/>
  <c r="G201" i="1"/>
  <c r="F184" i="1"/>
  <c r="F185" i="1"/>
  <c r="F133" i="1"/>
  <c r="F70" i="1"/>
  <c r="F227" i="1"/>
  <c r="F86" i="1"/>
  <c r="F69" i="1"/>
  <c r="F42" i="1"/>
  <c r="F143" i="1"/>
  <c r="G25" i="1"/>
  <c r="F254" i="1"/>
  <c r="G131" i="1"/>
  <c r="F15" i="1"/>
  <c r="G104" i="1"/>
  <c r="G138" i="1"/>
  <c r="F217" i="1"/>
  <c r="G11" i="1"/>
  <c r="G54" i="1"/>
  <c r="D252" i="1"/>
  <c r="C6" i="1"/>
  <c r="C236" i="1"/>
  <c r="G27" i="1"/>
  <c r="F104" i="1"/>
  <c r="F155" i="1"/>
  <c r="F98" i="1"/>
  <c r="F102" i="1"/>
  <c r="G31" i="1"/>
  <c r="G41" i="1"/>
  <c r="F204" i="1"/>
  <c r="F74" i="1"/>
  <c r="G89" i="1"/>
  <c r="F4" i="1"/>
  <c r="G128" i="1"/>
  <c r="G84" i="1"/>
  <c r="F161" i="1"/>
  <c r="F223" i="1"/>
  <c r="G161" i="1"/>
  <c r="G55" i="1"/>
  <c r="G35" i="1"/>
  <c r="F2" i="1"/>
  <c r="F229" i="1"/>
  <c r="G39" i="1"/>
  <c r="F21" i="1"/>
  <c r="F162" i="1"/>
  <c r="G148" i="1"/>
  <c r="F68" i="1"/>
  <c r="F269" i="1"/>
  <c r="G44" i="1"/>
  <c r="G171" i="1"/>
  <c r="D27" i="1"/>
  <c r="D240" i="1"/>
  <c r="G107" i="1"/>
  <c r="F172" i="1"/>
  <c r="G17" i="1"/>
  <c r="G199" i="1"/>
  <c r="G227" i="1"/>
  <c r="G83" i="1"/>
  <c r="F97" i="1"/>
  <c r="G19" i="1"/>
  <c r="F30" i="1"/>
  <c r="G50" i="1"/>
  <c r="F210" i="1"/>
  <c r="G4" i="1"/>
  <c r="G73" i="1"/>
  <c r="G226" i="1"/>
  <c r="F7" i="1"/>
  <c r="G200" i="1"/>
  <c r="G20" i="1"/>
  <c r="G58" i="1"/>
  <c r="F106" i="1"/>
  <c r="F114" i="1"/>
  <c r="G113" i="1"/>
  <c r="G181" i="1"/>
  <c r="G154" i="1"/>
  <c r="G167" i="1"/>
  <c r="G29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7" i="1"/>
  <c r="D221" i="1"/>
  <c r="D113" i="1"/>
  <c r="D245" i="1"/>
  <c r="D254" i="1"/>
  <c r="D237" i="1"/>
  <c r="D228" i="1"/>
  <c r="D34" i="1"/>
  <c r="D168" i="1"/>
  <c r="D259" i="1"/>
  <c r="D205" i="1"/>
  <c r="D131" i="1"/>
  <c r="D29" i="1"/>
  <c r="D226" i="1"/>
  <c r="D166" i="1"/>
  <c r="D134" i="1"/>
  <c r="D157" i="1"/>
  <c r="D169" i="1"/>
  <c r="D91" i="1"/>
  <c r="D115" i="1"/>
  <c r="D256" i="1"/>
  <c r="D6" i="1"/>
  <c r="D260" i="1"/>
  <c r="D225" i="1"/>
  <c r="D132" i="1"/>
  <c r="D209" i="1"/>
  <c r="D118" i="1"/>
  <c r="D116" i="1"/>
  <c r="D264" i="1"/>
  <c r="D269" i="1"/>
  <c r="D159" i="1"/>
  <c r="D234" i="1"/>
  <c r="D210" i="1"/>
  <c r="D164" i="1"/>
  <c r="D148" i="1"/>
  <c r="D147" i="1"/>
  <c r="D87" i="1"/>
  <c r="D265" i="1"/>
  <c r="D32" i="1"/>
  <c r="D89" i="1"/>
  <c r="D88" i="1"/>
  <c r="D249" i="1"/>
  <c r="D208" i="1"/>
  <c r="D223" i="1"/>
  <c r="D94" i="1"/>
  <c r="D128" i="1"/>
  <c r="D86" i="1"/>
  <c r="D17" i="1"/>
  <c r="D144" i="1"/>
  <c r="D233" i="1"/>
  <c r="D130" i="1"/>
  <c r="D139" i="1"/>
  <c r="D170" i="1"/>
  <c r="D266" i="1"/>
  <c r="D90" i="1"/>
  <c r="D179" i="1"/>
  <c r="D16" i="1"/>
  <c r="D224" i="1"/>
  <c r="D143" i="1"/>
  <c r="D217" i="1"/>
  <c r="D141" i="1"/>
  <c r="D261" i="1"/>
  <c r="D204" i="1"/>
  <c r="D136" i="1"/>
  <c r="D247" i="1"/>
  <c r="D135" i="1"/>
  <c r="D119" i="1"/>
  <c r="D149" i="1"/>
  <c r="D214" i="1"/>
  <c r="D140" i="1"/>
  <c r="D45" i="1"/>
  <c r="D258" i="1"/>
  <c r="D207" i="1"/>
  <c r="D2" i="1"/>
  <c r="D30" i="1"/>
  <c r="D160" i="1"/>
  <c r="D95" i="1"/>
  <c r="D180" i="1"/>
  <c r="D216" i="1"/>
  <c r="D112" i="1"/>
  <c r="D150" i="1"/>
  <c r="D5" i="1"/>
  <c r="D235" i="1"/>
  <c r="D255" i="1"/>
  <c r="D146" i="1"/>
  <c r="D213" i="1"/>
  <c r="D244" i="1"/>
  <c r="D270" i="1"/>
  <c r="D211" i="1"/>
  <c r="D137" i="1"/>
  <c r="D236" i="1"/>
  <c r="D206" i="1"/>
  <c r="D15" i="1"/>
  <c r="D110" i="1"/>
  <c r="D267" i="1"/>
  <c r="D167" i="1"/>
  <c r="D222" i="1"/>
  <c r="D96" i="1"/>
  <c r="D31" i="1"/>
  <c r="D114" i="1"/>
  <c r="D145" i="1"/>
  <c r="D238" i="1"/>
  <c r="D138" i="1"/>
  <c r="D215" i="1"/>
  <c r="D142" i="1"/>
  <c r="D212" i="1"/>
  <c r="D129" i="1"/>
  <c r="D272" i="1"/>
  <c r="D37" i="1"/>
  <c r="D133" i="1"/>
  <c r="D33" i="1"/>
  <c r="D127" i="1"/>
  <c r="D218" i="1"/>
  <c r="D165" i="1"/>
  <c r="D271" i="1"/>
  <c r="D262" i="1"/>
  <c r="D163" i="1"/>
  <c r="D161" i="1"/>
  <c r="D117" i="1"/>
  <c r="D93" i="1"/>
  <c r="D263" i="1"/>
  <c r="D248" i="1"/>
  <c r="D162" i="1"/>
  <c r="D92" i="1"/>
  <c r="D203" i="1"/>
  <c r="D44" i="1"/>
  <c r="D35" i="1"/>
  <c r="D227" i="1"/>
  <c r="D158" i="1"/>
  <c r="D178" i="1"/>
  <c r="D268" i="1"/>
  <c r="D198" i="1"/>
  <c r="D177" i="1"/>
  <c r="D111" i="1"/>
  <c r="D176" i="1"/>
</calcChain>
</file>

<file path=xl/comments1.xml><?xml version="1.0" encoding="utf-8"?>
<comments xmlns="http://schemas.openxmlformats.org/spreadsheetml/2006/main">
  <authors>
    <author>Michael Müller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Dont have "xx - xxmm" as expected instead "xx-xxmm"
</t>
        </r>
      </text>
    </comment>
    <comment ref="H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manche daten schlicht falsch "nein" / leere Zeile
</t>
        </r>
      </text>
    </comment>
    <comment ref="P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Manchmal mit "kg" statt erwartetedm "g"</t>
        </r>
      </text>
    </comment>
    <comment ref="Q1" authorId="0" shapeId="0">
      <text>
        <r>
          <rPr>
            <b/>
            <sz val="9"/>
            <color indexed="81"/>
            <rFont val="Segoe UI"/>
            <family val="2"/>
          </rPr>
          <t>Michael Müller:</t>
        </r>
        <r>
          <rPr>
            <sz val="9"/>
            <color indexed="81"/>
            <rFont val="Segoe UI"/>
            <family val="2"/>
          </rPr>
          <t xml:space="preserve">
auch hier wieder fehlende leerzeichen, statt "00 x 00mm" "00x00mm"</t>
        </r>
      </text>
    </comment>
  </commentList>
</comments>
</file>

<file path=xl/sharedStrings.xml><?xml version="1.0" encoding="utf-8"?>
<sst xmlns="http://schemas.openxmlformats.org/spreadsheetml/2006/main" count="18209" uniqueCount="4080">
  <si>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</si>
  <si>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</si>
  <si>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</si>
  <si>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</si>
  <si>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</si>
  <si>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</si>
  <si>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</si>
  <si>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</si>
  <si>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</si>
  <si>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</si>
  <si>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</si>
  <si>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</si>
  <si>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</si>
  <si>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</si>
  <si>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</si>
  <si>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</si>
  <si>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</si>
  <si>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</si>
  <si>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</si>
  <si>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</si>
  <si>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</si>
  <si>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</si>
  <si>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</si>
  <si>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</si>
  <si>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</si>
  <si>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</si>
  <si>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</si>
  <si>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</si>
  <si>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</si>
  <si>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</si>
  <si>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</si>
  <si>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</si>
  <si>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</si>
  <si>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</si>
  <si>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</si>
  <si>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</si>
  <si>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</si>
  <si>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</si>
  <si>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</si>
  <si>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</si>
  <si>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</si>
  <si>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</si>
  <si>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</si>
  <si>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</si>
  <si>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</si>
  <si>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</si>
  <si>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</si>
  <si>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</si>
  <si>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</si>
  <si>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</si>
  <si>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</si>
  <si>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</si>
  <si>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</si>
  <si>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</si>
  <si>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</si>
  <si>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</si>
  <si>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</si>
  <si>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</si>
  <si>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</si>
  <si>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</si>
  <si>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</si>
  <si>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</si>
  <si>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</si>
  <si>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</si>
  <si>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</si>
  <si>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</si>
  <si>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</si>
  <si>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</si>
  <si>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</si>
  <si>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</si>
  <si>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</si>
  <si>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</si>
  <si>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</si>
  <si>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</si>
  <si>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</si>
  <si>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</si>
  <si>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</si>
  <si>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</si>
  <si>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</si>
  <si>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</si>
  <si>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</si>
  <si>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</si>
  <si>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</si>
  <si>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</si>
  <si>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</si>
  <si>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</si>
  <si>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</si>
  <si>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</si>
  <si>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</si>
  <si>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</si>
  <si>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</si>
  <si>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</si>
  <si>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</si>
  <si>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</si>
  <si>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</si>
  <si>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</si>
  <si>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</si>
  <si>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</si>
  <si>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</si>
  <si>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</si>
  <si>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</si>
  <si>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</si>
  <si>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</si>
  <si>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</si>
  <si>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</si>
  <si>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</si>
  <si>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</si>
  <si>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</si>
  <si>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</si>
  <si>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</si>
  <si>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</si>
  <si>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</si>
  <si>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</si>
  <si>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</si>
  <si>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</si>
  <si>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</si>
  <si>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</si>
  <si>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</si>
  <si>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</si>
  <si>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</si>
  <si>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</si>
  <si>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</si>
  <si>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</si>
  <si>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</si>
  <si>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</si>
  <si>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</si>
  <si>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</si>
  <si>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</si>
  <si>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</si>
  <si>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</si>
  <si>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</si>
  <si>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</si>
  <si>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</si>
  <si>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</si>
  <si>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</si>
  <si>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</si>
  <si>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</si>
  <si>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</si>
  <si>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</si>
  <si>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</si>
  <si>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</si>
  <si>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</si>
  <si>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</si>
  <si>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</si>
  <si>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</si>
  <si>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</si>
  <si>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</si>
  <si>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</si>
  <si>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</si>
  <si>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</si>
  <si>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</si>
  <si>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</si>
  <si>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</si>
  <si>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</si>
  <si>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</si>
  <si>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</si>
  <si>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</si>
  <si>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</si>
  <si>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</si>
  <si>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</si>
  <si>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</si>
  <si>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</si>
  <si>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</si>
  <si>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</si>
  <si>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</si>
  <si>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</si>
  <si>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</si>
  <si>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</si>
  <si>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</si>
  <si>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</si>
  <si>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</si>
  <si>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</si>
  <si>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</si>
  <si>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</si>
  <si>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</si>
  <si>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</si>
  <si>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</si>
  <si>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</si>
  <si>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</si>
  <si>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</si>
  <si>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</si>
  <si>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</si>
  <si>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</si>
  <si>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</si>
  <si>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</si>
  <si>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</si>
  <si>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</si>
  <si>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</si>
  <si>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</si>
  <si>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</si>
  <si>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</si>
  <si>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</si>
  <si>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</si>
  <si>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</si>
  <si>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</si>
  <si>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</si>
  <si>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</si>
  <si>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</si>
  <si>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</si>
  <si>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</si>
  <si>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</si>
  <si>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</si>
  <si>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</si>
  <si>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</si>
  <si>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</si>
  <si>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</si>
  <si>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</si>
  <si>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</si>
  <si>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</si>
  <si>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</si>
  <si>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</si>
  <si>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</si>
  <si>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</si>
  <si>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</si>
  <si>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</si>
  <si>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</si>
  <si>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</si>
  <si>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</si>
  <si>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</si>
  <si>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</si>
  <si>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</si>
  <si>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</si>
  <si>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</si>
  <si>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</si>
  <si>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</si>
  <si>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</si>
  <si>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</si>
  <si>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</si>
  <si>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</si>
  <si>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</si>
  <si>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</si>
  <si>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</si>
  <si>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</si>
  <si>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</si>
  <si>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</si>
  <si>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</si>
  <si>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</si>
  <si>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</si>
  <si>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</si>
  <si>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</si>
  <si>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</si>
  <si>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</si>
  <si>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</si>
  <si>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</si>
  <si>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</si>
  <si>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</si>
  <si>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</si>
  <si>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</si>
  <si>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</si>
  <si>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</si>
  <si>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</si>
  <si>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</si>
  <si>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</si>
  <si>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</si>
  <si>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</si>
  <si>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</si>
  <si>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</si>
  <si>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</si>
  <si>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</si>
  <si>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</si>
  <si>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</si>
  <si>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</si>
  <si>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</si>
  <si>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</si>
  <si>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</si>
  <si>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</si>
  <si>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</si>
  <si>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</si>
  <si>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</si>
  <si>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</si>
  <si>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</si>
  <si>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</si>
  <si>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</si>
  <si>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</si>
  <si>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</si>
  <si>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</si>
  <si>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</si>
  <si>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</si>
  <si>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</si>
  <si>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</si>
  <si>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</si>
  <si>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</si>
  <si>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</si>
  <si>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</si>
  <si>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</si>
  <si>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</si>
  <si>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</si>
  <si>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</si>
  <si>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</si>
  <si>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</si>
  <si>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</si>
  <si>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</si>
  <si>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</si>
  <si>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</si>
  <si>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</si>
  <si>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</si>
  <si>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</si>
  <si>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</si>
  <si>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</si>
  <si>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</si>
  <si>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</si>
  <si>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</si>
  <si>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</si>
  <si>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</si>
  <si>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</si>
  <si>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</si>
  <si>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</si>
  <si>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</si>
  <si>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</si>
  <si>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</si>
  <si>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</si>
  <si>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</si>
  <si>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</si>
  <si>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</si>
  <si>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</si>
  <si>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</si>
  <si>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</si>
  <si>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</si>
  <si>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</si>
  <si>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</si>
  <si>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</si>
  <si>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</si>
  <si>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</si>
  <si>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</si>
  <si>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</si>
  <si>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</si>
  <si>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</si>
  <si>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</si>
  <si>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</si>
  <si>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</si>
  <si>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</si>
  <si>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</si>
  <si>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</si>
  <si>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</si>
  <si>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</si>
  <si>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</si>
  <si>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</si>
  <si>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</si>
  <si>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</si>
  <si>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</si>
  <si>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</si>
  <si>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</si>
  <si>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</si>
  <si>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</si>
  <si>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</si>
  <si>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</si>
  <si>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</si>
  <si>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</si>
  <si>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</si>
  <si>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</si>
  <si>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</si>
  <si>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</si>
  <si>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</si>
  <si>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</si>
  <si>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</si>
  <si>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</si>
  <si>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</si>
  <si>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</si>
  <si>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</si>
  <si>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</si>
  <si>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</si>
  <si>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</si>
  <si>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</si>
  <si>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</si>
  <si>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</si>
  <si>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</si>
  <si>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</si>
  <si>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</si>
  <si>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</si>
  <si>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</si>
  <si>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</si>
  <si>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</si>
  <si>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</si>
  <si>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</si>
  <si>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</si>
  <si>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</si>
  <si>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</si>
  <si>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</si>
  <si>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</si>
  <si>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</si>
  <si>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</si>
  <si>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</si>
  <si>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</si>
  <si>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</si>
  <si>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</si>
  <si>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</si>
  <si>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</si>
  <si>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</si>
  <si>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</si>
  <si>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</si>
  <si>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</si>
  <si>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</si>
  <si>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</si>
  <si>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</si>
  <si>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</si>
  <si>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</si>
  <si>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</si>
  <si>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</si>
  <si>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</si>
  <si>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</si>
  <si>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</si>
  <si>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</si>
  <si>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</si>
  <si>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</si>
  <si>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</si>
  <si>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</si>
  <si>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</si>
  <si>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</si>
  <si>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</si>
  <si>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</si>
  <si>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</si>
  <si>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</si>
  <si>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</si>
  <si>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</si>
  <si>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</si>
  <si>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</si>
  <si>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</si>
  <si>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</si>
  <si>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</si>
  <si>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</si>
  <si>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</si>
  <si>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</si>
  <si>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</si>
  <si>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</si>
  <si>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</si>
  <si>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</si>
  <si>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</si>
  <si>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</si>
  <si>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</si>
  <si>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</si>
  <si>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</si>
  <si>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</si>
  <si>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</si>
  <si>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</si>
  <si>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</si>
  <si>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</si>
  <si>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</si>
  <si>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</si>
  <si>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</si>
  <si>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</si>
  <si>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</si>
  <si>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</si>
  <si>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</si>
  <si>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</si>
  <si>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</si>
  <si>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</si>
  <si>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</si>
  <si>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</si>
  <si>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</si>
  <si>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</si>
  <si>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</si>
  <si>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</si>
  <si>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</si>
  <si>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</si>
  <si>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</si>
  <si>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</si>
  <si>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</si>
  <si>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</si>
  <si>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</si>
  <si>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</si>
  <si>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</si>
  <si>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</si>
  <si>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</si>
  <si>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</si>
  <si>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</si>
  <si>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</si>
  <si>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</si>
  <si>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</si>
  <si>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</si>
  <si>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</si>
  <si>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</si>
  <si>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</si>
  <si>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</si>
  <si>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</si>
  <si>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</si>
  <si>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</si>
  <si>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</si>
  <si>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</si>
  <si>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</si>
  <si>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</si>
  <si>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</si>
  <si>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</si>
  <si>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</si>
  <si>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</si>
  <si>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</si>
  <si>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</si>
  <si>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</si>
  <si>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</si>
  <si>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</si>
  <si>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</si>
  <si>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</si>
  <si>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</si>
  <si>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</si>
  <si>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</si>
  <si>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</si>
  <si>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</si>
  <si>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</si>
  <si>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</si>
  <si>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</si>
  <si>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</si>
  <si>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</si>
  <si>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</si>
  <si>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</si>
  <si>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</si>
  <si>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</si>
  <si>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</si>
  <si>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</si>
  <si>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</si>
  <si>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</si>
  <si>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</si>
  <si>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</si>
  <si>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</si>
  <si>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</si>
  <si>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</si>
  <si>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</si>
  <si>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</si>
  <si>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</si>
  <si>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</si>
  <si>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</si>
  <si>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</si>
  <si>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</si>
  <si>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</si>
  <si>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</si>
  <si>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</si>
  <si>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</si>
  <si>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</si>
  <si>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</si>
  <si>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</si>
  <si>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</si>
  <si>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</si>
  <si>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</si>
  <si>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</si>
  <si>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</si>
  <si>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</si>
  <si>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</si>
  <si>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</si>
  <si>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</si>
  <si>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</si>
  <si>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</si>
  <si>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</si>
  <si>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</si>
  <si>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</si>
  <si>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</si>
  <si>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</si>
  <si>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</si>
  <si>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</si>
  <si>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</si>
  <si>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</si>
  <si>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</si>
  <si>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</si>
  <si>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</si>
  <si>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</si>
  <si>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</si>
  <si>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</si>
  <si>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</si>
  <si>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</si>
  <si>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</si>
  <si>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</si>
  <si>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</si>
  <si>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</si>
  <si>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</si>
  <si>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</si>
  <si>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</si>
  <si>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</si>
  <si>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</si>
  <si>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</si>
  <si>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</si>
  <si>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</si>
  <si>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</si>
  <si>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</si>
  <si>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</si>
  <si>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</si>
  <si>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</si>
  <si>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</si>
  <si>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</si>
  <si>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</si>
  <si>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</si>
  <si>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</si>
  <si>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</si>
  <si>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</si>
  <si>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</si>
  <si>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</si>
  <si>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</si>
  <si>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</si>
  <si>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</si>
  <si>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</si>
  <si>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</si>
  <si>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</si>
  <si>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</si>
  <si>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</si>
  <si>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</si>
  <si>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</si>
  <si>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</si>
  <si>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</si>
  <si>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</si>
  <si>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</si>
  <si>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</si>
  <si>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</si>
  <si>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</si>
  <si>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</si>
  <si>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</si>
  <si>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</si>
  <si>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</si>
  <si>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</si>
  <si>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</si>
  <si>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</si>
  <si>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</si>
  <si>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</si>
  <si>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</si>
  <si>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</si>
  <si>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</si>
  <si>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</si>
  <si>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</si>
  <si>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</si>
  <si>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</si>
  <si>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</si>
  <si>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</si>
  <si>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</si>
  <si>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</si>
  <si>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</si>
  <si>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</si>
  <si>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</si>
  <si>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</si>
  <si>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</si>
  <si>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</si>
  <si>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</si>
  <si>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</si>
  <si>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</si>
  <si>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</si>
  <si>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</si>
  <si>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</si>
  <si>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</si>
  <si>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</si>
  <si>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</si>
  <si>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</si>
  <si>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</si>
  <si>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</si>
  <si>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</si>
  <si>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</si>
  <si>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</si>
  <si>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</si>
  <si>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</si>
  <si>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</si>
  <si>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</si>
  <si>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</si>
  <si>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</si>
  <si>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</si>
  <si>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</si>
  <si>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</si>
  <si>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</si>
  <si>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</si>
  <si>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</si>
  <si>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</si>
  <si>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</si>
  <si>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</si>
  <si>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</si>
  <si>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</si>
  <si>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</si>
  <si>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</si>
  <si>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</si>
  <si>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</si>
  <si>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</si>
  <si>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</si>
  <si>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</si>
  <si>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</si>
  <si>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</si>
  <si>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</si>
  <si>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</si>
  <si>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</si>
  <si>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</si>
  <si>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</si>
  <si>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</si>
  <si>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</si>
  <si>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</si>
  <si>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</si>
  <si>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</si>
  <si>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</si>
  <si>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</si>
  <si>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</si>
  <si>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</si>
  <si>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</si>
  <si>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</si>
  <si>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</si>
  <si>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</si>
  <si>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</si>
  <si>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</si>
  <si>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</si>
  <si>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</si>
  <si>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</si>
  <si>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</si>
  <si>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</si>
  <si>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</si>
  <si>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</si>
  <si>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</si>
  <si>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</si>
  <si>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</si>
  <si>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</si>
  <si>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</si>
  <si>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</si>
  <si>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</si>
  <si>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</si>
  <si>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</si>
  <si>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</si>
  <si>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</si>
  <si>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</si>
  <si>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</si>
  <si>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</si>
  <si>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</si>
  <si>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</si>
  <si>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</si>
  <si>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</si>
  <si>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</si>
  <si>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</si>
  <si>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</si>
  <si>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</si>
  <si>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</si>
  <si>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</si>
  <si>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</si>
  <si>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</si>
  <si>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</si>
  <si>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</si>
  <si>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</si>
  <si>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</si>
  <si>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</si>
  <si>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</si>
  <si>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</si>
  <si>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</si>
  <si>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</si>
  <si>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</si>
  <si>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</si>
  <si>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</si>
  <si>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</si>
  <si>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</si>
  <si>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</si>
  <si>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</si>
  <si>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</si>
  <si>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</si>
  <si>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</si>
  <si>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</si>
  <si>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</si>
  <si>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</si>
  <si>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</si>
  <si>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</si>
  <si>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</si>
  <si>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</si>
  <si>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</si>
  <si>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</si>
  <si>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</si>
  <si>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</si>
  <si>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</si>
  <si>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</si>
  <si>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</si>
  <si>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</si>
  <si>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</si>
  <si>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</si>
  <si>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</si>
  <si>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</si>
  <si>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</si>
  <si>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</si>
  <si>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</si>
  <si>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</si>
  <si>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</si>
  <si>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</si>
  <si>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</si>
  <si>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</si>
  <si>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</si>
  <si>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</si>
  <si>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</si>
  <si>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</si>
  <si>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</si>
  <si>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</si>
  <si>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</si>
  <si>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</si>
  <si>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</si>
  <si>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</si>
  <si>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</si>
  <si>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</si>
  <si>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</si>
  <si>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</si>
  <si>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</si>
  <si>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</si>
  <si>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</si>
  <si>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</si>
  <si>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</si>
  <si>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</si>
  <si>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</si>
  <si>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</si>
  <si>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</si>
  <si>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</si>
  <si>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</si>
  <si>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</si>
  <si>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</si>
  <si>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</si>
  <si>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</si>
  <si>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</si>
  <si>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</si>
  <si>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</si>
  <si>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</si>
  <si>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</si>
  <si>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</si>
  <si>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</si>
  <si>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</si>
  <si>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</si>
  <si>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</si>
  <si>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</si>
  <si>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</si>
  <si>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</si>
  <si>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</si>
  <si>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</si>
  <si>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</si>
  <si>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</si>
  <si>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</si>
  <si>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</si>
  <si>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</si>
  <si>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</si>
  <si>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</si>
  <si>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</si>
  <si>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</si>
  <si>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</si>
  <si>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</si>
  <si>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</si>
  <si>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</si>
  <si>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</si>
  <si>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</si>
  <si>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</si>
  <si>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</si>
  <si>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</si>
  <si>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</si>
  <si>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</si>
  <si>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</si>
  <si>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</si>
  <si>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</si>
  <si>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</si>
  <si>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</si>
  <si>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</si>
  <si>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</si>
  <si>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</si>
  <si>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</si>
  <si>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</si>
  <si>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</si>
  <si>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</si>
  <si>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</si>
  <si>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</si>
  <si>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</si>
  <si>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</si>
  <si>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</si>
  <si>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</si>
  <si>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</si>
  <si>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</si>
  <si>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</si>
  <si>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</si>
  <si>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</si>
  <si>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</si>
  <si>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</si>
  <si>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</si>
  <si>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</si>
  <si>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</si>
  <si>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</si>
  <si>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</si>
  <si>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</si>
  <si>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</si>
  <si>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</si>
  <si>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</si>
  <si>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</si>
  <si>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</si>
  <si>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</si>
  <si>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</si>
  <si>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</si>
  <si>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</si>
  <si>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</si>
  <si>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</si>
  <si>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</si>
  <si>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</si>
  <si>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</si>
  <si>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</si>
  <si>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</si>
  <si>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</si>
  <si>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</si>
  <si>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</si>
  <si>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</si>
  <si>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</si>
  <si>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</si>
  <si>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</si>
  <si>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</si>
  <si>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</si>
  <si>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</si>
  <si>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</si>
  <si>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</si>
  <si>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</si>
  <si>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</si>
  <si>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</si>
  <si>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</si>
  <si>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</si>
  <si>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</si>
  <si>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</si>
  <si>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</si>
  <si>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</si>
  <si>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</si>
  <si>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</si>
  <si>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</si>
  <si>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</si>
  <si>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</si>
  <si>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Sverweise verwenden?  Statt die ganzen Typen usw. Aber wie dann filtern?</t>
  </si>
  <si>
    <t>APS-C</t>
  </si>
  <si>
    <t>Wie clearen? Max Zeile?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</si>
  <si>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</si>
  <si>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</si>
  <si>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</si>
  <si>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</si>
  <si>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</si>
  <si>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</si>
  <si>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</si>
  <si>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</si>
  <si>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</si>
  <si>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Kleinbild</t>
  </si>
  <si>
    <t>Sony FE 16-35mm 2.8 GM schwarz (SEL-1635GM)</t>
  </si>
  <si>
    <t>16-35mm</t>
  </si>
  <si>
    <t>Sony E 16-70mm 4.0 ZA OSS schwarz (SEL-1670Z)</t>
  </si>
  <si>
    <t>Sony FE 24-70mm 2.8 GM schwarz (SEL2470GM)</t>
  </si>
  <si>
    <t>24-70mm</t>
  </si>
  <si>
    <t>Panasonic Lumix G Vario 100-300mm 4.0-5.6 II OIS schwarz (H-FSA100300)</t>
  </si>
  <si>
    <t>100-300mm</t>
  </si>
  <si>
    <t>Canon EF 24-70mm 2.8 II L USM schwarz (5175B005)</t>
  </si>
  <si>
    <t>Sony FE 85mm 1.8 schwarz (SEL-85F18)</t>
  </si>
  <si>
    <t>Sony E 35mm 1.8 OSS schwarz (SEL-35F18)</t>
  </si>
  <si>
    <t>Nikon AF-S 50mm 1.8G schwarz (JAA015DA)</t>
  </si>
  <si>
    <t>Sony FE 70-300mm 4.5-5.6 G OSS schwarz (SEL-70300G)</t>
  </si>
  <si>
    <t>70-300mm</t>
  </si>
  <si>
    <t>Sony FE 100-400mm 4.5-5.6 GM OSS weiß (SEL-100400GM)</t>
  </si>
  <si>
    <t>100-400mm</t>
  </si>
  <si>
    <t>Sony E PZ 18-105mm 4.0 G OSS schwarz (SEL-P18105G)</t>
  </si>
  <si>
    <t>18-105mm</t>
  </si>
  <si>
    <t>Canon EF 70-200mm 2.8 L IS II USM weiß (2751B005)</t>
  </si>
  <si>
    <t>70-200mm</t>
  </si>
  <si>
    <t>Canon EF 16-35mm 4.0 L IS USM schwarz (9518B005)</t>
  </si>
  <si>
    <t>Nikon AF-S VR 70-200mm 2.8E FL ED schwarz (JAA830DA)</t>
  </si>
  <si>
    <t>Canon EF 50mm 1.8 STM schwarz (0570C005)</t>
  </si>
  <si>
    <t>Sony FE 24-70mm 4.0 ZA OSS schwarz (SEL-2470Z)</t>
  </si>
  <si>
    <t>Canon EF 100-400mm 4.5-5.6 L IS II USM weiß (9524B005)</t>
  </si>
  <si>
    <t>Olympus M.Zuiko digital ED 12-40mm 2.8 PRO schwarz (V314060BE000)</t>
  </si>
  <si>
    <t>12-40mm</t>
  </si>
  <si>
    <t>Panasonic/Leica DG Vario Elmarit 12-60mm 2.8-4.0 ASPH schwarz (H-ES12060)</t>
  </si>
  <si>
    <t>12-60mm</t>
  </si>
  <si>
    <t>Sony E 50mm 1.8 OSS schwarz (SEL-50F18B)</t>
  </si>
  <si>
    <t>Nikon AF-P VR DX 10-20mm 4.5-5.6G schwarz (JAA832DA)</t>
  </si>
  <si>
    <t>10-20mm</t>
  </si>
  <si>
    <t>Canon EF-S 35mm 2.8 Macro IS STM schwarz (2220C005)</t>
  </si>
  <si>
    <t>Sony FE 12-24mm 4.0 G schwarz (SEL-1224G)</t>
  </si>
  <si>
    <t>12-24mm</t>
  </si>
  <si>
    <t>Sony FE 28mm 2.0 schwarz (SEL-28F20)</t>
  </si>
  <si>
    <t>Tamron SP AF 24-70mm 2.8 Di VC USD G2 für Nikon F schwarz (A032N)</t>
  </si>
  <si>
    <t>Canon EF-S 18-135mm 3.5-5.6 IS USM schwarz (1276C005)</t>
  </si>
  <si>
    <t>18-135mm</t>
  </si>
  <si>
    <t>Nikon AF-S VR 24-120mm 4.0G ED schwarz (JAA811DA)</t>
  </si>
  <si>
    <t>24-120mm</t>
  </si>
  <si>
    <t>Panasonic Lumix G 25mm 1.7 schwarz (H-H025)</t>
  </si>
  <si>
    <t>Canon EF 24-105mm 4.0 L IS II USM schwarz (1380C005)</t>
  </si>
  <si>
    <t>24-105mm</t>
  </si>
  <si>
    <t>Nikon AF-S DX 35mm 1.8G schwarz (JAA132DA)</t>
  </si>
  <si>
    <t>Samyang 12mm 2.0 NCS CS für Sony E schwarz (1220506101)</t>
  </si>
  <si>
    <t>12mm</t>
  </si>
  <si>
    <t>Tamron SP AF 70-200mm 2.8 Di VC USD G2 für Nikon F schwarz (A025N)</t>
  </si>
  <si>
    <t>Nikon AF-S VR DX 16-80mm 2.8-4.0E ED schwarz (JAA825DA)</t>
  </si>
  <si>
    <t>16-80mm</t>
  </si>
  <si>
    <t>Panasonic/Leica DG Vario Elmar 100-400mm 4.0-6.3 ASPH Power OIS schwarz (H-RS100400E)</t>
  </si>
  <si>
    <t>Sony E 55-210mm 4.5-6.3 OSS schwarz (SEL-55210B)</t>
  </si>
  <si>
    <t>55-210mm</t>
  </si>
  <si>
    <t>Laowa 7.5mm 2.0 für Micro-Four-Thirds schwarz</t>
  </si>
  <si>
    <t>7.5mm</t>
  </si>
  <si>
    <t>Sigma Art AF 18-35mm 1.8 DC HSM IF für Nikon F schwarz (210955)</t>
  </si>
  <si>
    <t>18-35mm</t>
  </si>
  <si>
    <t>Sigma Contemporary AF 30mm 1.4 DC DN für Sony E schwarz (302965)</t>
  </si>
  <si>
    <t>Sony FE 70-200mm 4.0 G OSS weiß (SEL-70200G)</t>
  </si>
  <si>
    <t>Canon EF 24-105mm 3.5-5.6 IS STM schwarz (9521B005)</t>
  </si>
  <si>
    <t>Panasonic Lumix G 30mm 2.8 Makro ASPH OIS schwarz (H-HS030)</t>
  </si>
  <si>
    <t>Sony FE 24-240mm 3.5-6.3 OSS schwarz (SEL-24240)</t>
  </si>
  <si>
    <t>24-240mm</t>
  </si>
  <si>
    <t>Panasonic Lumix G Vario 12-60mm 3.5-5.6 ASPH Power OIS schwarz (H-FS12060)</t>
  </si>
  <si>
    <t>Sigma Art AF 18-35mm 1.8 DC HSM IF für Canon EF schwarz (210954)</t>
  </si>
  <si>
    <t>Sony E 10-18mm 4.0 OSS schwarz (SEL-1018)</t>
  </si>
  <si>
    <t>10-18mm</t>
  </si>
  <si>
    <t>Panasonic Lumix G Vario 14-140mm 3.5-5.6 ASPH OIS schwarz (H-FS14140E)</t>
  </si>
  <si>
    <t>14-140mm</t>
  </si>
  <si>
    <t>Sony E 16-50mm 3.5-5.6 OSS PZ schwarz (SEL-P1650)</t>
  </si>
  <si>
    <t>16-50mm</t>
  </si>
  <si>
    <t>Sony FE 50mm 1.8 schwarz (SEL-50F18F)</t>
  </si>
  <si>
    <t>Tamron AF 10-24mm 3.5-4.5 Di II VC HLD für Nikon F schwarz (B023N)</t>
  </si>
  <si>
    <t>10-24mm</t>
  </si>
  <si>
    <t>Canon EF 24-105mm 4.0 L IS USM schwarz (0344B003/0344B006)</t>
  </si>
  <si>
    <t>Canon EF 24-70mm 4.0 L IS USM schwarz (6313B005)</t>
  </si>
  <si>
    <t>Nikon AF-S VR 24-70mm 2.8E ED schwarz (JAA824DA)</t>
  </si>
  <si>
    <t>Nikon AF-S VR 70-200mm 2.8G ED II schwarz (JAA807DA)</t>
  </si>
  <si>
    <t>Panasonic Lumix G Vario 45-200mm 4.0-5.6 II OIS schwarz (H-FSA45200)</t>
  </si>
  <si>
    <t>45-200mm</t>
  </si>
  <si>
    <t>Sigma Art AF 24-70mm 2.8 DG OS HSM für Canon EF schwarz (576954)</t>
  </si>
  <si>
    <t>Sony FE 55mm 1.8 ZA schwarz (SEL-55F18Z)</t>
  </si>
  <si>
    <t>Sony FE 70-200mm 2.8 GM OSS weiß (SEL70200GM)</t>
  </si>
  <si>
    <t>Canon EF 100mm 2.8 L Makro IS USM schwarz (3554B005)</t>
  </si>
  <si>
    <t>Canon EF-S 10-18mm 4.5-5.6 IS STM schwarz (9519B005)</t>
  </si>
  <si>
    <t>Sony FE 16-35mm 4.0 ZA OSS schwarz (SEL-1635Z)</t>
  </si>
  <si>
    <t>Tamron AF 18-200mm 3.5-6.3 Di III VC für Sony E schwarz (B011B)</t>
  </si>
  <si>
    <t>18-200mm</t>
  </si>
  <si>
    <t>Tamron SP AF 24-70mm 2.8 Di VC USD G2 für Canon EF schwarz (A032E)</t>
  </si>
  <si>
    <t>Canon EF-S 24mm 2.8 STM schwarz (9522B005)</t>
  </si>
  <si>
    <t>Nikon AF-S 8-15mm 3.5-4.5E ED schwarz (JAA831DA)</t>
  </si>
  <si>
    <t>8-15mm</t>
  </si>
  <si>
    <t>Olympus M.Zuiko digital ED 60mm 2.8 Makro schwarz (V312010BE000)</t>
  </si>
  <si>
    <t>Sigma Art AF 24-70mm 2.8 DG OS HSM für Nikon F schwarz (576955)</t>
  </si>
  <si>
    <t>Sony FE 35mm 1.4 ZA schwarz (SEL-35F14Z)</t>
  </si>
  <si>
    <t>Tamron SP AF 70-200mm 2.8 Di VC USD G2 für Canon EF schwarz (A025E)</t>
  </si>
  <si>
    <t>Tamron SP AF 90mm 2.8 Di VC USD Makro 1:1 für Canon EF schwarz (F017E)</t>
  </si>
  <si>
    <t>Canon EF-S 55-250mm 4.0-5.6 IS STM schwarz (8546B005)</t>
  </si>
  <si>
    <t>55-250mm</t>
  </si>
  <si>
    <t>Canon EF 50mm 1.4 USM schwarz (2515A004/2515A012)</t>
  </si>
  <si>
    <t>Canon EF 35mm 2.0 IS USM schwarz (5178B005)</t>
  </si>
  <si>
    <t>Canon EF-S 18-135mm 3.5-5.6 IS STM schwarz (6097B005)</t>
  </si>
  <si>
    <t>Fujifilm XF 10-24mm 4.0 R OIS schwarz (16412188)</t>
  </si>
  <si>
    <t>Olympus M.Zuiko digital 45mm 1.8 schwarz (V311030BE000)</t>
  </si>
  <si>
    <t>Fujifilm XF 55-200mm 3.5-4.8 R LM OIS schwarz</t>
  </si>
  <si>
    <t>55-200mm</t>
  </si>
  <si>
    <t>Nikon AF-S 14-24mm 2.8G ED schwarz (JAA801DA)</t>
  </si>
  <si>
    <t>14-24mm</t>
  </si>
  <si>
    <t>Nikon AF-S VR 200-500mm 5.6E ED schwarz (JAA822DA)</t>
  </si>
  <si>
    <t>200-500mm</t>
  </si>
  <si>
    <t>Nikon AF-S VR DX 18-140mm 3.5-5.6G ED schwarz (JAA819DA)</t>
  </si>
  <si>
    <t>18-140mm</t>
  </si>
  <si>
    <t>Olympus M.Zuiko digital ED 25mm 1.2 PRO schwarz (V311080BW000)</t>
  </si>
  <si>
    <t>Samyang AF 35mm 2.8 FE für Sony E schwarz</t>
  </si>
  <si>
    <t>Nikon AF-S VR DX 18-105mm 3.5-5.6G ED schwarz (JAA805DA)</t>
  </si>
  <si>
    <t>Panasonic/Leica DG Summilux 25mm 1.4 ASPH schwarz (H-X025E)</t>
  </si>
  <si>
    <t>Panasonic Lumix G Vario 12-32mm 3.5-5.6 ASPH OIS schwarz (H-FS12032-K)</t>
  </si>
  <si>
    <t>12-32mm</t>
  </si>
  <si>
    <t>Panasonic Lumix G X Vario 12-35mm 2.8 ASPH II OIS schwarz (H-HSA12035)</t>
  </si>
  <si>
    <t>12-35mm</t>
  </si>
  <si>
    <t>Sigma AF 10-20mm 3.5 EX DC HSM für Sony A schwarz (202962)</t>
  </si>
  <si>
    <t>Fujifilm XF 18-55mm 2.8-4.0 R LM OIS schwarz</t>
  </si>
  <si>
    <t>18-55mm</t>
  </si>
  <si>
    <t>Canon EF 70-300mm 4.0-5.6 IS II USM schwarz (0571C005)</t>
  </si>
  <si>
    <t>Canon EF 16-35mm 2.8 L III USM schwarz (0573C005)</t>
  </si>
  <si>
    <t>Panasonic Lumix G Vario 7-14mm 4.0 ASPH schwarz (H-F007014E)</t>
  </si>
  <si>
    <t>7-14mm</t>
  </si>
  <si>
    <t>Panasonic/Leica DG Vario Elmarit 8-18mm 2.8-4.0 ASPH schwarz (H-E08018)</t>
  </si>
  <si>
    <t>8-18mm</t>
  </si>
  <si>
    <t>Tamron AF 28-300mm 3.5-6.3 XR Di VC LD PZD IF für Nikon F schwarz (A010N)</t>
  </si>
  <si>
    <t>28-300mm</t>
  </si>
  <si>
    <t>Tamron SP AF 15-30mm 2.8 Di VC USD für Nikon F schwarz (A012N) -- via Amazon Partnerprogramm</t>
  </si>
  <si>
    <t>15-30mm</t>
  </si>
  <si>
    <t>Canon EF-M 18-150mm 3.5-6.3 IS STM schwarz (1375C005)</t>
  </si>
  <si>
    <t>18-150mm</t>
  </si>
  <si>
    <t>Nikon AF-P VR DX 70-300mm 4.5-6.3G ED schwarz (JAA829DA)</t>
  </si>
  <si>
    <t>Olympus M.Zuiko digital ED 12-100mm 4.0 IS PRO schwarz (V314080BW000)</t>
  </si>
  <si>
    <t>12-100mm</t>
  </si>
  <si>
    <t>Nikon AF-S 85mm 1.8G schwarz (JAA341DA)</t>
  </si>
  <si>
    <t>Sigma AF 10-20mm 3.5 EX DC HSM für Nikon F schwarz (202955)</t>
  </si>
  <si>
    <t>Nikon AF-S 105mm 1.4E ED schwarz (JAA343DA)</t>
  </si>
  <si>
    <t>Sigma Contemporary AF 150-600mm 5.0-6.3 DG OS HSM für Canon EF schwarz (745954)</t>
  </si>
  <si>
    <t>150-600mm</t>
  </si>
  <si>
    <t>Nikon AF-S VR 70-200mm 4.0G ED schwarz (JAA815DA)</t>
  </si>
  <si>
    <t>Sony E 55-210mm 4.5-6.3 OSS silber (SEL-55210S)</t>
  </si>
  <si>
    <t>Nikon AF-S VR 300mm 4.0E PF ED schwarz (JAA342DA)</t>
  </si>
  <si>
    <t>Olympus M.Zuiko digital ED 7-14mm 2.8 PRO schwarz</t>
  </si>
  <si>
    <t>Sony FE 28-70mm 3.5-5.6 OSS schwarz (SEL-2870)</t>
  </si>
  <si>
    <t>28-70mm</t>
  </si>
  <si>
    <t>Sony FE 35mm 2.8 ZA schwarz (SEL-35F28Z)</t>
  </si>
  <si>
    <t>Panasonic Lumix G X Vario 35-100mm 2.8 II OIS schwarz (H-HSA35100)</t>
  </si>
  <si>
    <t>35-100mm</t>
  </si>
  <si>
    <t>Canon EF 85mm 1.2 II L USM schwarz (1056B005)</t>
  </si>
  <si>
    <t>Canon EF 85mm 1.8 USM schwarz (2519A004/2519A012)</t>
  </si>
  <si>
    <t>Sigma Art AF 85mm 1.4 DG HSM für Nikon F schwarz (321955)</t>
  </si>
  <si>
    <t>Canon EF-S 10-18mm 4.5-5.6 IS STM mit EW-73C und LC-Kit schwarz (9519B009)</t>
  </si>
  <si>
    <t>Canon EF-S 15-85mm 3.5-5.6 IS USM schwarz (3560B005)</t>
  </si>
  <si>
    <t>15-85mm</t>
  </si>
  <si>
    <t>Canon EF-S 17-55mm 2.8 IS USM schwarz (1242B005)</t>
  </si>
  <si>
    <t>17-55mm</t>
  </si>
  <si>
    <t>Fujifilm XF 35mm 2.0 R WR schwarz</t>
  </si>
  <si>
    <t>Nikon AF-S 20mm 1.8G ED schwarz (JAA138DA)</t>
  </si>
  <si>
    <t>Panasonic Lumix G 20mm 1.7 II ASPH schwarz (H-H020AE-K)</t>
  </si>
  <si>
    <t>Sigma Art AF 135mm 1.8 DG HSM für Nikon F schwarz (240955)</t>
  </si>
  <si>
    <t>Sigma AF 17-50mm 2.8 EX DC OS HSM für Nikon F schwarz (583955)</t>
  </si>
  <si>
    <t>17-50mm</t>
  </si>
  <si>
    <t>Sigma Contemporary AF 100-400mm 5.0-6.3 DG OS HSM für Canon EF schwarz</t>
  </si>
  <si>
    <t>Panasonic Lumix G 42.5mm 1.7 ASPH Power OIS schwarz (H-HS043)</t>
  </si>
  <si>
    <t>42.5mm</t>
  </si>
  <si>
    <t>Sony 18-135mm 3.5-5.6 DT SAM schwarz (SAL-18135) -- via Amazon Partnerprogramm</t>
  </si>
  <si>
    <t>Sony FE 90mm 2.8 G OSS Makro schwarz (SEL-90M28G)</t>
  </si>
  <si>
    <t>Sony FE 50mm 1.4 ZA SSM schwarz (SEL-50F14Z)</t>
  </si>
  <si>
    <t>Nikon 1 NIKKOR VR 10-30mm 3.5-5.6 PD-Zoom schwarz (JVA707DA)</t>
  </si>
  <si>
    <t>10-30mm</t>
  </si>
  <si>
    <t>Sigma Contemporary AF 150-600mm 5.0-6.3 DG OS HSM inkl. 1.4x Telekonverter für Nikon F schwarz</t>
  </si>
  <si>
    <t>Sigma Contemporary AF 150-600mm 5.0-6.3 DG OS HSM inkl. 1.4x Telekonverter für Canon EF schwarz</t>
  </si>
  <si>
    <t>Olympus M.Zuiko digital 15mm 8.0 Body Cap Lens schwarz (V325010BE000)</t>
  </si>
  <si>
    <t>Canon EF-M 55-200mm 4.5-6.3 IS STM schwarz (9517B005)</t>
  </si>
  <si>
    <t>Canon EF-S 18-135mm 3.5-5.6 IS STM mit EW-73B und LC-Kit schwarz (6097B013)</t>
  </si>
  <si>
    <t>Olympus M.Zuiko digital 15mm 8.0 Body Cap Lens silber (V325010SE000)</t>
  </si>
  <si>
    <t>Olympus M.Zuiko digital 15mm 8.0 Body Cap Lens weiß (V325010WE000)</t>
  </si>
  <si>
    <t>Olympus M.Zuiko digital 15mm 8.0 Body Cap Lens rot (V325010RE000)</t>
  </si>
  <si>
    <t>Fujifilm XF 35mm 2.0 R WR silber</t>
  </si>
  <si>
    <t>Olympus M.Zuiko digital ED 14-42mm 3.5-5.6 EZ silber (V314070SE000)</t>
  </si>
  <si>
    <t>14-42mm</t>
  </si>
  <si>
    <t>Olympus M.Zuiko digital 9mm 8.0 Body Cap Lens schwarz (V325040BW000)</t>
  </si>
  <si>
    <t>9mm</t>
  </si>
  <si>
    <t>Nikon AF 28-80mm 3.3-5.6G schwarz (JAA777DC)</t>
  </si>
  <si>
    <t>28-80mm</t>
  </si>
  <si>
    <t>Nikon AF 70-300mm 4.0-5.6G schwarz (JAA776DC)</t>
  </si>
  <si>
    <t>Nikon AF-S 300mm 4.0D IF-ED schwarz (JAA334DA)</t>
  </si>
  <si>
    <t>Sigma Sports AF 150-600mm 5.0-6.3 DG OS HSM für Nikon F schwarz (740955)</t>
  </si>
  <si>
    <t>Sigma Sports AF 150-600mm 5.0-6.3 DG OS HSM für Sigma schwarz (740956)</t>
  </si>
  <si>
    <t>Sigma Contemporary AF 150-600mm 5.0-6.3 DG OS HSM für Sigma schwarz (745956)</t>
  </si>
  <si>
    <t>Samyang 7.5mm 3.5 Fisheye für Micro-Four-Thirds schwarz (1230109101)</t>
  </si>
  <si>
    <t>Olympus M.Zuiko digital 45mm 1.8 silber (V311030SE000)</t>
  </si>
  <si>
    <t>Nikon AF-S DX 55-200mm 4.0-5.6G ED schwarz (JAA793DC)</t>
  </si>
  <si>
    <t>Panasonic Lumix G X Vario PZ 14-42mm 3.5-5.6 ASPH OIS silber (H-PS14042E-S)</t>
  </si>
  <si>
    <t>Sigma Art AF 60mm 2.8 DN für Sony E schwarz (350965)</t>
  </si>
  <si>
    <t>Sigma Art AF 60mm 2.8 DN für Sony E silber (35S965)</t>
  </si>
  <si>
    <t>Nikon AF-S DX 18-55mm 3.5-5.6G ED II schwarz (JAA797DB)</t>
  </si>
  <si>
    <t>Fujifilm XF 23mm 2.0 R WR silber (16523171)</t>
  </si>
  <si>
    <t>23mm</t>
  </si>
  <si>
    <t>Tamron AF 14-150mm 3.5-5.8 Di III für Micro-Four-Thirds silber (C001S) -- via Amazon Partnerprogramm</t>
  </si>
  <si>
    <t>14-150mm</t>
  </si>
  <si>
    <t>Olympus M.Zuiko digital ED 14-42mm 3.5-5.6 silber (N3593492)</t>
  </si>
  <si>
    <t>Olympus M.Zuiko digital 17mm 2.8 Pancake silber (N3593592)</t>
  </si>
  <si>
    <t>17mm</t>
  </si>
  <si>
    <t>Fujifilm XF 100-400mm F4.5-5.6 R LM OIS WR schwarz (16501109)</t>
  </si>
  <si>
    <t>Tamron AF 16-300mm 3.5-6.3 Di II PZD Macro für Sony A schwarz (B016S)</t>
  </si>
  <si>
    <t>16-300mm</t>
  </si>
  <si>
    <t>Tamron AF 18-200mm 3.5-6.3 XR Di II LD Asp IF Makro für Canon EF schwarz (A14E)</t>
  </si>
  <si>
    <t>Tamron AF 18-200mm 3.5-6.3 XR Di II LD Asp IF Makro für Sony A schwarz (A14M/A14S)</t>
  </si>
  <si>
    <t>Tamron AF 18-200mm 3.5-6.3 XR Di II LD Asp IF Makro für Pentax K schwarz (A14P)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</si>
  <si>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</si>
  <si>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</si>
  <si>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</si>
  <si>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</si>
  <si>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Pentax smc DFA 50mm 2.8 Makro schwarz (21530)</t>
  </si>
  <si>
    <t>Sigma Art AF 20mm 1.4 DG HSM für Nikon F schwarz (412955)</t>
  </si>
  <si>
    <t>Walimex Pro 85mm 1.4 IF für Nikon F schwarz (16837)</t>
  </si>
  <si>
    <t>Sigma AF 10-20mm 3.5 EX DC HSM für Pentax K schwarz (202961)</t>
  </si>
  <si>
    <t>Sigma AF 10-20mm 3.5 EX DC HSM für Canon EF schwarz (202954)</t>
  </si>
  <si>
    <t>Panasonic Lumix G Vario 45-150mm 4.0-5.6 OIS schwarz (H-FS45150E-K)</t>
  </si>
  <si>
    <t>45-150mm</t>
  </si>
  <si>
    <t>Samsung NX 16-50mm 3.5-5.6 ED PZ OIS i-Function schwarz (EX-ZP1650ZABEP)</t>
  </si>
  <si>
    <t>Tamron SP AF 180mm 3.5 Di LD IF Makro 1:1 für Sony A schwarz (B01M/B01S)</t>
  </si>
  <si>
    <t>Tamron SP AF 28-75mm 2.8 XR Di LD Asp IF Makro für Nikon F schwarz (A09N)</t>
  </si>
  <si>
    <t>28-75mm</t>
  </si>
  <si>
    <t>Sigma AF 50mm 2.8 EX DG Makro für Sigma schwarz (346940)</t>
  </si>
  <si>
    <t>Walimex Pro 16mm 2.0 für Nikon F schwarz (19710)</t>
  </si>
  <si>
    <t>Sigma AF 85mm 1.4 EX DG HSM für Nikon F schwarz (320955)</t>
  </si>
  <si>
    <t>Sigma Art AF 12-24mm 4.0 DG HSM für Canon EF schwarz (205954)</t>
  </si>
  <si>
    <t>Sigma AF 8-16mm 4.5-5.6 DC HSM für Nikon F schwarz (203955)</t>
  </si>
  <si>
    <t>8-16mm</t>
  </si>
  <si>
    <t>Sigma AF 8-16mm 4.5-5.6 DC HSM für Canon EF schwarz (203954)</t>
  </si>
  <si>
    <t>Sigma AF 8-16mm 4.5-5.6 DC HSM für Sony A schwarz (203962)</t>
  </si>
  <si>
    <t>Sigma AF 17-50mm 2.8 EX DC OS HSM für Sony A schwarz (583962)</t>
  </si>
  <si>
    <t>Sigma AF 50-500mm 4.5-6.3 DG APO OS HSM für Sony A schwarz (738962)</t>
  </si>
  <si>
    <t>50-500mm</t>
  </si>
  <si>
    <t>Sigma AF 50-500mm 4.5-6.3 DG APO OS HSM für Canon EF schwarz (738954)</t>
  </si>
  <si>
    <t>Sigma AF 50-500mm 4.5-6.3 DG APO OS HSM für Nikon F schwarz (738955)</t>
  </si>
  <si>
    <t>Sigma AF 50-500mm 4.5-6.3 DG APO OS HSM für Pentax K schwarz (738961)</t>
  </si>
  <si>
    <t>Sigma AF 70-200mm 2.8 EX DG APO HSM OS für Canon EF schwarz (589954)</t>
  </si>
  <si>
    <t>Sigma Contemporary AF 17-70mm 2.8-4.0 DC Makro HSM für Sony A schwarz (884962)</t>
  </si>
  <si>
    <t>17-70mm</t>
  </si>
  <si>
    <t>Samyang 50mm 1.4 AS UMC für Canon EF schwarz (1111101101)</t>
  </si>
  <si>
    <t>Leica Summilux-M 35mm 1.4 ASPH schwarz (11663) -- via Amazon Partnerprogramm</t>
  </si>
  <si>
    <t>© bepixelung.org</t>
  </si>
  <si>
    <t>Pentax smc DA 17-70mm 4.0 AL IF SDM schwarz (21740)</t>
  </si>
  <si>
    <t>Olympus Zuiko digital ED 7-14mm 4.0 schwarz (N1698692)</t>
  </si>
  <si>
    <t>Olympus Zuiko digital ED 35-100mm 2.0 schwarz (N1698792)</t>
  </si>
  <si>
    <t>Leica APO-Summicron-M 50mm 2.0 ASPH silber</t>
  </si>
  <si>
    <t>Nikon 50mm 1.2 schwarz (JAA003AB)</t>
  </si>
  <si>
    <t>Tamron AF 28-300mm 3.5-6.3 XR Di VC LD PZD IF für Sony A schwarz (A010S)</t>
  </si>
  <si>
    <t>Pentax smc DA 14mm 2.8 ED IF schwarz (21510)</t>
  </si>
  <si>
    <t>Tamron SP AF 10-24mm 3.5-4.5 Di II LD Asp IF für Canon EF schwarz (B001E)</t>
  </si>
  <si>
    <t>Tamron SP AF 10-24mm 3.5-4.5 Di II LD Asp IF für Sony A schwarz (B001M/B001S)</t>
  </si>
  <si>
    <t>Tamron SP AF 28-75mm 2.8 XR Di LD Asp IF Makro für Sony A schwarz (A09M/A09S)</t>
  </si>
  <si>
    <t>Tamron SP AF 28-75mm 2.8 XR Di LD Asp IF Makro für Pentax K schwarz (A09P)</t>
  </si>
  <si>
    <t>Pentax smc DA 18-135mm 3.5-5.6 ED AL IF DC WR schwarz (21977)</t>
  </si>
  <si>
    <t>Zeiss ZE Distagon T* 35mm 2.0 für Canon EF schwarz -- via Amazon Partnerprogramm</t>
  </si>
  <si>
    <t>Tamron SP AF 200-500mm 5.0-6.3 Di LD IF für Canon EF schwarz (A08E)</t>
  </si>
  <si>
    <t>Tamron SP AF 200-500mm 5-6.3 Di LD IF für Nikon F schwarz (A08N)</t>
  </si>
  <si>
    <t>Sigma Contemporary AF 18-200mm 3.5-6.3 DC Makro HSM für Pentax K schwarz (885961)</t>
  </si>
  <si>
    <t>Sigma Art AF 50mm 1.4 DG HSM für Sony A schwarz (311962)</t>
  </si>
  <si>
    <t>Sigma Art AF 18-35mm 1.8 DC HSM IF für Sony A schwarz (210962)</t>
  </si>
  <si>
    <t>Pentax smc DA 16-45mm 4.0 ED AL schwarz (21507)</t>
  </si>
  <si>
    <t>16-45mm</t>
  </si>
  <si>
    <t>Pentax smc FA 31mm 1.8 AL Limited silber (20280/20290)</t>
  </si>
  <si>
    <t>31mm</t>
  </si>
  <si>
    <t>Pentax smc FA 43mm 1.9 Limited silber (20170/20180)</t>
  </si>
  <si>
    <t>43mm</t>
  </si>
  <si>
    <t>Pentax smc DA 18-55mm 3.5-5.6 AL WR schwarz (21880)</t>
  </si>
  <si>
    <t>Nikon AF-S VR DX 18-200mm 3.5-5.6G IF-ED schwarz (JAA794DA)</t>
  </si>
  <si>
    <t>Tamron AF 18-200mm 3.5-6.3 XR Di II LD Asp IF Makro mit AF-Motor für Nikon F schwarz (A14NII)</t>
  </si>
  <si>
    <t>Sigma AF 18-50mm 2.8 EX DC Asp IF für Sony/Konica Minolta schwarz (580934)</t>
  </si>
  <si>
    <t>18-50mm</t>
  </si>
  <si>
    <t>Nikon 1 NIKKOR VR 10-30mm 3.5-5.6 schwarz (JVA701DA)</t>
  </si>
  <si>
    <t>Nikon 1 NIKKOR VR 30-110mm 3.8-5.6 schwarz (JVA703DA)</t>
  </si>
  <si>
    <t>30-110mm</t>
  </si>
  <si>
    <t>Canon EF 28-300mm 3.5-5.6 L IS USM weiß (9322A003/9322A006)</t>
  </si>
  <si>
    <t>Canon EF 70-300mm 4.5-5.6 DO IS USM schwarz (9321A003/9321A006)</t>
  </si>
  <si>
    <t>Nikon AF-S DX 18-135mm 3.5-5.6G IF-ED schwarz (JAA796DA)</t>
  </si>
  <si>
    <t>Olympus Zuiko digital ED 50mm 2.0 Makro schwarz (N1284492)</t>
  </si>
  <si>
    <t>Nikon AF-S DX 18-70mm 3.5-4.5G IF-ED schwarz (JAA790DA)</t>
  </si>
  <si>
    <t>18-70mm</t>
  </si>
  <si>
    <t>Olympus M.Zuiko digital 9mm 8.0 Body Cap Lens weiß (V325040WW000)</t>
  </si>
  <si>
    <t>Sigma AF 120-300mm 2.8 EX DG APO HSM OS für Canon EF schwarz (136954)</t>
  </si>
  <si>
    <t>120-300mm</t>
  </si>
  <si>
    <t>Nikon AF-S VR DX Micro 85mm 3.5G IF-ED schwarz (JAA637DA)</t>
  </si>
  <si>
    <t>Sigma AF 300mm 2.8 EX DG APO HSM IF für Canon EF schwarz (195954)</t>
  </si>
  <si>
    <t>Sigma AF 70-300mm 4.0-5.6 DG Makro mit AF-Motor für Nikon F schwarz (5A9955)</t>
  </si>
  <si>
    <t>Sigma AF 70-300mm 4.0-5.6 DG APO Makro mit AF-Motor für Nikon F schwarz (5A8955)</t>
  </si>
  <si>
    <t>Sigma AF 70-300mm 4.0-5.6 DG APO Makro für Canon EF schwarz (508927)</t>
  </si>
  <si>
    <t>Sigma AF 70-300mm 4.0-5.6 DG APO Makro für Nikon F schwarz (508944)</t>
  </si>
  <si>
    <t>Sigma AF 70-300mm 4.0-5.6 DG Makro für Canon EF schwarz (509927)</t>
  </si>
  <si>
    <t>Sigma AF 70-300mm 4.0-5.6 DG Makro für Sony A schwarz (509934)</t>
  </si>
  <si>
    <t>Sigma AF 70-300mm 4.0-5.6 DG Makro für Pentax K schwarz (509945)</t>
  </si>
  <si>
    <t>Nikon 1 NIKKOR VR 30-110mm 3.8-5.6 weiß (JVA703DB)</t>
  </si>
  <si>
    <t>Pentax smc DA 40mm 2.8 Limited schwarz (21550)</t>
  </si>
  <si>
    <t>Canon EF-S 18-55mm 3.5-5.6 IS schwarz (2042B005)</t>
  </si>
  <si>
    <t>Canon EF-S 55-250mm 4.0-5.6 IS schwarz (2044B005)</t>
  </si>
  <si>
    <t>Nikon 1 NIKKOR AW 10mm 2.8 schwarz (JVA103DA)</t>
  </si>
  <si>
    <t>Pentax smc DA 12-24mm 4.0 ED AL schwarz (21577)</t>
  </si>
  <si>
    <t>Sony 30mm 2.8 DT Makro SAM schwarz (SAL-30M28)</t>
  </si>
  <si>
    <t>Sigma Art AF 35mm 1.4 DG HSM für Canon EF schwarz (340954)</t>
  </si>
  <si>
    <t>Sigma Art AF 35mm 1.4 DG HSM für Pentax K schwarz (340961)</t>
  </si>
  <si>
    <t>Sigma Art AF 35mm 1.4 DG HSM für Sony A schwarz (340962)</t>
  </si>
  <si>
    <t>Irix 15mm 2.4 Blackstone für Nikon F schwarz -- via Amazon Partnerprogramm</t>
  </si>
  <si>
    <t>Tamron SP AF 24-70mm 2.8 Di USD für Sony A schwarz (A007S)</t>
  </si>
  <si>
    <t>Sigma Sports AF 120-300mm 2.8 DG HSM OS für Canon EF schwarz (137954)</t>
  </si>
  <si>
    <t>Sigma Sports AF 120-300mm 2.8 DG HSM OS für Sigma schwarz (137956)</t>
  </si>
  <si>
    <t>Tamron SP AF 70-300mm 4.0-5.6 Di VC USD für Canon EF schwarz (A005E)</t>
  </si>
  <si>
    <t>Tamron SP AF 70-300mm 4.0-5.6 Di USD für Sony A schwarz (A005S)</t>
  </si>
  <si>
    <t>Tokina AT-X Pro 11-16mm 2.8 DX II für Canon EF schwarz</t>
  </si>
  <si>
    <t>11-16mm</t>
  </si>
  <si>
    <t>Olympus Zuiko digital ED 9-18mm 4.0-5.6 schwarz (N3127892)</t>
  </si>
  <si>
    <t>9-18mm</t>
  </si>
  <si>
    <t>Canon EF 28mm 2.8 IS USM schwarz (5179B005)</t>
  </si>
  <si>
    <t>Pentax HD DA 40mm 2.8 Limited schwarz (21390)</t>
  </si>
  <si>
    <t>Sony 100mm 2.8 Makro schwarz (SAL-100M28)</t>
  </si>
  <si>
    <t>Sony 50mm 1.4 schwarz (SAL-50F14)</t>
  </si>
  <si>
    <t>Tamron SP AF 70-200mm 2.8 Di LD IF Makro für Canon EF schwarz (A001E)</t>
  </si>
  <si>
    <t>Tamron SP AF 70-200mm 2.8 Di LD IF Makro für Sony A schwarz (A001M/A001S)</t>
  </si>
  <si>
    <t>Pentax smc DA 50-135mm 2.8 ED IF SDM schwarz (21660)</t>
  </si>
  <si>
    <t>50-135mm</t>
  </si>
  <si>
    <t>Canon EF 100mm 2.0 USM schwarz (2518A004/2518A012)</t>
  </si>
  <si>
    <t>Canon EF 135mm 2.8 Soft-Focus schwarz (2516A004/2516A009)</t>
  </si>
  <si>
    <t>Canon EF 200mm 2.8 L II USM schwarz (2529A005/2529A015)</t>
  </si>
  <si>
    <t>Tamron AF 18-270mm 3.5-6.3 Di II VC LD Asp IF Makro für Canon EF schwarz (B003E)</t>
  </si>
  <si>
    <t>18-270mm</t>
  </si>
  <si>
    <t>Canon EF 28mm 1.8 USM schwarz (2510A004/2510A010)</t>
  </si>
  <si>
    <t>Sigma AF 180mm 2.8 EX DG APO HSM OS Makro für Canon EF schwarz (107954)</t>
  </si>
  <si>
    <t>Canon EF 28-135mm 3.5-5.6 IS USM schwarz (2562A003/2562A014)</t>
  </si>
  <si>
    <t>28-135mm</t>
  </si>
  <si>
    <t>Sony 55-300mm 4.5-5.6 DT SAM schwarz (SAL-55300)</t>
  </si>
  <si>
    <t>55-300mm</t>
  </si>
  <si>
    <t>Nikon AF-S VR DX 55-200mm 4.0-5.6G ED II schwarz (JAA823DA)</t>
  </si>
  <si>
    <t>Canon EF 300mm 4.0 L IS USM weiß (2530A005/2530A017)</t>
  </si>
  <si>
    <t>Canon EF 35mm 1.4 L USM schwarz (2512A003/2512A011)</t>
  </si>
  <si>
    <t>Canon EF 70-200mm 2.8 L USM weiß (2569A005/2569A018)</t>
  </si>
  <si>
    <t>Canon EF 75-300mm 4.0-5.6 III USM schwarz (6472A003/6472A012)</t>
  </si>
  <si>
    <t>75-300mm</t>
  </si>
  <si>
    <t>Canon MP-E 65mm 2.8 1-5x Makro schwarz (2540A003/2540A011)</t>
  </si>
  <si>
    <t>65mm</t>
  </si>
  <si>
    <t>Pentax smc DA 50mm 1.8 schwarz (22177)</t>
  </si>
  <si>
    <t>Sigma AF 4.5mm 2.8 EX DC HSM Zirkular Fisheye für Canon EF schwarz (486954)</t>
  </si>
  <si>
    <t>Nikon AF 180mm 2.8D IF-ED schwarz (JAA330DA)</t>
  </si>
  <si>
    <t>Nikon AF Micro 200mm 4.0D IF-ED schwarz (JAA624DA)</t>
  </si>
  <si>
    <t>Nikon AF 24-85mm 2.8-4.0D schwarz (JAA774DA)</t>
  </si>
  <si>
    <t>24-85mm</t>
  </si>
  <si>
    <t>Nikon AF 35mm 2.0D schwarz (JAA129DA)</t>
  </si>
  <si>
    <t>Sigma AF 10mm 2.8 EX DC HSM Diagonal Fisheye für Canon EF schwarz (477954)</t>
  </si>
  <si>
    <t>Sigma AF 10mm 2.8 EX DC HSM Diagonal Fisheye für Nikon F schwarz (477955)</t>
  </si>
  <si>
    <t>Nikon AF 85mm 1.8D schwarz (JAA328DA)</t>
  </si>
  <si>
    <t>Nikon AF 28-100mm 3.5-5.6G schwarz (JAA778DC)</t>
  </si>
  <si>
    <t>28-100mm</t>
  </si>
  <si>
    <t>Nikon AF-S 17-35mm 2.8D IF-ED schwarz (JAA770DA)</t>
  </si>
  <si>
    <t>17-35mm</t>
  </si>
  <si>
    <t>Tamron SP AF 60mm 2.0 Di II LD IF Makro 1:1 für Canon EF schwarz (G005E)</t>
  </si>
  <si>
    <t>Tamron SP AF 60mm 2.0 Di II LD IF Makro 1:1 für Sony A schwarz (G005S)</t>
  </si>
  <si>
    <t>Sigma AF 50mm 1.4 EX DG HSM für Canon EF schwarz (310954)</t>
  </si>
  <si>
    <t>Sigma AF 50mm 1.4 EX DG HSM für Nikon F schwarz (310955)</t>
  </si>
  <si>
    <t>Sigma AF 50mm 1.4 EX DG HSM für Pentax K schwarz (310961)</t>
  </si>
  <si>
    <t>Sigma AF 17-70mm 2.8-4.5 DC Asp IF Makro für Sony A schwarz (669934/699934)</t>
  </si>
  <si>
    <t>Sigma AF 20mm 1.8 EX DG Asp RF für Canon EF schwarz (411927)</t>
  </si>
  <si>
    <t>Tokina AT-X Pro 11-16mm 2.8 DX für Canon EF schwarz (T4111601)</t>
  </si>
  <si>
    <t>Tokina AT-X Pro 11-16mm 2.8 DX für Nikon F schwarz (T4111603)</t>
  </si>
  <si>
    <t>Tokina AT-X Pro 100mm 2.8 Makro für Canon EF schwarz (T310001N)</t>
  </si>
  <si>
    <t>Sony 16-80mm 3.5-4.5 DT schwarz (SAL-1680Z) -- dieses Bild wurde uns freundlicherweise von einem User zur Verfügung gestellt</t>
  </si>
  <si>
    <t>Sigma Contemporary AF 18-300mm 3.5-6.3 DC Makro OS HSM für Nikon F schwarz (886955)</t>
  </si>
  <si>
    <t>18-300mm</t>
  </si>
  <si>
    <t>Sigma AF 50mm 2.8 EX DG Makro für Sony A schwarz (346934)</t>
  </si>
  <si>
    <t>Sigma AF 20mm 1.8 EX DG Asp RF für Nikon F schwarz (411944)</t>
  </si>
  <si>
    <t>Sigma AF 28mm 1.8 EX DG Asp Makro für Nikon F schwarz (440944)</t>
  </si>
  <si>
    <t>Tamron AF 70-300mm 4.0-5.6 Di LD Makro 1:2 für Canon EF schwarz (A17E)</t>
  </si>
  <si>
    <t>Tamron AF 70-300mm 4.0-5.6 Di LD Makro 1:2 für Nikon F schwarz (A17N)</t>
  </si>
  <si>
    <t>Tamron AF 70-300mm 4.0-5.6 Di LD Makro 1:2 für Sony A schwarz (A17M/A17S)</t>
  </si>
  <si>
    <t>Olympus Zuiko digital ED 70-300mm 4.0-5.6 schwarz (N2931392)</t>
  </si>
  <si>
    <t>Samyang 85mm 1.4 Asph IF UMC für Pentax K schwarz</t>
  </si>
  <si>
    <t>Samyang 85mm 1.4 Asph IF UMC für Canon EF schwarz</t>
  </si>
  <si>
    <t>Samyang 8mm 3.5 Asph IF MC Fisheye für Nikon F schwarz</t>
  </si>
  <si>
    <t>Nikon AF-S 28mm 1.8G schwarz (JAA135DA)</t>
  </si>
  <si>
    <t>Panasonic Lumix G Vario 45-200mm 4.0-5.6 OIS schwarz (H-FS045200E)</t>
  </si>
  <si>
    <t>Sony 28-75mm 2.8 SAM schwarz (SAL-2875)</t>
  </si>
  <si>
    <t>Panasonic Lumix G 14mm 2.5 ASPH schwarz (H-H014E)</t>
  </si>
  <si>
    <t>Panasonic Lumix G 14mm 2.5 ASPH II schwarz (H-H014AE)</t>
  </si>
  <si>
    <t>Samyang AE 85mm 1.4 Asph IF für Nikon F schwarz</t>
  </si>
  <si>
    <t>Canon EF-S 10-22mm 3.5-4.5 USM schwarz (9518A003/9518A007)</t>
  </si>
  <si>
    <t>10-22mm</t>
  </si>
  <si>
    <t>Canon EF-S 17-85mm 4.0-5.6 IS USM schwarz (9517A003/9517A008)</t>
  </si>
  <si>
    <t>17-85mm</t>
  </si>
  <si>
    <t>Canon EF-S 18-55mm 3.5-5.6 schwarz</t>
  </si>
  <si>
    <t>Sigma AF 8mm 3.5 EX DG Zirkular Fisheye für Canon EF schwarz (485927)</t>
  </si>
  <si>
    <t>Fujifilm XF 27mm 2.8 silber</t>
  </si>
  <si>
    <t>27mm</t>
  </si>
  <si>
    <t>Tokina AT-X Pro 16-28mm 2.8 FX für Canon EF schwarz (T4162801)</t>
  </si>
  <si>
    <t>16-28mm</t>
  </si>
  <si>
    <t>Fujifilm XF 50-140mm 2.8 R LM OIS WR inkl. 1.4x Telekonverter schwarz (4005623)</t>
  </si>
  <si>
    <t>50-140mm</t>
  </si>
  <si>
    <t>Sony 70-400mm 4.0-5.6G SSMII weiß (SAL-70400G2)</t>
  </si>
  <si>
    <t>70-400mm</t>
  </si>
  <si>
    <t>Nikon AF-S 50mm 1.8G SE schwarz (JAA016DA)</t>
  </si>
  <si>
    <t>Canon EF 24mm 1.4 L USM II schwarz (2750B005)</t>
  </si>
  <si>
    <t>Tamron SP AF 85mm 1.8 Di VC USD für Canon EF schwarz (F016E)</t>
  </si>
  <si>
    <t>Walimex Pro 35mm 1.4 für Nikon F schwarz (16958)</t>
  </si>
  <si>
    <t>Samsung NX 50-200mm 4.0-5.6 ED OIS III i-Function schwarz (EX-T50200CSB)</t>
  </si>
  <si>
    <t>50-200mm</t>
  </si>
  <si>
    <t>Tamron AF 28-300mm 3.5-6.3 XR Di LD Asp IF Makro für Canon EF schwarz (A061E)</t>
  </si>
  <si>
    <t>Tamron SP AF 90mm 2.8 Di Makro 1:1 für Canon EF schwarz (272EE)</t>
  </si>
  <si>
    <t>Tamron SP AF 90mm 2.8 Di Makro 1:1 für Nikon F schwarz (272EN)</t>
  </si>
  <si>
    <t>Tamron SP AF 90mm 2.8 Di Makro 1:1 für Sony A schwarz (272EM/272ES)</t>
  </si>
  <si>
    <t>Tamron SP AF 90mm 2.8 Di Makro 1:1 für Pentax K schwarz (272EP)</t>
  </si>
  <si>
    <t>Walimex Pro 8mm 3.5 Fisheye für Nikon F schwarz (17568)</t>
  </si>
  <si>
    <t>Sigma AF 18-125mm 3.5-5.6 DC Asp IF für Nikon F schwarz (799944)</t>
  </si>
  <si>
    <t>18-125mm</t>
  </si>
  <si>
    <t>Sigma Art AF 60mm 2.8 DN für Micro-Four-Thirds schwarz (350963)</t>
  </si>
  <si>
    <t>Sigma Art AF 60mm 2.8 DN für Micro-Four-Thirds silber (35S963)</t>
  </si>
  <si>
    <t>Pentax smc DA 21mm 3.2 AL Limited schwarz (21590)</t>
  </si>
  <si>
    <t>Olympus Zuiko digital ED 18-180mm 3.5-6-3 schwarz (N2127792)</t>
  </si>
  <si>
    <t>18-180mm</t>
  </si>
  <si>
    <t>Olympus Zuiko digital 35mm 3.5 Makro schwarz (N2127692)</t>
  </si>
  <si>
    <t>Dörr 12mm 7.4 Fisheye für Sony E schwarz (361112) -- via Amazon Partnerprogramm</t>
  </si>
  <si>
    <t>Nikon AF-S VR 24-85mm 3.5-4.5G ED schwarz (JAA816DA)</t>
  </si>
  <si>
    <t>Sigma AF 150-500mm 5.0-6.3 DG APO HSM OS für Nikon F schwarz (737955)</t>
  </si>
  <si>
    <t>150-500mm</t>
  </si>
  <si>
    <t>Sigma AF 120-400mm 4.5-5.6 DG APO HSM OS für Sony A schwarz (728962)</t>
  </si>
  <si>
    <t>120-400mm</t>
  </si>
  <si>
    <t>Tamron SP AF 90mm 2.8 Di USD Makro 1:1 für Sony A schwarz (F004S)</t>
  </si>
  <si>
    <t>Tamron SP AF 17-50mm 2.8 XR Di II LD Asp IF für Canon EF schwarz (A16E)</t>
  </si>
  <si>
    <t>Tamron SP AF 17-50mm 2.8 XR Di II LD Asp IF für Sony A schwarz (A16M/A16S)</t>
  </si>
  <si>
    <t>Tamron SP AF 17-50mm 2.8 XR Di II LD Asp IF für Nikon F schwarz (A16N)</t>
  </si>
  <si>
    <t>Nikon AF-S VR 800mm 5.6 FL ED schwarz (JAA531DA)</t>
  </si>
  <si>
    <t>Sigma Art AF 30mm 2.8 DN für Sony E silber (33S965)</t>
  </si>
  <si>
    <t>Sony 18-250mm 3.5-6.3 DT schwarz (SAL-18250) -- via Amazon Partnerprogramm</t>
  </si>
  <si>
    <t>18-250mm</t>
  </si>
  <si>
    <t>Sigma AF 10-20mm 4.0-5.6 EX DC für Sony A schwarz (201934)</t>
  </si>
  <si>
    <t>Sigma Art AF 19mm 2.8 DN für Micro-Four-Thirds silber (40S963)</t>
  </si>
  <si>
    <t>Sigma AF 70mm 2.8 EX DG Makro für Canon EF schwarz (270954)</t>
  </si>
  <si>
    <t>Sigma AF 70mm 2.8 EX DG Makro für Nikon F schwarz (270944)</t>
  </si>
  <si>
    <t>Sigma AF 12-24mm 4.5-5.6 EX DG Asp HSM IF für Canon EF schwarz (200927)</t>
  </si>
  <si>
    <t>Olympus M.Zuiko digital ED 75mm 1.8 silber (V311040SE000)</t>
  </si>
  <si>
    <t>75mm</t>
  </si>
  <si>
    <t>Sigma AF 18-250mm 3.5-6.3 DC Makro OS HSM für Nikon F schwarz (883955)</t>
  </si>
  <si>
    <t>Sigma AF 18-250mm 3.5-6.3 DC Makro HSM für Pentax K schwarz (883961)</t>
  </si>
  <si>
    <t>Leica APO-Summicron-M 50mm 2.0 ASPH schwarz</t>
  </si>
  <si>
    <t>Sigma AF 18-250mm 3.5-6.3 DC Makro OS HSM für Sigma schwarz (883956)</t>
  </si>
  <si>
    <t>Sigma AF 10-20mm 4.0-5.6 EX DC HSM für Canon EF schwarz (201927)</t>
  </si>
  <si>
    <t>Sigma AF 10-20mm 4.0-5.6 EX DC HSM für Nikon F schwarz (201955)</t>
  </si>
  <si>
    <t>Sigma AF 30mm 1.4 EX DC HSM für Canon EF schwarz (300927)</t>
  </si>
  <si>
    <t>Canon EF-S 18-135mm 3.5-5.6 IS schwarz (3558B005)</t>
  </si>
  <si>
    <t>Sigma AF 30mm 1.4 EX DC HSM für Nikon F schwarz (300955)</t>
  </si>
  <si>
    <t>Sigma Art AF 50-100mm 1.8 DC HSM für Canon EF schwarz (693954)</t>
  </si>
  <si>
    <t>50-100mm</t>
  </si>
  <si>
    <t>Samsung NX 18-55mm 3.5-5.6 OIS III i-Function schwarz (EX-S1855CSB)</t>
  </si>
  <si>
    <t>Tamron SP AF 150-600mm 5.0-6.3 Di VC USD für Canon EF schwarz (A011E)</t>
  </si>
  <si>
    <t>Tamron SP AF 150-600mm 5.0-6.3 Di VC USD für Nikon F schwarz (A011N)</t>
  </si>
  <si>
    <t>Tamron SP AF 150-600mm 5.0-6.3 Di USD für Sony A schwarz (A011S)</t>
  </si>
  <si>
    <t>Sigma Art AF 24-105mm 4.0 DG OS HSM für Sigma schwarz (635956)</t>
  </si>
  <si>
    <t>Pentax smc DA 15mm 4.0 AL Limited schwarz (21800)</t>
  </si>
  <si>
    <t>Sigma Art AF 24mm 1.4 DG HSM für Nikon F schwarz (401955)</t>
  </si>
  <si>
    <t>Tokina AT-X 10-17mm 3.5-4.5 AF DX Fisheye für Canon EF schwarz (T4101701)</t>
  </si>
  <si>
    <t>10-17mm</t>
  </si>
  <si>
    <t>Tokina AT-X 10-17mm 3.5-4.5 AF DX Fisheye für Nikon F schwarz (T4101703)</t>
  </si>
  <si>
    <t>Sigma AF 17-70mm 2.8-4.0 DC Asp IF Makro OS HSM für Canon EF schwarz (668954)</t>
  </si>
  <si>
    <t>Samsung NX 45mm 1.8 i-Function schwarz (EX-S45ANB)</t>
  </si>
  <si>
    <t>Olympus Zuiko digital ED 12-60mm 2.8-4.0 SWD schwarz (N2931192)</t>
  </si>
  <si>
    <t>Olympus Zuiko digital ED 50-200mm 2.8-3.5 SWD schwarz (N2931292)</t>
  </si>
  <si>
    <t>Olympus Zuiko digital ED 14-35mm 2.0 SWD schwarz (N2127392)</t>
  </si>
  <si>
    <t>14-35mm</t>
  </si>
  <si>
    <t>Nikon 1 NIKKOR VR 10-100mm 4.0-5.6 schwarz (JVA705DA)</t>
  </si>
  <si>
    <t>10-100mm</t>
  </si>
  <si>
    <t>Sigma AF 15mm 2.8 EX DG Diagonal Fisheye für Pentax K schwarz (476945)</t>
  </si>
  <si>
    <t>Sigma AF 18-200mm 3.5-6.3 DC OS für Canon EF schwarz (888954)</t>
  </si>
  <si>
    <t>Sigma AF 18-200mm 3.5-6.3 DC OS HSM für Nikon F schwarz (888955)</t>
  </si>
  <si>
    <t>Panasonic Lumix G Vario 14-45mm 3.5-5.6 ASPH OIS schwarz (H-FS014045E)</t>
  </si>
  <si>
    <t>14-45mm</t>
  </si>
  <si>
    <t>Panasonic/Leica DG Macro-Elmarit 45mm 2.8 ASPH OIS schwarz (H-ES045E)</t>
  </si>
  <si>
    <t>Tamron SP AF 35mm 1.8 Di VC USD für Canon EF schwarz (F012E)</t>
  </si>
  <si>
    <t>Pentax smc FA 50mm 1.4 schwarz (20817)</t>
  </si>
  <si>
    <t>Sigma AF 50-500mm 4.0-6.3 EX DG APO HSM RF für Nikon F schwarz (736955)</t>
  </si>
  <si>
    <t>Tamron SP AF 17-50mm 2.8 XR Di II VC LD Asp IF für Canon EF schwarz (B005E)</t>
  </si>
  <si>
    <t>Nikon AF-S 35mm 1.4G schwarz (JAA134DA)</t>
  </si>
  <si>
    <t>Pentax smc DA 60-250mm 4.0 ED IF SDM schwarz (21750)</t>
  </si>
  <si>
    <t>60-250mm</t>
  </si>
  <si>
    <t>Pentax smc DA 55-300mm 4.0-5.8 ED schwarz (21720)</t>
  </si>
  <si>
    <t>Pentax smc DA 200mm 2.8 ED IF SDM schwarz (21700)</t>
  </si>
  <si>
    <t>Tamron SP AF 11-18mm 4.5-5.6 Di II LD Asp IF für Nikon F schwarz (A13N)</t>
  </si>
  <si>
    <t>11-18mm</t>
  </si>
  <si>
    <t>Pentax smc DA 50-200mm 4.0-5.6 ED schwarz (21567)</t>
  </si>
  <si>
    <t>Sigma Art AF 135mm 1.8 DG HSM für Canon EF schwarz (240954)</t>
  </si>
  <si>
    <t>Walimex Pro 7.5mm 3.5 Fisheye für Micro-Four-Thirds schwarz</t>
  </si>
  <si>
    <t>Walimex Pro 14mm 2.8 für Canon EF schwarz (16482)</t>
  </si>
  <si>
    <t>Sigma AF 10-20mm 3.5 EX DC HSM für Sigma schwarz (202956)</t>
  </si>
  <si>
    <t>Samyang 21mm 1.4 ED AS UMC CS für Micro-Four-Thirds schwarz (1223109101)</t>
  </si>
  <si>
    <t>Samyang 21mm 1.4 ED AS UMC CS für Canon EF-M schwarz (1223102101)</t>
  </si>
  <si>
    <t>Samyang 21mm 1.4 ED AS UMC CS für Fujifilm X schwarz (1223110101)</t>
  </si>
  <si>
    <t>Samyang 21mm 1.4 ED AS UMC CS für Sony E schwarz (1223106101)</t>
  </si>
  <si>
    <t>Panasonic Lumix G Vario 45-150mm 4.0-5.6 OIS silber (H-FS45150E-S)</t>
  </si>
  <si>
    <t>Samyang 50mm 1.2 AS UMC CS für Canon EF-M schwarz (1223202101)</t>
  </si>
  <si>
    <t>Samyang 50mm 1.2 AS UMC CS für Fujifilm X schwarz (1223210101)</t>
  </si>
  <si>
    <t>Samyang 50mm 1.2 AS UMC CS für Sony E schwarz (1223206101)</t>
  </si>
  <si>
    <t>Samyang 50mm 1.2 AS UMC CS für Micro-Four-Thirds schwarz (1223209101)</t>
  </si>
  <si>
    <t>Sigma Art AF 30mm 1.4 DC HSM für Sony A schwarz (301962)</t>
  </si>
  <si>
    <t>Sigma AF 70-300mm 4.0-5.6 DG OS für Nikon F schwarz (572955)</t>
  </si>
  <si>
    <t>Sigma AF 50-200mm 4.0-5.6 DC OS HSM für Nikon F schwarz (686955)</t>
  </si>
  <si>
    <t>Samsung NX 16-50mm 3.5-5.6 ED PZ OIS i-Function weiß (EX-ZP1650ZAWEP) -- via Amazon Partnerprogramm</t>
  </si>
  <si>
    <t>Samsung NX 16-50mm 2.0-2.8 S ED OIS i-Function schwarz (EX-S1650ASB)</t>
  </si>
  <si>
    <t>Tamron SP AF 180mm 3.5 Di LD IF Makro 1:1 für Canon EF schwarz (B01E)</t>
  </si>
  <si>
    <t>Tamron SP AF 180mm 3.5 Di LD IF Makro 1:1 für Nikon F schwarz (B01N)</t>
  </si>
  <si>
    <t>Olympus M.Zuiko digital ED 30mm 3.5 Macro schwarz (V312040BW000)</t>
  </si>
  <si>
    <t>Pentax HD DFA 24-70mm 2.8 ED SDM WR schwarz (21310)</t>
  </si>
  <si>
    <t>Walimex Pro 300mm 6.3 ED UMC CS Reflex für Canon EF-M silber (19723)</t>
  </si>
  <si>
    <t>Walimex Pro 300mm 6.3 ED UMC CS Reflex für Micro-Four-Thirds schwarz (19728)</t>
  </si>
  <si>
    <t>Walimex Pro 300mm 6.3 ED UMC CS Reflex für Micro-Four-Thirds silber (19729)</t>
  </si>
  <si>
    <t>Walimex Pro 12mm 2.0 CSC für Sony E silber (20195)</t>
  </si>
  <si>
    <t>Walimex Pro 300mm 6.3 ED UMC CS Reflex für Sony E silber (19721)</t>
  </si>
  <si>
    <t>Sigma AF 85mm 1.4 EX DG HSM für Canon EF schwarz (320954)</t>
  </si>
  <si>
    <t>Sigma AF 85mm 1.4 EX DG HSM für Pentax K schwarz (320961)</t>
  </si>
  <si>
    <t>Sigma AF 8-16mm 4.5-5.6 DC HSM für Sigma schwarz (203956)</t>
  </si>
  <si>
    <t>Sigma AF 8-16mm 4.5-5.6 DC HSM für Pentax K schwarz (203961)</t>
  </si>
  <si>
    <t>Sigma AF 17-50mm 2.8 EX DC OS HSM für Pentax K schwarz (583961)</t>
  </si>
  <si>
    <t>Sigma Contemporary AF 17-70mm 2.8-4.0 DC Makro HSM für Pentax K schwarz (884961)</t>
  </si>
  <si>
    <t>Sigma AF 70-200mm 2.8 EX DG APO HSM OS für Sony A schwarz (589962)</t>
  </si>
  <si>
    <t>Nikon PC-E 24mm 3.5D ED Tilt/Shift schwarz (JAA631DA)</t>
  </si>
  <si>
    <t>Samyang 21mm 1.4 ED AS UMC CS für Sony E silber (1223106102) -- via Amazon Partnerprogramm</t>
  </si>
  <si>
    <t>Samyang 21mm 1.4 ED AS UMC CS für Micro-Four-Thirds silber (1223109102) -- via Amazon Partnerprogramm</t>
  </si>
  <si>
    <t>Samyang 21mm 1.4 ED AS UMC CS für Fujifilm X silber (1223110102) -- via Amazon Partnerprogramm</t>
  </si>
  <si>
    <t>Samyang 21mm 1.4 ED AS UMC CS für Canon EF-M silber (1223102102) -- via Amazon Partnerprogramm</t>
  </si>
  <si>
    <t>Sony E 16mm 2.8 Pancake silber (SEL-16F28)</t>
  </si>
  <si>
    <t>Sony E 18-55mm 3.5-5.6 OSS silber (SEL-1855)</t>
  </si>
  <si>
    <t>Samyang 50mm 1.2 AS UMC CS für Sony E silber (1223206102) -- via Amazon Partnerprogramm</t>
  </si>
  <si>
    <t>Samyang 50mm 1.2 AS UMC CS für Micro-Four-Thirds silber (1223209102) -- via Amazon Partnerprogramm</t>
  </si>
  <si>
    <t>Samyang 50mm 1.2 AS UMC CS für Fujifilm X silber (1223210102) -- via Amazon Partnerprogramm</t>
  </si>
  <si>
    <t>Samyang 50mm 1.2 AS UMC CS für Canon EF-M silber (1223202102) -- via Amazon Partnerprogramm</t>
  </si>
  <si>
    <t>Samyang 8mm 2.8 UMC Fisheye II für Samsung NX schwarz (1220308101)</t>
  </si>
  <si>
    <t>Samyang 8mm 2.8 UMC Fisheye II für Samsung NX silber (1220308102)</t>
  </si>
  <si>
    <t>Samyang 8mm 2.8 UMC Fisheye II für Canon EF-M schwarz (1220302101)</t>
  </si>
  <si>
    <t>Samyang 8mm 2.8 UMC Fisheye II für Canon EF-M silber (1220302102)</t>
  </si>
  <si>
    <t>Samyang 8mm 2.8 UMC Fisheye II für Fujifilm X schwarz (1220310101)</t>
  </si>
  <si>
    <t>Samyang 8mm 2.8 UMC Fisheye II für Fujifilm X silber (1220310102)</t>
  </si>
  <si>
    <t>Samyang 8mm 2.8 UMC Fisheye II für Sony E schwarz (1220306101)</t>
  </si>
  <si>
    <t>Samyang 8mm 2.8 UMC Fisheye II für Sony E silber (1220306102)</t>
  </si>
  <si>
    <t>Samyang 12mm 2.0 NCS CS für Sony E silber (1220506102) -- via Amazon Partnerprogramm</t>
  </si>
  <si>
    <t>Samyang 12mm 2.0 NCS CS für Samsung NX silber (1220508102) -- via Amazon Partnerprogramm</t>
  </si>
  <si>
    <t>Samyang 12mm 2.0 NCS CS für Micro-Four-Thirds silber (1220509102) -- via Amazon Partnerprogramm</t>
  </si>
  <si>
    <t>Samyang 12mm 2.0 NCS CS für Fujifilm X silber (1220510102) -- via Amazon Partnerprogramm</t>
  </si>
  <si>
    <t>Samyang 12mm 2.0 NCS CS für Canon EF-M silber (1220502102) -- via Amazon Partnerprogramm</t>
  </si>
  <si>
    <t>Olympus Zuiko digital ED 150mm 2.0 schwarz (N1698592)</t>
  </si>
  <si>
    <t>Olympus Zuiko digital ED 90-250mm 2.8 ED schwarz (N2127492)</t>
  </si>
  <si>
    <t>90-250mm</t>
  </si>
  <si>
    <t>Nikon Micro 55mm 2.8 schwarz (JAA616AB)</t>
  </si>
  <si>
    <t>Nikon 50mm 1.4 schwarz (JAA001AF)</t>
  </si>
  <si>
    <t>Nikon 35mm 1.4 schwarz (JAA115AD)</t>
  </si>
  <si>
    <t>Nikon 20mm 2.8 schwarz (JAA108AA)</t>
  </si>
  <si>
    <t>Samsung NX 16mm 2.4 i-Function schwarz (EX-W16NB)</t>
  </si>
  <si>
    <t>Tamron SP AF 10-24mm 3.5-4.5 Di II LD Asp IF für Nikon F schwarz (B001N)</t>
  </si>
  <si>
    <t>Tamron SP AF 10-24mm 3.5-4.5 Di II LD Asp IF für Pentax K schwarz (B001P)</t>
  </si>
  <si>
    <t>Samyang 300mm 6.3 ED UMC CS Reflex für Canon EF-M schwarz -- via Amazon Partnerprogramm</t>
  </si>
  <si>
    <t>Samyang 300mm 6.3 ED UMC CS Reflex für Canon EF-M silber</t>
  </si>
  <si>
    <t>Samyang 300mm 6.3 ED UMC CS Reflex für Micro-Four-Thirds schwarz -- via Amazon Partnerprogramm</t>
  </si>
  <si>
    <t>Samyang 300mm 6.3 ED UMC CS Reflex für Micro-Four-Thirds silber</t>
  </si>
  <si>
    <t>Samyang 300mm 6.3 ED UMC CS Reflex für Fujifilm X schwarz -- via Amazon Partnerprogramm</t>
  </si>
  <si>
    <t>Samyang 300mm 6.3 ED UMC CS Reflex für Fujifilm X silber</t>
  </si>
  <si>
    <t>Samyang 300mm 6.3 ED UMC CS Reflex für Sony E schwarz -- via Amazon Partnerprogramm</t>
  </si>
  <si>
    <t>Samyang 300mm 6.3 ED UMC CS Reflex für Sony E silber</t>
  </si>
  <si>
    <t>Tamron SP AF 200-500mm 5-6.3 Di LD IF für Sony A schwarz (A08M/A08S)</t>
  </si>
  <si>
    <t>Canon EF 800mm 5.6 L IS USM weiß (2746B005)</t>
  </si>
  <si>
    <t>Sigma AF 24-70mm 2.8 EX DG HSM für Nikon F schwarz (571955)</t>
  </si>
  <si>
    <t>Pentax smc FA 77mm 1.8 Limited silber (27970/27980)</t>
  </si>
  <si>
    <t>Pentax smc DA 50-200mm 4.0-5.6 ED WR schwarz (21870)</t>
  </si>
  <si>
    <t>Pentax smc FA 35mm 2.0 AL schwarz (22190)</t>
  </si>
  <si>
    <t>Tamron AF 55-200mm 4.0-5.6 Di II LD Makro für Nikon F schwarz (A15N)</t>
  </si>
  <si>
    <t>Panasonic Lumix G 14mm 2.5 ASPH II silber (H-H014AE) -- via Amazon Partnerprogramm</t>
  </si>
  <si>
    <t>Tamron AF 18-200mm 3.5-6.3 Di III VC für Canon EF-M silber (B011EMS)</t>
  </si>
  <si>
    <t>Nikon 1 NIKKOR 11-27.5mm 3.5-5.6 weiß (JVA704DB)</t>
  </si>
  <si>
    <t>11-27.5mm</t>
  </si>
  <si>
    <t>Olympus M.Zuiko digital ED 12mm 2.0 Limited Edition schwarz (V311021BE000) -- via Amazon Partnerprogramm</t>
  </si>
  <si>
    <t>Fujifilm XC 50-230mm 4.5-6.7 OIS schwarz</t>
  </si>
  <si>
    <t>50-230mm</t>
  </si>
  <si>
    <t>Fujifilm XC 50-230mm 4.5-6.7 OIS silber</t>
  </si>
  <si>
    <t>Nikon AF-S DX 12-24mm 4.0G IF-ED schwarz (JAA784DA)</t>
  </si>
  <si>
    <t>Leica APO-Macro-Elmarit-TL 60mm 2.8 ASPH schwarz (11086)</t>
  </si>
  <si>
    <t>Olympus M.Zuiko digital ED 40-150mm 4.0-5.6 R MSC silber (V315030SE000)</t>
  </si>
  <si>
    <t>40-150mm</t>
  </si>
  <si>
    <t>Olympus Zuiko digital 14-54mm 2.8-3.5 II schwarz (N3224592)</t>
  </si>
  <si>
    <t>14-54mm</t>
  </si>
  <si>
    <t>Sigma AF 18-125mm 3.8-5.6 DC OS HSM für Nikon F schwarz (853955)</t>
  </si>
  <si>
    <t>Olympus Zuiko digital 11-22mm 2.8-3.5 schwarz (N1458192)</t>
  </si>
  <si>
    <t>11-22mm</t>
  </si>
  <si>
    <t>Olympus M.Zuiko digital 25mm 1.8 silber (V311060SE000)</t>
  </si>
  <si>
    <t>Panasonic Lumix G 20mm 1.7 II ASPH silber (H-H020AE-S)</t>
  </si>
  <si>
    <t>Sigma AF 300mm 2.8 EX DG APO HSM IF für Nikon F schwarz (195955)</t>
  </si>
  <si>
    <t>Sigma AF 70-300mm 4.0-5.6 DG APO Makro für Sony A schwarz (508934)</t>
  </si>
  <si>
    <t>Sigma AF 70-300mm 4.0-5.6 DG Makro für Nikon F schwarz (509944)</t>
  </si>
  <si>
    <t>Sigma AF 70-300mm 4.0-5.6 DG Makro für Sigma schwarz (509940)</t>
  </si>
  <si>
    <t>Fujifilm XF 50mm 2.0 R WR schwarz (16536611)</t>
  </si>
  <si>
    <t>Fujifilm XF 50mm 2.0 R WR silber (16536623)</t>
  </si>
  <si>
    <t>Fujifilm XC 16-50mm 3.5-5.6 OIS II schwarz (16460733) -- via Amazon Partnerprogramm</t>
  </si>
  <si>
    <t>Leica APO-Macro-Elmarit-TL 60mm 2.8 ASPH silber (11087)</t>
  </si>
  <si>
    <t>Canon EF 600mm 4.0 L IS II USM weiß (5125B005)</t>
  </si>
  <si>
    <t>Zeiss ZF.2 Milvus 100mm 2.0 Makro für Nikon F schwarz (2096-562)</t>
  </si>
  <si>
    <t>Irix 15mm 2.4 Firefly für Canon EF schwarz -- via Amazon Partnerprogramm</t>
  </si>
  <si>
    <t>Irix 15mm 2.4 Firefly für Pentax K schwarz -- via Amazon Partnerprogramm</t>
  </si>
  <si>
    <t>Irix 15mm 2.4 Blackstone für Canon EF schwarz -- via Amazon Partnerprogramm</t>
  </si>
  <si>
    <t>Irix 15mm 2.4 Blackstone für Pentax K schwarz -- via Amazon Partnerprogramm</t>
  </si>
  <si>
    <t>Leica Summilux-TL 35mm 1.4 ASPH schwarz (11084)</t>
  </si>
  <si>
    <t>Leica Summilux-TL 35mm 1.4 ASPH silber (11085)</t>
  </si>
  <si>
    <t>Fujifilm XF 60mm 2.4 R Makro schwarz (4004398)</t>
  </si>
  <si>
    <t>Zeiss Touit 32mm 1.8 für Fujifilm X schwarz (2030-679)</t>
  </si>
  <si>
    <t>32mm</t>
  </si>
  <si>
    <t>Olympus M.Zuiko digital ED 12-50mm 3.5-6.3 EZ schwarz (V314040BE000)</t>
  </si>
  <si>
    <t>12-50mm</t>
  </si>
  <si>
    <t>Olympus M.Zuiko digital ED 12-50mm 3.5-6.3 EZ silber (V314040SE000)</t>
  </si>
  <si>
    <t>Pentax HD DA 70mm 2.4 Limited schwarz (21430)</t>
  </si>
  <si>
    <t>Pentax HD DA 70mm 2.4 Limited silber (21440)</t>
  </si>
  <si>
    <t>Pentax HD DA 40mm 2.8 Limited silber (21400)</t>
  </si>
  <si>
    <t>Sigma AF 200-500mm 2.8 DG Asp APO für Canon EF grün (597954)</t>
  </si>
  <si>
    <t>Pentax HD DA 35mm 2.8 Makro Limited silber (21460)</t>
  </si>
  <si>
    <t>Sigma AF 200-500mm 2.8 DG Asp APO für Nikon F grün (597955)</t>
  </si>
  <si>
    <t>Sigma AF 200-500mm 2.8 DG Asp APO für Sigma grün (597956)</t>
  </si>
  <si>
    <t>Pentax HD DA 21mm 3.2 AL Limited schwarz (21410)</t>
  </si>
  <si>
    <t>Pentax HD DA 21mm 3.2 AL Limited silber (21420)</t>
  </si>
  <si>
    <t>Pentax HD DA 15mm 4.0 AL Limited schwarz (21470)</t>
  </si>
  <si>
    <t>Pentax HD DA 15mm 4.0 AL Limited silber (21480)</t>
  </si>
  <si>
    <t>Tamron AF 28-300mm 3.5-6.3 XR Di VC LD Asp IF Makro für Nikon F schwarz (A20N)</t>
  </si>
  <si>
    <t>Sony 18-200mm 3.5-6.3 DT schwarz (SAL-18200) -- via Amazon Partnerprogramm</t>
  </si>
  <si>
    <t>Pentax smc DA 16-50mm 2.8 ED AL IF SDM schwarz (21650)</t>
  </si>
  <si>
    <t>Canon EF 180mm 3.5 L Makro USM schwarz (2539A009/2539A014)</t>
  </si>
  <si>
    <t>Canon EF 20mm 2.8 USM schwarz (2509A004/2509A010)</t>
  </si>
  <si>
    <t>Canon EF 24mm 2.8 schwarz (2506A003/2506A011)</t>
  </si>
  <si>
    <t>Canon EF 50mm 2.5 Compact Makro schwarz (2537A004/2537A012)</t>
  </si>
  <si>
    <t>Canon TS-E 90mm 2.8 Tilt/Shift schwarz (2544A004/2544A016)</t>
  </si>
  <si>
    <t>Sigma AF 4.5mm 2.8 EX DC HSM Zirkular Fisheye für Nikon F schwarz (486955)</t>
  </si>
  <si>
    <t>Nikon AF DC 105mm 2.0D schwarz (JAA327DA)</t>
  </si>
  <si>
    <t>Nikon AF DC 135mm 2.0D schwarz (JAA329DA)</t>
  </si>
  <si>
    <t>Nikon AF 14mm 2.8D ED schwarz (JAA130DA)</t>
  </si>
  <si>
    <t>Nikon AF 16mm 2.8D Fisheye schwarz (JAA626DA)</t>
  </si>
  <si>
    <t>Nikon AF 20mm 2.8D schwarz (JAA127DA)</t>
  </si>
  <si>
    <t>Nikon AF 24mm 2.8D schwarz (JAA125DA)</t>
  </si>
  <si>
    <t>Nikon AF 28mm 2.8D schwarz (JAA128DA)</t>
  </si>
  <si>
    <t>Nikon AF Micro 60mm 2.8D schwarz (JAA625DA)</t>
  </si>
  <si>
    <t>Canon EF 300mm 2.8 L IS II USM weiß (4411B005)</t>
  </si>
  <si>
    <t>Canon EF 400mm 2.8 L IS II USM weiß (4412B005)</t>
  </si>
  <si>
    <t>Lensbaby Velvet 56mm 1.6 für Canon EF schwarz -- via Amazon Partnerprogramm</t>
  </si>
  <si>
    <t>56mm</t>
  </si>
  <si>
    <t>Lensbaby Velvet 56mm 1.6 für Canon EF silber -- via Amazon Partnerprogramm</t>
  </si>
  <si>
    <t>Lensbaby Velvet 56mm 1.6 für Nikon F schwarz -- via Amazon Partnerprogramm</t>
  </si>
  <si>
    <t>Lensbaby Velvet 56mm 1.6 für Nikon F silber -- via Amazon Partnerprogramm</t>
  </si>
  <si>
    <t>Nikon 1 NIKKOR 32mm 1.2 schwarz (JVA301DA)</t>
  </si>
  <si>
    <t>Nikon 1 NIKKOR 32mm 1.2 silber (JVA301DB)</t>
  </si>
  <si>
    <t>Canon EF-M 55-200mm 4.5-6.3 IS STM silber (1122C005) -- via Amazon Partnerprogramm</t>
  </si>
  <si>
    <t>Canon EF 200-400mm 4.0 L IS USM Extender 1.4x weiß (5176B005)</t>
  </si>
  <si>
    <t>200-400mm</t>
  </si>
  <si>
    <t>Sony 85mm 2.8 SAM schwarz (SAL-85F28)</t>
  </si>
  <si>
    <t>Sigma AF 55-200mm 4.0-5.6 DC für Sigma schwarz (684940)</t>
  </si>
  <si>
    <t>Nikon AF-S VR 400mm 2.8G ED schwarz (JAA528DA)</t>
  </si>
  <si>
    <t>Nikon AF-S VR 600mm 4.0G ED schwarz (JAA530DA)</t>
  </si>
  <si>
    <t>Nikon AF-S VR 500mm 4.0G ED schwarz (JAA529DA)</t>
  </si>
  <si>
    <t>Sony 135mm 1.8 schwarz (SAL-135F18Z)</t>
  </si>
  <si>
    <t>Sony 135mm 2.8 STF schwarz (SAL-135F28)</t>
  </si>
  <si>
    <t>Sony 500mm 4.0G weiß (SAL-500F40G)</t>
  </si>
  <si>
    <t>Canon TS-E 17mm 4.0 L Tilt/Shift schwarz (3553B005)</t>
  </si>
  <si>
    <t>Sigma AF 28mm 1.8 EX DG Asp Makro für Sony A schwarz (440934)</t>
  </si>
  <si>
    <t>Samyang 10mm 2.8 ED AS NCS CS für Canon EF schwarz</t>
  </si>
  <si>
    <t>Olympus M.Zuiko digital 14-42mm 3.5-5.6 II schwarz (N4283392)</t>
  </si>
  <si>
    <t>Olympus M.Zuiko digital 14-42mm 3.5-5.6 II silber (N4283492)</t>
  </si>
  <si>
    <t>Olympus M.Zuiko digital 17mm 2.8 Pancake schwarz (N4290792)</t>
  </si>
  <si>
    <t>Samyang 8mm 3.5 Asph IF MC Fisheye für Canon EF schwarz</t>
  </si>
  <si>
    <t>Olympus M.Zuiko digital ED 40-150mm 2.8 PRO Set schwarz (V315051BE000)</t>
  </si>
  <si>
    <t>Olympus M.Zuiko digital ED 40-150mm 4.0-5.6 silber (N4279592)</t>
  </si>
  <si>
    <t>Pentax HD DFA 15-30mm 2.8 ED SDM WR schwarz (21280)</t>
  </si>
  <si>
    <t>Panasonic Lumix G Vario 35-100mm 4.0-5.6 OIS schwarz (H-FS35100E-K)</t>
  </si>
  <si>
    <t>Panasonic Lumix G Vario 35-100mm 4.0-5.6 OIS silber (H-FS35100E-S)</t>
  </si>
  <si>
    <t>Pentax smc DA 10-17mm 3.5-4.5 ED Fisheye-Zoom schwarz (21580)</t>
  </si>
  <si>
    <t>Samyang 85mm 1.4 Asph IF MC für Canon EF schwarz</t>
  </si>
  <si>
    <t>Irix 11mm 4.0 Blackstone für Canon EF schwarz -- via Amazon Partnerprogramm</t>
  </si>
  <si>
    <t>11mm</t>
  </si>
  <si>
    <t>Irix 11mm 4.0 Blackstone für Nikon F schwarz -- via Amazon Partnerprogramm</t>
  </si>
  <si>
    <t>Irix 11mm 4.0 Blackstone für Pentax K schwarz -- via Amazon Partnerprogramm</t>
  </si>
  <si>
    <t>Irix 11mm 4.0 Firefly für Canon EF schwarz -- via Amazon Partnerprogramm</t>
  </si>
  <si>
    <t>Irix 11mm 4.0 Firefly für Nikon F schwarz -- via Amazon Partnerprogramm</t>
  </si>
  <si>
    <t>Irix 11mm 4.0 Firefly für Pentax K schwarz -- via Amazon Partnerprogramm</t>
  </si>
  <si>
    <t>Sigma AF 18-250mm 3.5-6.3 DC OS HSM für Canon EF schwarz (880954)</t>
  </si>
  <si>
    <t>Sigma AF 18-250mm 3.5-6.3 DC OS HSM für Nikon F schwarz (880955)</t>
  </si>
  <si>
    <t>Samyang 7.5mm 3.5 Fisheye für Micro-Four-Thirds silber (1230109102)</t>
  </si>
  <si>
    <t>Fujifilm XC 16-50mm 3.5-5.6 OIS schwarz -- via Amazon Partnerprogramm</t>
  </si>
  <si>
    <t>Fujifilm XC 16-50mm 3.5-5.6 OIS silber -- via Amazon Partnerprogramm</t>
  </si>
  <si>
    <t>Pentax smc DA 18-270mm 3.5-6.3 SDM schwarz (21497)</t>
  </si>
  <si>
    <t>Laowa 7.5mm 2.0 für Micro-Four-Thirds silber</t>
  </si>
  <si>
    <t>Laowa 7.5mm 2.0 Lightweight für Micro-Four-Thirds silber</t>
  </si>
  <si>
    <t>Laowa 7.5mm 2.0 Lightweight für Micro-Four-Thirds schwarz</t>
  </si>
  <si>
    <t>Fujifilm XF 100-400mm F4.5-5.6 R LM OIS WR inkl. 1.4x Telekonverter schwarz (4005902)</t>
  </si>
  <si>
    <t>Olympus Zuiko digital ED 8mm 3.5 Fisheye schwarz (N2127892)</t>
  </si>
  <si>
    <t>Panasonic Lumix G X Vario PZ 45-175mm 4.0-5-6 ASPH OIS schwarz (H-PS45175E)</t>
  </si>
  <si>
    <t>45-175mm</t>
  </si>
  <si>
    <t>Olympus Zuiko digital ED 40-150mm 4.0-5.6 schwarz (N2517292)</t>
  </si>
  <si>
    <t>Walimex Pro 12mm 2.0 CSC für Sony E schwarz (20155)</t>
  </si>
  <si>
    <t>Tamron AF 28-300mm 3.5-6.3 XR Di LD Asp IF Makro für Sony A schwarz (A061M/A061S)</t>
  </si>
  <si>
    <t>Walimex Pro 8mm 2.8 Fisheye II für Canon EF-M silber (19920)</t>
  </si>
  <si>
    <t>Walimex Pro 8mm 2.8 Fisheye II für Fujifilm X schwarz (19918)</t>
  </si>
  <si>
    <t>Walimex Pro 8mm 2.8 Fisheye II für Sony E schwarz (19916)</t>
  </si>
  <si>
    <t>Walimex Pro 8mm 2.8 Fisheye II für Sony E silber (19914)</t>
  </si>
  <si>
    <t>Sigma AF 150-500mm 5.0-6.3 DG APO HSM OS für Canon EF schwarz (737954)</t>
  </si>
  <si>
    <t>Tokina AT-X Pro 24-70mm 2.8 FX für Canon EF schwarz</t>
  </si>
  <si>
    <t>Nikon 1 NIKKOR 18.5mm 1.8 weiß (JVA102DB)</t>
  </si>
  <si>
    <t>18.5mm</t>
  </si>
  <si>
    <t>Tamron SP AF 90mm 2.8 Di VC USD Makro 1:1 für Nikon F schwarz (F004N)</t>
  </si>
  <si>
    <t>Tamron AF 18-250mm 3.5-6.3 Di II LD Asp IF Makro für Nikon F schwarz (A18N)</t>
  </si>
  <si>
    <t>Nikon AF-S VR 200-400mm 4.0G IF-ED II schwarz (JAA809DA)</t>
  </si>
  <si>
    <t>Sigma Art AF 30mm 1.4 DC HSM für Canon EF schwarz (301954)</t>
  </si>
  <si>
    <t>Canon EF-M 18-150mm 3.5-6.3 IS STM silber (1376C005)</t>
  </si>
  <si>
    <t>Sigma AF 18-200mm 3.5-6.3 DC OS HSM II für Nikon F schwarz (882955)</t>
  </si>
  <si>
    <t>Sigma AF 18-200mm 3.5-6.3 DC OS HSM II für Pentax K schwarz (882961)</t>
  </si>
  <si>
    <t>Sigma AF 10-20mm 4.0-5.6 EX DC HSM für Sigma schwarz (201940)</t>
  </si>
  <si>
    <t>Nikon PC-E 45mm 2.8D ED Tilt/Shift schwarz (JAA633DA)</t>
  </si>
  <si>
    <t>Nikon PC-E 85mm 2.8D ED Tilt/Shift schwarz (JAA634DA)</t>
  </si>
  <si>
    <t>Fujifilm XC 16-50mm 3.5-5.6 OIS II silber (16460747)</t>
  </si>
  <si>
    <t>Pentax HD DA 20-40mm 2.8-4.0 ED DC WR Limited silber (23010)</t>
  </si>
  <si>
    <t>20-40mm</t>
  </si>
  <si>
    <t>Pentax smc DA L 50-200mm 4.0-5.6 ED schwarz (21817)</t>
  </si>
  <si>
    <t>Sigma AF 17-70mm 2.8-4.0 DC Asp IF Makro HSM für Pentax K schwarz (668961)</t>
  </si>
  <si>
    <t>Sigma AF 17-70mm 2.8-4.0 DC Asp IF Makro HSM für Sony A schwarz (668962)</t>
  </si>
  <si>
    <t>Walimex Pro 8mm 3.5 Fisheye für Canon EF schwarz (16254)</t>
  </si>
  <si>
    <t>Nikon 1 NIKKOR VR 6.7-13mm 3.5-5.6 schwarz (JVA706DA)</t>
  </si>
  <si>
    <t>6.7-13mm</t>
  </si>
  <si>
    <t>Sigma AF 15mm 2.8 EX DG Diagonal Fisheye für Canon EF schwarz (476927)</t>
  </si>
  <si>
    <t>Sigma AF 15mm 2.8 EX DG Diagonal Fisheye für Nikon F schwarz (476944)</t>
  </si>
  <si>
    <t>Panasonic Lumix G 25mm 1.7 silber (H-H025) -- via Amazon Partnerprogramm</t>
  </si>
  <si>
    <t>Voigtländer Classic Collection Nokton 40mm 1.4 schwarz -- via Amazon Partnerprogramm</t>
  </si>
  <si>
    <t>Samyang 12mm 2.0 NCS CS für Canon EF-M schwarz (1220502101)</t>
  </si>
  <si>
    <t>Samyang 12mm 2.0 NCS CS für Samsung NX schwarz (1220508101)</t>
  </si>
  <si>
    <t>Samyang 12mm 2.0 NCS CS für Micro-Four-Thirds schwarz (1220509101)</t>
  </si>
  <si>
    <t>Zeiss ZF.2 Distagon T* 25mm 2.8 für Nikon F schwarz -- via Amazon Partnerprogramm</t>
  </si>
  <si>
    <t>Sigma AF 300-800mm 5.6 EX DG APO HSM IF für Canon EF schwarz (595954)</t>
  </si>
  <si>
    <t>300-800mm</t>
  </si>
  <si>
    <t>Sigma AF 300-800mm 5.6 EX DG APO HSM IF für Nikon F schwarz (595955)</t>
  </si>
  <si>
    <t>Sigma AF 500mm 4.5 EX DG APO HSM IF für Canon EF schwarz (184954)</t>
  </si>
  <si>
    <t>Fujifilm XF 90mm 2.0 R LM WR schwarz</t>
  </si>
  <si>
    <t>Nikon AF-S VR 200mm 2.0G ED II schwarz (JAA340DA)</t>
  </si>
  <si>
    <t>Olympus Zuiko digital 25mm 2.8 Pancake schwarz (N3124092)</t>
  </si>
  <si>
    <t>Pentax smc DA 55mm 1.4 SDM schwarz (21790)</t>
  </si>
  <si>
    <t>Panasonic/Leica DG Summilux 15mm 1.7 ASPH silber (H-X015)</t>
  </si>
  <si>
    <t>Zeiss ZE Distagon T* 21mm 2.8 für Canon EF schwarz -- via Amazon Partnerprogramm</t>
  </si>
  <si>
    <t>Zeiss ZE Planar T* 50mm 1.4 für Canon EF schwarz -- via Amazon Partnerprogramm</t>
  </si>
  <si>
    <t>Pentax smc DA 300mm 4.0 ED IF SDM schwarz (21760)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</si>
  <si>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</si>
  <si>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</si>
  <si>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</si>
  <si>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</si>
  <si>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</si>
  <si>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</si>
  <si>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</si>
  <si>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</si>
  <si>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SLR Magic Hyper Prime 50mm 0.95 für Sony E schwarz (17607) -- via Amazon Partnerprogramm</t>
  </si>
  <si>
    <t>SLR Magic Toy Lens 35mm 1.7 für Sony E schwarz (17378) -- via Amazon Partnerprogramm</t>
  </si>
  <si>
    <t>Samyang 24mm 1.4 ED AS UMC für Canon EF-M schwarz (1110802101)</t>
  </si>
  <si>
    <t>Samyang 8mm T3.8 UMC Fisheye CS II VDSLR für Canon EF schwarz (1322401101)</t>
  </si>
  <si>
    <t>Samyang 8mm T3.8 UMC Fisheye CS II VDSLR für Canon EF-M schwarz</t>
  </si>
  <si>
    <t>Sigma AF 12-24mm 4.5-5.6 II DG HSM für Canon EF schwarz (204954)</t>
  </si>
  <si>
    <t>Samyang 8mm T3.8 UMC Fisheye CS II VDSLR für Nikon F schwarz (1322403101)</t>
  </si>
  <si>
    <t>Sigma AF 12-24mm 4.5-5.6 II DG HSM für Nikon F schwarz (204955)</t>
  </si>
  <si>
    <t>Sigma AF 12-24mm 4.5-5.6 II DG HSM für Sigma schwarz (204956)</t>
  </si>
  <si>
    <t>Samyang 8mm T3.8 UMC Fisheye CS II VDSLR für Pentax K schwarz (1322404101)</t>
  </si>
  <si>
    <t>Samyang 8mm T3.8 UMC Fisheye CS II VDSLR für Sony A schwarz (1322405101)</t>
  </si>
  <si>
    <t>Sigma AF 12-24mm 4.5-5.6 II DG HSM für Sony A schwarz (204962)</t>
  </si>
  <si>
    <t>Samyang 8mm T3.8 UMC Fisheye CS II VDSLR für Sony E schwarz (1322406101)</t>
  </si>
  <si>
    <t>Samyang 8mm T3.8 UMC Fisheye CS II VDSLR für Fujifilm X schwarz</t>
  </si>
  <si>
    <t>Samyang 8mm T3.8 UMC Fisheye CS II VDSLR für Samsung NX schwarz</t>
  </si>
  <si>
    <t>Samyang 8mm T3.8 UMC Fisheye CS II VDSLR für Four-Thirds schwarz (1322407101)</t>
  </si>
  <si>
    <t>Samyang 8mm T3.8 UMC Fisheye CS II VDSLR für Micro-Four-Thirds schwarz (1322409101)</t>
  </si>
  <si>
    <t>Walimex Pro T-S 24mm 3.5 CSC für Micro-Four-Thirds schwarz (20141)</t>
  </si>
  <si>
    <t>Walimex Pro 35mm 1.5 VDSLR für Pentax K schwarz (20109)</t>
  </si>
  <si>
    <t>Walimex Pro 12mm 3.1 Fisheye VDSLR für Nikon F schwarz (20603)</t>
  </si>
  <si>
    <t>Walimex Pro 12mm 2.8 Fisheye DSLR für Nikon F schwarz (20593)</t>
  </si>
  <si>
    <t>Walimex Pro 10mm 3.1 VCSC für Fujifilm X schwarz (20187)</t>
  </si>
  <si>
    <t>Walimex Pro 8mm 2.8 Fisheye I CSC für Samsung NX silber (18335)</t>
  </si>
  <si>
    <t>Walimex Pro 8mm 3.1 Fisheye II VCSC für Canon EF-M schwarz (20144)</t>
  </si>
  <si>
    <t>Walimex Pro 8mm 3.1 Fisheye II VCSC für Fujifilm X schwarz (20145)</t>
  </si>
  <si>
    <t>Walimex Pro 8mm 3.1 Fisheye II VCSC für Samsung NX schwarz (20146)</t>
  </si>
  <si>
    <t>Walimex Pro 8mm 3.1 Fisheye II VCSC für Sony E schwarz (20147)</t>
  </si>
  <si>
    <t>Sigma Contemporary AF 100-400mm 5.0-6.3 DG OS HSM für Sigma schwarz</t>
  </si>
  <si>
    <t>Sigma Art AF 14mm 1.8 DG HSM für Sigma schwarz (450956)</t>
  </si>
  <si>
    <t>Sigma Art AF 135mm 1.8 DG HSM für Sigma schwarz (240956)</t>
  </si>
  <si>
    <t>Sigma Art AF 24-70mm 2.8 DG OS HSM für Sigma schwarz (576956)</t>
  </si>
  <si>
    <t>Walimex Pro 7.5mm 3.5 Fisheye für Micro-Four-Thirds silber</t>
  </si>
  <si>
    <t>Sigma Art AF 20mm 1.4 DG HSM für Sigma schwarz</t>
  </si>
  <si>
    <t>Walimex Pro 85mm 1.4 IF für Sony A schwarz (15797)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</si>
  <si>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</si>
  <si>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</si>
  <si>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</si>
  <si>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</si>
  <si>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</si>
  <si>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</si>
  <si>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</si>
  <si>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Meike 12mm 2.8 für Fujifilm X schwarz -- via Amazon Partnerprogramm</t>
  </si>
  <si>
    <t>Meike 6.5mm 2.0 Fisheye für Fujifilm X schwarz -- via Amazon Partnerprogramm</t>
  </si>
  <si>
    <t>6.5mm</t>
  </si>
  <si>
    <t>Meike 6.5mm 2.0 Fisheye für Micro-Four-Thirds schwarz -- via Amazon Partnerprogramm</t>
  </si>
  <si>
    <t>Walimex Pro 14mm 3.1 VDSLR für Nikon F schwarz (18814)</t>
  </si>
  <si>
    <t>Meike 8mm 3.5 Fisheye für Micro-Four-Thirds schwarz -- via Amazon Partnerprogramm</t>
  </si>
  <si>
    <t>Meike 8mm 3.5 Fisheye für Canon EF schwarz -- via Amazon Partnerprogramm</t>
  </si>
  <si>
    <t>Meike 8mm 3.5 Fisheye für Nikon F schwarz -- via Amazon Partnerprogramm</t>
  </si>
  <si>
    <t>Sigma AF 70-300mm 4.0-5.6 DG OS für Pentax K schwarz (572961)</t>
  </si>
  <si>
    <t>Sigma AF 70-300mm 4.0-5.6 DG OS für Sony A schwarz (572962)</t>
  </si>
  <si>
    <t>Sigma AF 70-300mm 4.0-5.6 DG OS für Sigma schwarz (572956)</t>
  </si>
  <si>
    <t>Pentax smc DFA 645 55mm 2.8 AL IF SDM AW schwarz (26350)</t>
  </si>
  <si>
    <t>Walimex Pro 14mm 3.1 VDSLR für Canon EF schwarz (18823)</t>
  </si>
  <si>
    <t>Walimex Pro 14mm 3.1 VDSLR für Sony E schwarz (18818)</t>
  </si>
  <si>
    <t>Sigma AF 50-200mm 4.0-5.6 DC OS HSM für Pentax K schwarz (686961)</t>
  </si>
  <si>
    <t>Sigma AF 50-200mm 4.0-5.6 DC OS HSM für Sony A schwarz (686962)</t>
  </si>
  <si>
    <t>Walimex Pro 14mm 2.8 für Sony E schwarz (19467)</t>
  </si>
  <si>
    <t>Walimex Pro 16mm 2.0 für Sony E schwarz (19715)</t>
  </si>
  <si>
    <t>Walimex Pro 16mm 2.0 für Fujifilm X schwarz (19717)</t>
  </si>
  <si>
    <t>Walimex Pro 85mm 1.5 VDSLR für Nikon F schwarz (19450)</t>
  </si>
  <si>
    <t>Sigma Sports AF 500mm 4.0 DG OS HSM für Canon EF schwarz (185954)</t>
  </si>
  <si>
    <t>Sigma AF 85mm 1.4 EX DG HSM für Sigma schwarz (320956)</t>
  </si>
  <si>
    <t>Sigma Sports AF 500mm 4.0 DG OS HSM für Nikon F schwarz (185955)</t>
  </si>
  <si>
    <t>Sigma AF 85mm 1.4 EX DG HSM für Sony A schwarz (320962)</t>
  </si>
  <si>
    <t>Sigma Sports AF 500mm 4.0 DG OS HSM für Sigma schwarz (185956)</t>
  </si>
  <si>
    <t>Walimex Pro 650-1300mm 8.0-16.0 inkl. Stativ für Canon EF weiß (12983)</t>
  </si>
  <si>
    <t>650-1300mm</t>
  </si>
  <si>
    <t>Voigtländer Classic Collection Ultra Wide Heliar 12mm 5.6 schwarz -- via Amazon Partnerprogramm</t>
  </si>
  <si>
    <t>Walimex Pro 800mm 8.0 für Canon EF-M weiß (19590)</t>
  </si>
  <si>
    <t>Sigma Art AF 12-24mm 4.0 DG HSM für Sigma schwarz (205956)</t>
  </si>
  <si>
    <t>Sigma AF 17-50mm 2.8 EX DC OS HSM für Sigma schwarz (583956)</t>
  </si>
  <si>
    <t>Walimex Pro 85mm 1.4 IF für Micro-Four-Thirds schwarz (19466)</t>
  </si>
  <si>
    <t>Sigma AF 50-500mm 4.5-6.3 DG APO OS HSM für Sigma schwarz (738956)</t>
  </si>
  <si>
    <t>Zeiss Loxia 35mm 2.0 für Sony E schwarz (2103-749)</t>
  </si>
  <si>
    <t>Zeiss Loxia 50mm 2.0 für Sony E schwarz (2103-748)</t>
  </si>
  <si>
    <t>Sigma Art AF 85mm 1.4 DG HSM für Sigma schwarz (321956)</t>
  </si>
  <si>
    <t>Sigma AF 70-200mm 2.8 EX DG APO HSM OS für Sigma schwarz (589956)</t>
  </si>
  <si>
    <t>Sigma Contemporary AF 17-70mm 2.8-4.0 DC Makro OS HSM für Sigma schwarz (884956)</t>
  </si>
  <si>
    <t>Walimex Pro 24mm 1.4 für Sony E schwarz (19468)</t>
  </si>
  <si>
    <t>Canon Objektiv CN-E 85mm T1.3 L F schwarz</t>
  </si>
  <si>
    <t>Canon Objektiv CN-E 50mm T1.3 L F schwarz</t>
  </si>
  <si>
    <t>Canon Objektiv CN-E 24mm T1.5 L F schwarz</t>
  </si>
  <si>
    <t>Zeiss ZF Distagon T* 15mm 2.8 für Nikon F schwarz -- via Amazon Partnerprogramm</t>
  </si>
  <si>
    <t>Sigma AF 24-70mm 2.8 EX DG HSM für Sony A schwarz (571962)</t>
  </si>
  <si>
    <t>Pentax Q 06 Telephoto Zoom 15-45mm 2.8 AL silber (22157)</t>
  </si>
  <si>
    <t>15-45mm</t>
  </si>
  <si>
    <t>Samyang 50mm 1.4 AS UMC für Sony E schwarz (1111106101)</t>
  </si>
  <si>
    <t>Samyang 50mm 1.4 AS UMC für Sony A schwarz (1111105101)</t>
  </si>
  <si>
    <t>Samyang 50mm 1.4 AS UMC für Canon EF-M schwarz (1111102101)</t>
  </si>
  <si>
    <t>Samyang 50mm 1.4 AS UMC für Four-Thirds schwarz (1111107101)</t>
  </si>
  <si>
    <t>Samyang 50mm 1.4 AS UMC für Micro-Four-Thirds schwarz (1111109101)</t>
  </si>
  <si>
    <t>Samyang 50mm 1.4 AS UMC für Fujifilm X schwarz (1111110101)</t>
  </si>
  <si>
    <t>Leica Summicron-M 35mm 2.0 ASPH schwarz -- via Amazon Partnerprogramm</t>
  </si>
  <si>
    <t>Leica Summicron-M 50mm 2.0 schwarz -- via Amazon Partnerprogramm</t>
  </si>
  <si>
    <t>Fujifilm MK 50-135mm T2.9 schwarz</t>
  </si>
  <si>
    <t>Leica Summilux-M 50mm 1.4 ASPH schwarz -- via Amazon Partnerprogramm</t>
  </si>
  <si>
    <t>Samyang 50mm 1.4 AS UMC für Samsung NX schwarz (1111108101)</t>
  </si>
  <si>
    <t>Samyang 50mm 1.4 AS UMC für Nikon F schwarz (1111103101)</t>
  </si>
  <si>
    <t>Samyang 50mm 1.4 AS UMC für Pentax K schwarz (1111104101)</t>
  </si>
  <si>
    <t>Leica APO-Summicron-M 90mm 2.0 ASPH schwarz -- via Amazon Partnerprogramm</t>
  </si>
  <si>
    <t>Walimex Pro T-S 24mm 3.5 für Pentax K schwarz (18897)</t>
  </si>
  <si>
    <t>Samyang XEEN 16mm T2.6 für Canon EF schwarz (21594)</t>
  </si>
  <si>
    <t>Samyang XEEN 16mm T2.6 für Micro-Four-Thirds schwarz (21597)</t>
  </si>
  <si>
    <t>Samyang XEEN 16mm T2.6 für Nikon F schwarz (21595)</t>
  </si>
  <si>
    <t>Samyang XEEN 16mm T2.6 für Sony E schwarz (21596)</t>
  </si>
  <si>
    <t>Samyang XEEN 16mm T2.6 für PL schwarz (21598)</t>
  </si>
  <si>
    <t>Walimex Pro 85mm 1.4 CSC für Sony E schwarz (20123)</t>
  </si>
  <si>
    <t>Sigma AF 10mm 2.8 EX DC Diagonal Fisheye für Pentax K schwarz (477961)</t>
  </si>
  <si>
    <t>Sigma AF 10mm 2.8 EX DC Diagonal Fisheye für Sony A schwarz (477962)</t>
  </si>
  <si>
    <t>Sigma AF 4.5mm 2.8 EX DC Zirkular Fisheye für Pentax K schwarz (486961)</t>
  </si>
  <si>
    <t>Sigma AF 4.5mm 2.8 EX DC Zirkular Fisheye für Sony A schwarz (486934)</t>
  </si>
  <si>
    <t>Samyang XEEN 14mm T3.1 für Canon EF schwarz (1510601101) -- via Amazon Partnerprogramm</t>
  </si>
  <si>
    <t>Sony 24-70mm 2.8 ZA SSM II schwarz (SAL-2470Z2)</t>
  </si>
  <si>
    <t>Sony 16-35mm 2.8 ZA SSM II schwarz (SAL-1635Z2)</t>
  </si>
  <si>
    <t>Samyang XEEN 14mm T3.1 für Nikon F schwarz (1510603101) -- via Amazon Partnerprogramm</t>
  </si>
  <si>
    <t>Samyang XEEN 14mm T3.1 für Sony E schwarz (1510606101) -- via Amazon Partnerprogramm</t>
  </si>
  <si>
    <t>Samyang XEEN 14mm T3.1 für Micro-Four-Thirds schwarz -- via Amazon Partnerprogramm</t>
  </si>
  <si>
    <t>Samyang XEEN 14mm T3.1 für PL schwarz -- via Amazon Partnerprogramm</t>
  </si>
  <si>
    <t>Samyang XEEN 24mm T1.5 für Canon EF schwarz (1510801101) -- via Amazon Partnerprogramm</t>
  </si>
  <si>
    <t>Samyang XEEN 24mm T1.5 für Sony E schwarz (1510806101) -- via Amazon Partnerprogramm</t>
  </si>
  <si>
    <t>Samyang XEEN 24mm T1.5 für Micro-Four-Thirds schwarz -- via Amazon Partnerprogramm</t>
  </si>
  <si>
    <t>Samyang XEEN 35mm T1.5 für PL schwarz -- via Amazon Partnerprogramm</t>
  </si>
  <si>
    <t>Samyang XEEN 35mm T1.5 für Canon EF schwarz -- via Amazon Partnerprogramm</t>
  </si>
  <si>
    <t>Samyang XEEN 35mm T1.5 für Nikon F schwarz (1511003101) -- via Amazon Partnerprogramm</t>
  </si>
  <si>
    <t>Samyang XEEN 35mm T1.5 für Sony E schwarz (1511006101) -- via Amazon Partnerprogramm</t>
  </si>
  <si>
    <t>Samyang XEEN 35mm T1.5 für Micro-Four-Thirds schwarz -- via Amazon Partnerprogramm</t>
  </si>
  <si>
    <t>Samyang XEEN 50mm T1.5 für Canon EF schwarz (1511101101) -- via Amazon Partnerprogramm</t>
  </si>
  <si>
    <t>Samyang XEEN 135mm T2.2 für Canon EF schwarz (1512201101)</t>
  </si>
  <si>
    <t>Samyang XEEN 135mm T2.2 für Sony E schwarz (1512206101)</t>
  </si>
  <si>
    <t>Samyang XEEN 50mm T1.5 für Sony E schwarz (1511106101) -- via Amazon Partnerprogramm</t>
  </si>
  <si>
    <t>Samyang XEEN 135mm T2.2 für PL schwarz</t>
  </si>
  <si>
    <t>Samyang XEEN 50mm T1.5 für Micro-Four-Thirds schwarz -- via Amazon Partnerprogramm</t>
  </si>
  <si>
    <t>Samyang XEEN 135mm T2.2 für Nikon F schwarz (1512203101)</t>
  </si>
  <si>
    <t>Sigma AF 300mm 2.8 EX DG APO IF für Pentax K schwarz (195945)</t>
  </si>
  <si>
    <t>Sigma AF 300mm 2.8 EX DG APO IF für Sony A schwarz (195934)</t>
  </si>
  <si>
    <t>Samyang XEEN 85mm T1.5 für Canon EF schwarz (1511201101) -- via Amazon Partnerprogramm</t>
  </si>
  <si>
    <t>Sigma AF 500mm 4.5 EX DG APO IF für Sony A schwarz (184934)</t>
  </si>
  <si>
    <t>Samyang XEEN 85mm T1.5 für Micro-Four-Thirds schwarz -- via Amazon Partnerprogramm</t>
  </si>
  <si>
    <t>Tamron AF 28-300mm 3.5-6.3 XR Di VC LD PZD IF für Canon EF schwarz (A010E)</t>
  </si>
  <si>
    <t>Nikon MF 28mm 2.8 schwarz (JAA112AB)</t>
  </si>
  <si>
    <t>Nikon 24mm 2.8 schwarz (JAA110AC)</t>
  </si>
  <si>
    <t>Meike 25mm 0.95 für Canon EF-M schwarz -- via Amazon Partnerprogramm</t>
  </si>
  <si>
    <t>Meike 28mm 2.8 für Canon EF-M schwarz -- via Amazon Partnerprogramm</t>
  </si>
  <si>
    <t>Meike 28mm 2.8 für Fujifilm X schwarz -- via Amazon Partnerprogramm</t>
  </si>
  <si>
    <t>Meike 28mm 2.8 für Micro-Four-Thirds schwarz -- via Amazon Partnerprogramm</t>
  </si>
  <si>
    <t>Meike 35mm 1.7 für Canon EF-M schwarz -- via Amazon Partnerprogramm</t>
  </si>
  <si>
    <t>Meike 35mm 1.7 für Fujifilm X schwarz -- via Amazon Partnerprogramm</t>
  </si>
  <si>
    <t>Meike 35mm 1.7 für Nikon 1 schwarz -- via Amazon Partnerprogramm</t>
  </si>
  <si>
    <t>Meike 50mm 2.0 für Canon EF-M schwarz -- via Amazon Partnerprogramm</t>
  </si>
  <si>
    <t>Meike 50mm 2.0 für Fujifilm X schwarz -- via Amazon Partnerprogramm</t>
  </si>
  <si>
    <t>Meike 50mm 2.0 für Micro-Four-Thirds schwarz -- via Amazon Partnerprogramm</t>
  </si>
  <si>
    <t>Meike 50mm 2.0 für Sony E schwarz -- via Amazon Partnerprogramm</t>
  </si>
  <si>
    <t>Sigma AF 800mm 5.6 EX DG APO HSM IF für Nikon F schwarz (152955)</t>
  </si>
  <si>
    <t>Sigma AF 800mm 5.6 EX DG APO HSM IF für Canon EF schwarz (152927/152954)</t>
  </si>
  <si>
    <t>Sigma AF 800mm 5.6 EX DG APO HSM IF für Sigma schwarz (152956)</t>
  </si>
  <si>
    <t>Tamron AF 20-40mm 2.7-3.5 Asp IF für Canon EF schwarz (266DE)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</si>
  <si>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</si>
  <si>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</si>
  <si>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</si>
  <si>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</si>
  <si>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</si>
  <si>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</si>
  <si>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</si>
  <si>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</si>
  <si>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</si>
  <si>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</si>
  <si>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Walimex Pro 8mm 2.8 Fisheye für Sony E schwarz (18314)</t>
  </si>
  <si>
    <t>Walimex Pro 8mm 2.8 Fisheye für Sony E silber (18334)</t>
  </si>
  <si>
    <t>Zeiss ZE Otus 55mm 1.4 für Canon EF schwarz (2010-056)</t>
  </si>
  <si>
    <t>Zeiss ZF.2 Otus 55mm 1.4 für Nikon F schwarz (2010-055)</t>
  </si>
  <si>
    <t>Walimex Pro 8mm 2.8 Fisheye für Fujifilm X schwarz (18711)</t>
  </si>
  <si>
    <t>Walimex Pro 8mm 2.8 Fisheye für Fujifilm X silber (18719)</t>
  </si>
  <si>
    <t>Sigma Contemporary AF 18-200mm 3.5-6.3 DC Makro HSM für Sony A schwarz (885962)</t>
  </si>
  <si>
    <t>Sigma Contemporary AF 18-200mm 3.5-6.3 DC Makro OS HSM für Sigma schwarz (885956)</t>
  </si>
  <si>
    <t>Sigma Art AF 50mm 1.4 DG HSM für Sigma schwarz (311956)</t>
  </si>
  <si>
    <t>Sigma Art AF 18-35mm 1.8 DC HSM IF für Pentax K schwarz (210961)</t>
  </si>
  <si>
    <t>Walimex Pro 8mm 3.8 Fisheye VDSLR für Nikon F schwarz (18396) -- via Amazon Partnerprogramm</t>
  </si>
  <si>
    <t>Zeiss ZF.2 Milvus 35mm 1.4 für Nikon F schwarz (2111-637)</t>
  </si>
  <si>
    <t>Pentax smc A 35-80mm 4.0-5.6 schwarz</t>
  </si>
  <si>
    <t>Meyer Optik Görlitz Trioplan 100mm 2.8 für Sony E schwarz (MOG10028SE) -- via Amazon Partnerprogramm</t>
  </si>
  <si>
    <t>Meyer Optik Görlitz Trioplan 100mm 2.8 für Micro-Four-Thirds schwarz (MOG10028MFT) -- via Amazon Partnerprogramm</t>
  </si>
  <si>
    <t>Meyer Optik Görlitz Trioplan 100mm 2.8 für Fujifilm X schwarz (MOG10028FX) -- via Amazon Partnerprogramm</t>
  </si>
  <si>
    <t>Panasonic Lumix G 8mm 3.5 Fisheye schwarz (H-F008E)</t>
  </si>
  <si>
    <t>Leica Summilux-M 28mm 1.4 ASPH schwarz</t>
  </si>
  <si>
    <t>Zeiss ZE Distagon T* 18mm 3.5 für Canon EF schwarz -- via Amazon Partnerprogramm</t>
  </si>
  <si>
    <t>Samyang 100mm 2.8 ED UMC Makro für Samsung NX schwarz (1112308101)</t>
  </si>
  <si>
    <t>Samyang 100mm 2.8 ED UMC Makro für Canon EF schwarz (1112301101)</t>
  </si>
  <si>
    <t>Samyang 100mm 2.8 ED UMC Makro für Canon EF-M schwarz (1112302101)</t>
  </si>
  <si>
    <t>Leica Vario-Elmarit-SL 24-90mm 2.8-4.0 ASPH schwarz (11176)</t>
  </si>
  <si>
    <t>24-90mm</t>
  </si>
  <si>
    <t>Samyang 100mm 2.8 ED UMC Makro für Fujifilm X schwarz (1112310101)</t>
  </si>
  <si>
    <t>Samyang 100mm 2.8 ED UMC Makro für Nikon F schwarz (1112303101)</t>
  </si>
  <si>
    <t>Samyang 100mm 2.8 ED UMC Makro für Pentax K schwarz (1112304101)</t>
  </si>
  <si>
    <t>Samyang 100mm 2.8 ED UMC Makro für Sony A schwarz (1112305101)</t>
  </si>
  <si>
    <t>Samyang 24mm 1.4 ED AS UMC für Canon EF schwarz (1110801101)</t>
  </si>
  <si>
    <t>Samyang 100mm 2.8 ED UMC Makro für Sony E schwarz (1112306101)</t>
  </si>
  <si>
    <t>Samyang 100mm 2.8 ED UMC Makro für Four-Thirds schwarz (1112307101)</t>
  </si>
  <si>
    <t>Samyang 100mm 2.8 ED UMC Makro für Micro-Four-Thirds schwarz (1112309101)</t>
  </si>
  <si>
    <t>Samyang 100mm T3.1 VDSLR ED UMC Makro für Canon EF schwarz</t>
  </si>
  <si>
    <t>Leica APO-Elmarit-SL 90-280mm 2.8-4.0 ASPH schwarz (11175)</t>
  </si>
  <si>
    <t>90-280mm</t>
  </si>
  <si>
    <t>Samyang 100mm T3.1 VDSLR ED UMC Makro für Canon EF-M schwarz</t>
  </si>
  <si>
    <t>Leica Summilux-SL 50mm 1.4 ASPH schwarz (11180)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</si>
  <si>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</si>
  <si>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</si>
  <si>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</si>
  <si>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Walimex Pro 85mm 1.5 VCSC für Fujifilm X schwarz (20127)</t>
  </si>
  <si>
    <t>Samyang 100mm T3.1 VDSLR ED UMC Makro für Nikon F schwarz</t>
  </si>
  <si>
    <t>Samyang 100mm T3.1 VDSLR ED UMC Makro für Pentax K schwarz (1312304101)</t>
  </si>
  <si>
    <t>Samyang 100mm T3.1 VDSLR ED UMC Makro für Samsung NX schwarz (1312308101)</t>
  </si>
  <si>
    <t>Samyang 100mm T3.1 VDSLR ED UMC Makro für Sony E schwarz</t>
  </si>
  <si>
    <t>Samyang 100mm T3.1 VDSLR ED UMC Makro für Sony A schwarz</t>
  </si>
  <si>
    <t>Tamron SP AF 150-600mm 5.0-6.3 Di VC USD G2 für Canon EF schwarz (A022E)</t>
  </si>
  <si>
    <t>Samyang 24mm 1.4 ED AS UMC für Nikon F schwarz (1110803101)</t>
  </si>
  <si>
    <t>Samyang 24mm 1.4 ED AS UMC für Sony A schwarz (1110805101)</t>
  </si>
  <si>
    <t>Samyang 24mm 1.4 ED AS UMC für Pentax K schwarz (110804101)</t>
  </si>
  <si>
    <t>Samyang 24mm 1.4 ED AS UMC für Samsung NX schwarz (1110808101)</t>
  </si>
  <si>
    <t>Samyang 24mm 1.4 ED AS UMC für Four-Thirds schwarz (1110807101)</t>
  </si>
  <si>
    <t>Canon EF-M 18-55mm 3.5-5.6 IS STM schwarz (5984B005)</t>
  </si>
  <si>
    <t>Canon Objektiv CN-E 35mm T1.5 L F schwarz (9139B001)</t>
  </si>
  <si>
    <t>Nikon 1 NIKKOR 10mm 2.8 schwarz (JVA101DA)</t>
  </si>
  <si>
    <t>Nikon 1 NIKKOR VR 10-100mm 4.5-5.6 PD-Zoom schwarz (JVA702DA)</t>
  </si>
  <si>
    <t>Tamron AF 10-24mm 3.5-4.5 Di II VC HLD für Canon EF schwarz (B023E)</t>
  </si>
  <si>
    <t>Sigma Art AF 24-35mm 2.0 DG HSM für Canon EF schwarz</t>
  </si>
  <si>
    <t>24-35mm</t>
  </si>
  <si>
    <t>Sigma Art AF 24-35mm 2.0 DG HSM für Sigma schwarz</t>
  </si>
  <si>
    <t>Samyang 85mm 1.4 Asph IF MC für Samsung NX schwarz</t>
  </si>
  <si>
    <t>Laowa 60mm 2.8 2:1 Ultra-Macro für Nikon F schwarz</t>
  </si>
  <si>
    <t>Zeiss ZF.2 Otus 85mm 1.4 für Nikon F schwarz (2040-293)</t>
  </si>
  <si>
    <t>Laowa 60mm 2.8 2:1 Ultra-Macro für Pentax K schwarz</t>
  </si>
  <si>
    <t>Zeiss ZE Otus 85mm 1.4 für Canon EF schwarz (2040-292)</t>
  </si>
  <si>
    <t>Sigma AF 18-125mm 3.8-5.6 DC OS HSM für Sigma schwarz (853956)</t>
  </si>
  <si>
    <t>Sigma AF 18-125mm 3.8-5.6 DC OS HSM für Sony A schwarz (853962)</t>
  </si>
  <si>
    <t>Laowa 60mm 2.8 2:1 Ultra-Macro für Sony A schwarz</t>
  </si>
  <si>
    <t>Walimex Pro 10mm 3.1 VDSLR für Nikon F schwarz (20182)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</si>
  <si>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</si>
  <si>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</si>
  <si>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</si>
  <si>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</si>
  <si>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</si>
  <si>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</si>
  <si>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</si>
  <si>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</si>
  <si>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</si>
  <si>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</si>
  <si>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Pentax smc FA 645 80-160mm 4.5 schwarz (26755)</t>
  </si>
  <si>
    <t>80-160mm</t>
  </si>
  <si>
    <t>Pentax smc FA 645 55-110mm 5.6 schwarz (26765)</t>
  </si>
  <si>
    <t>55-110mm</t>
  </si>
  <si>
    <t>Pentax smc FA 645 45-85mm 4.5 schwarz (26725)</t>
  </si>
  <si>
    <t>45-85mm</t>
  </si>
  <si>
    <t>Pentax smc FA 645 150-300mm 5.6 schwarz (26785)</t>
  </si>
  <si>
    <t>150-300mm</t>
  </si>
  <si>
    <t>Pentax smc FA 645 45mm 2.8 schwarz (26335)</t>
  </si>
  <si>
    <t>Pentax smc FA 645 75mm 2.8 schwarz (26121)</t>
  </si>
  <si>
    <t>Pentax smc FA 645 150mm 2.8 schwarz (26345)</t>
  </si>
  <si>
    <t>Pentax smc FA 645 200mm 4.0 schwarz (26745)</t>
  </si>
  <si>
    <t>Pentax smc FA 645 300mm 4.0 ED IF schwarz (26505)</t>
  </si>
  <si>
    <t>Pentax smc FA 645 400mm 5.6 ED IF schwarz (26555)</t>
  </si>
  <si>
    <t>Pentax smc FA 645 120mm 4.0 Makro schwarz (26735)</t>
  </si>
  <si>
    <t>120mm</t>
  </si>
  <si>
    <t>Sigma AF 150mm 2.8 EX DG APO HSM OS für Sony A schwarz -- via Amazon Partnerprogramm</t>
  </si>
  <si>
    <t>Sigma AF 150mm 2.8 EX DG APO HSM OS für Sigma schwarz -- via Amazon Partnerprogramm</t>
  </si>
  <si>
    <t>Sigma AF 150mm 2.8 EX DG APO HSM OS Makro für Canon EF schwarz</t>
  </si>
  <si>
    <t>Sigma AF 300mm 2.8 EX DG APO HSM IF für Sigma schwarz (195956)</t>
  </si>
  <si>
    <t>Sigma AF 70-300mm 4.0-5.6 DG APO Makro für Sigma schwarz (508940)</t>
  </si>
  <si>
    <t>Walimex Pro 24mm 1.4 CSC für Fujifilm X schwarz (20098)</t>
  </si>
  <si>
    <t>Lensbaby Velvet 56mm 1.6 für Fujifilm X schwarz -- via Amazon Partnerprogramm</t>
  </si>
  <si>
    <t>Lensbaby Velvet 56mm 1.6 für Samsung NX schwarz -- via Amazon Partnerprogramm</t>
  </si>
  <si>
    <t>Lensbaby Velvet 56mm 1.6 für Micro-Four-Thirds schwarz -- via Amazon Partnerprogramm</t>
  </si>
  <si>
    <t>Nikon 1 NIKKOR 10mm 2.8 weiß (JVA101DB)</t>
  </si>
  <si>
    <t>Samyang 12mm T3.1 VDSLR ED AS NCS Fisheye für Sony E schwarz</t>
  </si>
  <si>
    <t>Samyang 12mm T3.1 VDSLR ED AS NCS Fisheye für Sony A schwarz (1312105101)</t>
  </si>
  <si>
    <t>Samyang 12mm T3.1 VDSLR ED AS NCS Fisheye für Samsung NX schwarz (1312108101)</t>
  </si>
  <si>
    <t>Samyang 12mm T3.1 VDSLR ED AS NCS Fisheye für Pentax K schwarz (1312104101)</t>
  </si>
  <si>
    <t>Samyang 12mm T3.1 VDSLR ED AS NCS Fisheye für Nikon F schwarz</t>
  </si>
  <si>
    <t>Samyang 12mm T3.1 VDSLR ED AS NCS Fisheye für Micro-Four-Thirds schwarz</t>
  </si>
  <si>
    <t>Samyang 12mm T3.1 VDSLR ED AS NCS Fisheye für Four-Thirds schwarz (1312107101)</t>
  </si>
  <si>
    <t>Samyang 12mm T3.1 VDSLR ED AS NCS Fisheye für Fujifilm X schwarz (1312110101)</t>
  </si>
  <si>
    <t>Samyang 12mm T3.1 VDSLR ED AS NCS Fisheye für Canon EF-M schwarz (1312102101)</t>
  </si>
  <si>
    <t>Samyang 12mm T3.1 VDSLR ED AS NCS Fisheye für Canon EF schwarz (1312101101)</t>
  </si>
  <si>
    <t>Samyang 8mm T3.1 Cine UMC Fisheye II für Canon EF-M schwarz</t>
  </si>
  <si>
    <t>Samyang 8mm T3.1 Cine UMC Fisheye II für Fujifilm X schwarz (1420310101)</t>
  </si>
  <si>
    <t>Samyang 8mm T3.1 Cine UMC Fisheye II für Samsung NX schwarz</t>
  </si>
  <si>
    <t>Samyang 8mm T3.1 Cine UMC Fisheye II für Sony E schwarz</t>
  </si>
  <si>
    <t>Samyang 85mm T1.5 AS IF UMC II VDSLR für Canon EF schwarz (1313001101)</t>
  </si>
  <si>
    <t>Samyang 85mm T1.5 AS IF UMC II VDSLR für Canon EF-M schwarz (1313002101)</t>
  </si>
  <si>
    <t>Samyang 85mm T1.5 AS IF UMC II VDSLR für Fujifilm X schwarz (1313010101)</t>
  </si>
  <si>
    <t>Samyang 85mm T1.5 AS IF UMC II VDSLR für Four-Thirds schwarz (1313007101)</t>
  </si>
  <si>
    <t>Pentax smc DFA 645 35mm 3.5 AL IF schwarz (26450)</t>
  </si>
  <si>
    <t>Samyang 85mm T1.5 AS IF UMC II VDSLR für Nikon F schwarz</t>
  </si>
  <si>
    <t>Sony FE 100mm 2.8 STF GM OSS schwarz (SEL-100F28GM)</t>
  </si>
  <si>
    <t>Samyang 85mm T1.5 AS IF UMC II VDSLR für Pentax K schwarz (1313004101)</t>
  </si>
  <si>
    <t>Samyang 85mm T1.5 AS IF UMC II VDSLR für Samsung NX schwarz (1313008101)</t>
  </si>
  <si>
    <t>Samyang 85mm T1.5 AS IF UMC II VDSLR für Sony E schwarz (1313006101)</t>
  </si>
  <si>
    <t>Samyang 85mm T1.5 AS IF UMC II VDSLR für Sony A schwarz (1313005101)</t>
  </si>
  <si>
    <t>Leica Summarit-S 70mm 2.5 ASPH CS schwarz (11051)</t>
  </si>
  <si>
    <t>Samyang 85mm 1.4 Asph IF UMC für Canon EF-M schwarz (1111202101)</t>
  </si>
  <si>
    <t>Samyang 85mm 1.4 Asph IF UMC für Fujifilm X schwarz (1111210101)</t>
  </si>
  <si>
    <t>Samyang 85mm 1.4 Asph IF UMC für Micro-Four-Thirds schwarz (1111209101)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</si>
  <si>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</si>
  <si>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</si>
  <si>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</si>
  <si>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</si>
  <si>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</si>
  <si>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</si>
  <si>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</si>
  <si>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Leica Summarit-S 70mm 2.5 ASPH schwarz (11055)</t>
  </si>
  <si>
    <t>Samyang 50mm T1.5 AS UMC VDSLR für Sony A schwarz</t>
  </si>
  <si>
    <t>Leica APO-Macro-Summarit-S 120mm 2.5 ASPH CS schwarz (11052)</t>
  </si>
  <si>
    <t>Leica APO-Macro-Summarit-S 120mm 2.5 ASPH schwarz (11070)</t>
  </si>
  <si>
    <t>Leica APO-Elmar-S 180mm 3.5 ASPH CS schwarz (11053)</t>
  </si>
  <si>
    <t>Samyang 14mm T3.1 AS IF UMC II VDSLR für Canon EF schwarz</t>
  </si>
  <si>
    <t>Leica APO-Elmar-S 180mm 3.5 ASPH schwarz (11071)</t>
  </si>
  <si>
    <t>Fujifilm XF 56mm 1.2 R APD schwarz</t>
  </si>
  <si>
    <t>Samyang 14mm T3.1 AS IF UMC II VDSLR für Canon EF-M schwarz</t>
  </si>
  <si>
    <t>Samyang 14mm T3.1 AS IF UMC II VDSLR für Fujifilm X schwarz (1312610101)</t>
  </si>
  <si>
    <t>Samyang 14mm T3.1 AS IF UMC II VDSLR für Four-Thirds schwarz</t>
  </si>
  <si>
    <t>Samyang 14mm T3.1 AS IF UMC II VDSLR für Micro-Four-Thirds schwarz</t>
  </si>
  <si>
    <t>Zeiss ZF.2 Distagon T* 18mm 3.5 für Nikon F schwarz -- via Amazon Partnerprogramm</t>
  </si>
  <si>
    <t>Pentax smc DA 40mm 2.8 XS schwarz (22137)</t>
  </si>
  <si>
    <t>Samyang 14mm T3.1 AS IF UMC II VDSLR für Nikon F schwarz</t>
  </si>
  <si>
    <t>Samyang 14mm T3.1 AS IF UMC II VDSLR für Pentax K schwarz</t>
  </si>
  <si>
    <t>Zeiss ZE Milvus 21mm 2.8 für Canon EF schwarz (2096-549)</t>
  </si>
  <si>
    <t>Zeiss ZF.2 Milvus 21mm 2.8 für Nikon F schwarz (2096-548)</t>
  </si>
  <si>
    <t>Zeiss ZE Milvus 35mm 2.0 für Canon EF schwarz (2096-555)</t>
  </si>
  <si>
    <t>Zeiss ZF.2 Milvus 35mm 2.0 für Nikon F schwarz (2096-554)</t>
  </si>
  <si>
    <t>Samyang 14mm T3.1 AS IF UMC II VDSLR für Sony E schwarz</t>
  </si>
  <si>
    <t>Zeiss ZF.2 Milvus 50mm 1.4 für Nikon F schwarz (2096-556)</t>
  </si>
  <si>
    <t>Samyang 14mm T3.1 AS IF UMC II VDSLR für Sony A schwarz</t>
  </si>
  <si>
    <t>Zeiss ZF.2 Milvus 85mm 1.4 für Nikon F schwarz (2096-560)</t>
  </si>
  <si>
    <t>Zeiss ZF.2 Milvus 50mm 2.0 Makro für Nikon F schwarz (2096-558)</t>
  </si>
  <si>
    <t>Samyang 10mm T3.1 ED AS NCS CS II VDSLR für Canon EF schwarz (1322501101)</t>
  </si>
  <si>
    <t>Sony 55-200mm 4.0-5.6 DT SAM schwarz (SAL-55200-2)</t>
  </si>
  <si>
    <t>Samyang 10mm T3.1 ED AS NCS CS II VDSLR für Canon EF-M schwarz (1322502101)</t>
  </si>
  <si>
    <t>Samyang 10mm T3.1 ED AS NCS CS II VDSLR für Fujifilm X schwarz (1322510101)</t>
  </si>
  <si>
    <t>Samyang 10mm T3.1 ED AS NCS CS II VDSLR für Four-Thirds schwarz (1322507101)</t>
  </si>
  <si>
    <t>Samyang 10mm T3.1 ED AS NCS CS II VDSLR für Micro-Four-Thirds schwarz (1322509101)</t>
  </si>
  <si>
    <t>Samyang 10mm T3.1 ED AS NCS CS II VDSLR für Nikon F schwarz (1322503101)</t>
  </si>
  <si>
    <t>Samyang 10mm T3.1 ED AS NCS CS II VDSLR für Samsung NX schwarz</t>
  </si>
  <si>
    <t>Samyang 10mm T3.1 ED AS NCS CS II VDSLR für Sony E schwarz (1322506101)</t>
  </si>
  <si>
    <t>Samyang 10mm T3.1 ED AS NCS CS II VDSLR für Sony A schwarz (1322505101)</t>
  </si>
  <si>
    <t>Nikon AF-S VR 400mm 2.8E FL ED schwarz (JAA532DA)</t>
  </si>
  <si>
    <t>Sigma Art AF 35mm 1.4 DG HSM für Sigma schwarz (340956)</t>
  </si>
  <si>
    <t>Samyang 16mm T2.6 VDSLR ED AS UMC für Canon EF-M schwarz (1313602101)</t>
  </si>
  <si>
    <t>Samyang 16mm T2.6 VDSLR ED AS UMC für Sony E schwarz (1313606101)</t>
  </si>
  <si>
    <t>Samyang 8mm 3.5 UMC Fisheye CS II für Canon EF schwarz (1121901101)</t>
  </si>
  <si>
    <t>Samyang 16mm T2.6 VDSLR ED AS UMC für Nikon F schwarz (1313603101)</t>
  </si>
  <si>
    <t>Samyang 8mm 3.5 UMC Fisheye CS II für Canon EF-M schwarz (1121902101)</t>
  </si>
  <si>
    <t>Samyang 8mm 3.5 UMC Fisheye CS II für Fujifilm X schwarz (1121910101)</t>
  </si>
  <si>
    <t>Samyang 8mm 3.5 UMC Fisheye CS II für Sony A schwarz (1121905101)</t>
  </si>
  <si>
    <t>Samyang 8mm 3.5 UMC Fisheye CS II für Sony E schwarz (1121906101)</t>
  </si>
  <si>
    <t>Samyang 8mm 3.5 UMC Fisheye CS II für Samsung NX schwarz (1121908101)</t>
  </si>
  <si>
    <t>Samyang 8mm 3.5 UMC Fisheye CS II für Pentax K schwarz (1121904101)</t>
  </si>
  <si>
    <t>Samyang 8mm 3.5 UMC Fisheye CS II für Nikon F schwarz (1121903101)</t>
  </si>
  <si>
    <t>Samyang 8mm 3.5 UMC Fisheye CS II für Micro-Four-Thirds schwarz (1121909101)</t>
  </si>
  <si>
    <t>Zeiss Touit 50mm 2.8 für Sony E schwarz (2030-680)</t>
  </si>
  <si>
    <t>Samyang 8mm 3.5 UMC Fisheye CS II für Four-Thirds schwarz (1121907101)</t>
  </si>
  <si>
    <t>Tokina AT-X 17-35mm 4.0 FX für Nikon F schwarz</t>
  </si>
  <si>
    <t>Sony 70-300mm 4.5-5.6G SSM II schwarz (SAL-70300G2)</t>
  </si>
  <si>
    <t>Sigma Sports AF 120-300mm 2.8 DG HSM OS für Nikon F schwarz (137955)</t>
  </si>
  <si>
    <t>SainSonic Kamlan 8mm 3.0 für Sony E -- via Amazon Partnerprogramm</t>
  </si>
  <si>
    <t>Zeiss ZF.2 Distagon T* 25mm 2.0 für Nikon F schwarz -- via Amazon Partnerprogramm</t>
  </si>
  <si>
    <t>Zeiss Touit 12mm 2.8 für Fujifilm X schwarz (2030-527)</t>
  </si>
  <si>
    <t>Zeiss Touit 12mm 2.8 für Sony E schwarz (2030-526)</t>
  </si>
  <si>
    <t>Walimex Pro T-S 24mm 3.5 für Sony E schwarz (20139)</t>
  </si>
  <si>
    <t>Walimex Pro 50mm 1.5 VDSLR für Sony E schwarz (20408)</t>
  </si>
  <si>
    <t>Pentax smc DA 645 25mm 4.0 AL IF SDM AW schwarz</t>
  </si>
  <si>
    <t>Zeiss Batis 135mm 2.8 für Sony E schwarz (2136-695)</t>
  </si>
  <si>
    <t>Nikon 1 NIKKOR VR 70-300mm 4.5-5.6 schwarz (JVA709DA)</t>
  </si>
  <si>
    <t>Sigma AF 180mm 2.8 EX DG APO HSM OS Makro für Sigma schwarz (107956)</t>
  </si>
  <si>
    <t>Sigma AF 180mm 2.8 EX DG APO HSM OS Makro für Sony A schwarz (107962)</t>
  </si>
  <si>
    <t>Walimex Pro T-S 24mm 3.5 für Nikon F schwarz (18894)</t>
  </si>
  <si>
    <t>Tokina AT-X 10-17mm 3.5-4.5 AF DX NH Fisheye für Nikon F schwarz (T5101713)</t>
  </si>
  <si>
    <t>Sigma AF 30mm 2.8 EX DN für Micro-Four-Thirds schwarz (330963)</t>
  </si>
  <si>
    <t>Sigma AF 19mm 2.8 EX DN für Micro-Four-Thirds schwarz (400963)</t>
  </si>
  <si>
    <t>Samyang 14mm 2.8 Asph IF ED UMC für Micro-Four-Thirds schwarz (1110609101)</t>
  </si>
  <si>
    <t>Canon TS-E 45mm 2.8 Tilt/Shift schwarz (2536A005/2536A019)</t>
  </si>
  <si>
    <t>Samyang 35mm T1.5 VDSLR AS UMC II für Canon EF schwarz</t>
  </si>
  <si>
    <t>Samyang 35mm T1.5 VDSLR AS UMC II für Canon EF-M schwarz</t>
  </si>
  <si>
    <t>Samyang 35mm T1.5 VDSLR AS UMC II für Sony A schwarz (1312905101)</t>
  </si>
  <si>
    <t>Samyang 35mm T1.5 VDSLR AS UMC II für Sony E schwarz</t>
  </si>
  <si>
    <t>Samyang 35mm T1.5 VDSLR AS UMC II für Samsung NX schwarz (1312908101)</t>
  </si>
  <si>
    <t>Samyang 35mm T1.5 VDSLR AS UMC II für Pentax K schwarz (1312904101)</t>
  </si>
  <si>
    <t>Samyang 35mm T1.5 VDSLR AS UMC II für Nikon F schwarz (1312903101)</t>
  </si>
  <si>
    <t>Samyang 35mm T1.5 VDSLR AS UMC II für Micro-Four-Thirds schwarz</t>
  </si>
  <si>
    <t>Samyang 35mm T1.5 VDSLR AS UMC II für Four-Thirds schwarz (1312907101)</t>
  </si>
  <si>
    <t>Samyang 8mm 3.8 Asph IF MC Fisheye CS VDSLR für Nikon F schwarz</t>
  </si>
  <si>
    <t>Samyang 35mm T1.5 VDSLR AS UMC II für Fujifilm X schwarz (1312910101)</t>
  </si>
  <si>
    <t>Sigma AF 4.5mm 2.8 EX DC HSM Zirkular Fisheye für Sigma schwarz (486956)</t>
  </si>
  <si>
    <t>Samyang 14mm 3.1 AS IF UMC VDSLR für Nikon F schwarz</t>
  </si>
  <si>
    <t>Samyang 14mm 3.1 AS IF UMC VDSLR für Canon EF schwarz</t>
  </si>
  <si>
    <t>Samyang 24mm 1.5 ED AS UMC VDSLR für Nikon F schwarz</t>
  </si>
  <si>
    <t>Nikon PC 19mm 4.0E ED schwarz (JAA639DA)</t>
  </si>
  <si>
    <t>Samyang 24mm 1.5 ED AS UMC VDSLR für Canon EF schwarz</t>
  </si>
  <si>
    <t>Sigma AF 10mm 2.8 EX DC HSM Diagonal Fisheye für Sigma schwarz (477956)</t>
  </si>
  <si>
    <t>Samyang 35mm 1.5 AS UMC VDSLR für Nikon F schwarz</t>
  </si>
  <si>
    <t>Meyer Optik Görlitz Trimagon 95mm 2.6 für Sony E schwarz (MOG2695SE) -- via Amazon Partnerprogramm</t>
  </si>
  <si>
    <t>Sony E PZ 18-200mm 3.5-6.3 OSS schwarz (SELP-18200)</t>
  </si>
  <si>
    <t>Tokina AT-X Pro 11-16mm 2.8 DX für Sony A schwarz</t>
  </si>
  <si>
    <t>Lensbaby Velvet 56mm 1.6 für Sony A schwarz -- via Amazon Partnerprogramm</t>
  </si>
  <si>
    <t>Lensbaby Velvet 56mm 1.6 für Pentax K schwarz -- via Amazon Partnerprogramm</t>
  </si>
  <si>
    <t>Samyang 8mm 3.5 Asph IF MC Fisheye für Sony E schwarz</t>
  </si>
  <si>
    <t>Sony 24mm 2.0 SSM schwarz (SAL-24F20Z)</t>
  </si>
  <si>
    <t>Sigma AF 50mm 1.4 EX DG HSM für Sigma schwarz (310956)</t>
  </si>
  <si>
    <t>Sigma AF 50mm 1.4 EX DG HSM für Sony A schwarz (310934)</t>
  </si>
  <si>
    <t>Walimex Pro 500mm 6.3 für Canon EF-M weiß (19592)</t>
  </si>
  <si>
    <t>Walimex Pro 500mm 6.3 für Nikon F weiß (15541)</t>
  </si>
  <si>
    <t>Zeiss ZF.2 Milvus 15mm 2.8 für Nikon F schwarz (2111-789)</t>
  </si>
  <si>
    <t>Zeiss ZF.2 Milvus 18mm 2.8 für Nikon F schwarz (2096-516)</t>
  </si>
  <si>
    <t>Zeiss ZF.2 Milvus 135mm 2.0 für Nikon F schwarz (2111-635)</t>
  </si>
  <si>
    <t>Samyang 24mm T1.5 AS IF UMC II VDSLR für Canon EF schwarz</t>
  </si>
  <si>
    <t>Samyang 24mm T1.5 AS IF UMC II VDSLR für Canon EF-M schwarz (1312802101)</t>
  </si>
  <si>
    <t>Samyang 24mm T1.5 AS IF UMC II VDSLR für Sony A schwarz (1312805101)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</si>
  <si>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</si>
  <si>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</si>
  <si>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</si>
  <si>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Pentax K schwarz (1312804101)</t>
  </si>
  <si>
    <t>Samyang 24mm T1.5 AS IF UMC II VDSLR für Nikon F schwarz</t>
  </si>
  <si>
    <t>Samyang 24mm T1.5 AS IF UMC II VDSLR für Micro-Four-Thirds schwarz</t>
  </si>
  <si>
    <t>Samyang 24mm T1.5 AS IF UMC II VDSLR für Four-Thirds schwarz (1312807101)</t>
  </si>
  <si>
    <t>Samyang 24mm T1.5 AS IF UMC II VDSLR für Fujifilm X schwarz (1312810101)</t>
  </si>
  <si>
    <t>Sigma AF 28-105mm 2.8-4.0 Asp IF für Sony A schwarz (661934)</t>
  </si>
  <si>
    <t>28-105mm</t>
  </si>
  <si>
    <t>Sony 35mm 1.4G schwarz (SAL-35F14G)</t>
  </si>
  <si>
    <t>Sigma Contemporary AF 18-300mm 3.5-6.3 DC Makro OS HSM für Sigma schwarz (886956)</t>
  </si>
  <si>
    <t>Sigma Contemporary AF 18-300mm 3.5-6.3 DC Makro OS HSM für Pentax K schwarz (886961)</t>
  </si>
  <si>
    <t>Sigma AF 20mm 1.8 EX DG Asp RF für Sony A schwarz (411934)</t>
  </si>
  <si>
    <t>Leica Summicron-T 23mm 2.0 ASPH schwarz (11081)</t>
  </si>
  <si>
    <t>Leica Vario-Elmar-T 18-56mm 3.5-5.6 ASPH schwarz (11080)</t>
  </si>
  <si>
    <t>18-56mm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</si>
  <si>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</si>
  <si>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</si>
  <si>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</si>
  <si>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</si>
  <si>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</si>
  <si>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</si>
  <si>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</si>
  <si>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Sony E PZ 18-110mm 4.0 G OSS schwarz (SELP18110G)</t>
  </si>
  <si>
    <t>18-110mm</t>
  </si>
  <si>
    <t>Samyang 10mm 2.8 ED AS NCS CS für Sony E schwarz</t>
  </si>
  <si>
    <t>Mitakon Creator 135mm 2.8 II für Canon EF schwarz -- via Amazon Partnerprogramm</t>
  </si>
  <si>
    <t>Samyang 35mm T1.3 AS UMC CS für Fujifilm X schwarz</t>
  </si>
  <si>
    <t>Samyang 35mm T1.3 AS UMC CS für Micro-Four-Thirds schwarz</t>
  </si>
  <si>
    <t>Mitakon Speedmaster 85mm 1.2 für Canon EF schwarz -- via Amazon Partnerprogramm</t>
  </si>
  <si>
    <t>Samyang 35mm T1.3 AS UMC CS für Sony E schwarz (1423406101)</t>
  </si>
  <si>
    <t>Samyang 85mm 1.4 Asph IF UMC für Sony A schwarz</t>
  </si>
  <si>
    <t>Mitakon Speedmaster 85mm 1.2 für Nikon F schwarz -- via Amazon Partnerprogramm</t>
  </si>
  <si>
    <t>Mitakon Speedmaster 85mm 1.2 für Sony E schwarz -- via Amazon Partnerprogramm</t>
  </si>
  <si>
    <t>Samyang 35mm 1.2 ED AS UMC CS für Canon EF-M schwarz (1223402101)</t>
  </si>
  <si>
    <t>Mitakon Creator 85mm 2.0 für Canon EF schwarz -- via Amazon Partnerprogramm</t>
  </si>
  <si>
    <t>Mitakon Creator 85mm 2.0 für Nikon F schwarz -- via Amazon Partnerprogramm</t>
  </si>
  <si>
    <t>Sigma AF 24mm 1.8 EX DG Asp Makro für Sigma schwarz (432940)</t>
  </si>
  <si>
    <t>Sigma AF 28mm 1.8 EX DG Asp Makro für Sigma schwarz (440940)</t>
  </si>
  <si>
    <t>Samyang 35mm 1.2 ED AS UMC CS für Fujifilm X schwarz (1223410101)</t>
  </si>
  <si>
    <t>Samyang 35mm 1.2 ED AS UMC CS für Sony E schwarz (1223406101)</t>
  </si>
  <si>
    <t>Samyang 35mm 1.2 ED AS UMC CS für Micro-Four-Thirds schwarz (1223409101)</t>
  </si>
  <si>
    <t>Mitakon Speedmaster 35mm 0.95 II für Sony E schwarz -- via Amazon Partnerprogramm</t>
  </si>
  <si>
    <t>Samyang 85mm 1.4 Asph IF UMC für Samsung NX schwarz</t>
  </si>
  <si>
    <t>Samyang 85mm 1.4 Asph IF UMC für Nikon F schwarz</t>
  </si>
  <si>
    <t>Walimex Pro 800mm 8.0 für Nikon F weiß (15551)</t>
  </si>
  <si>
    <t>Leica Summaron-M 28mm 5.6 silber (11695)</t>
  </si>
  <si>
    <t>Tokina AT-X Pro 11-20mm 2.8 DX für Canon EF schwarz</t>
  </si>
  <si>
    <t>11-20mm</t>
  </si>
  <si>
    <t>Walimex Pro 800mm 8.0 für Four-Thirds weiß</t>
  </si>
  <si>
    <t>Samyang 85mm 1.4 Asph IF UMC für Four-Thirds schwarz</t>
  </si>
  <si>
    <t>Walimex Pro 800mm 8.0 für Micro-Four-Thirds weiß (16437)</t>
  </si>
  <si>
    <t>Samyang 85mm T1.5 AS IF UMC VDSLR für Canon EF schwarz</t>
  </si>
  <si>
    <t>Samyang 85mm T1.5 AS IF UMC VDSLR für Nikon F schwarz</t>
  </si>
  <si>
    <t>HandeVision Ibelux 40mm 0.85 für Fujifilm X schwarz (20011) -- via Amazon Partnerprogramm</t>
  </si>
  <si>
    <t>HandeVision Ibelux 40mm 0.85 für Sony E schwarz (20010) -- via Amazon Partnerprogramm</t>
  </si>
  <si>
    <t>HandeVision Ibelux 40mm 0.85 für Micro-Four-Thirds schwarz (20013) -- via Amazon Partnerprogramm</t>
  </si>
  <si>
    <t>HandeVision Ibelux 40mm 0.85 für Canon EF-M schwarz (20012) -- via Amazon Partnerprogramm</t>
  </si>
  <si>
    <t>Pentax Q 01 Standard Prime 8.5mm 1.9 AL silber (22067)</t>
  </si>
  <si>
    <t>8.5mm</t>
  </si>
  <si>
    <t>Pentax Q 02 Standard Zoom 5-15mm 2.8-4.5 AL silber (22077)</t>
  </si>
  <si>
    <t>5-15mm</t>
  </si>
  <si>
    <t>Walimex Pro 800mm 8.0 für Sony E weiß (17372)</t>
  </si>
  <si>
    <t>Leica Elmarit-S 30mm 2.8 ASPH schwarz (11073)</t>
  </si>
  <si>
    <t>Leica Elmarit-S 30mm 2.8 ASPH CS schwarz (11074)</t>
  </si>
  <si>
    <t>Walimex Pro 800mm 8.0 für Fujifilm X weiß</t>
  </si>
  <si>
    <t>Leica Elmarit-S 45mm 2.8 ASPH schwarz (11077)</t>
  </si>
  <si>
    <t>Leica Elmarit-S 45mm 2.8 ASPH CS schwarz (11078)</t>
  </si>
  <si>
    <t>Yongnuo 35mm 2.0 für Canon EF schwarz -- via Amazon Partnerprogramm</t>
  </si>
  <si>
    <t>Yongnuo 50mm 1.8 für Canon EF schwarz -- via Amazon Partnerprogramm</t>
  </si>
  <si>
    <t>Pentax Q 03 Fisheye 3.2mm 5.6 silber (22087)</t>
  </si>
  <si>
    <t>3.2mm</t>
  </si>
  <si>
    <t>Pentax Q 04 Toy Lens Wide 6.3mm 7.1 silber (22097)</t>
  </si>
  <si>
    <t>6.3mm</t>
  </si>
  <si>
    <t>Pentax Q 05 Toy Lens Telephoto 18mm 8.0 silber (22117)</t>
  </si>
  <si>
    <t>Nikon AF-P DX 18-55mm 3.5-5.6G schwarz (JAA827DA)</t>
  </si>
  <si>
    <t>Samyang 8mm 3.5 Asph IF MC Fisheye für Sony A schwarz</t>
  </si>
  <si>
    <t>Zeiss ZF.2 Distagon T* 21mm 2.8 für Nikon F schwarz -- via Amazon Partnerprogramm</t>
  </si>
  <si>
    <t>Tokina AT-X Pro 14-20mm 2.0 DX für Nikon F schwarz</t>
  </si>
  <si>
    <t>14-20mm</t>
  </si>
  <si>
    <t>Tokina AT-X Pro 14-20mm 2.0 DX für Canon EF schwarz</t>
  </si>
  <si>
    <t>Samyang 14mm 2.8 Asph IF ED UMC für Samsung NX schwarz (1110608101)</t>
  </si>
  <si>
    <t>Panasonic Lumix 3D-Objektiv G 12.5mm 12.0 schwarz (H-FT012E)</t>
  </si>
  <si>
    <t>12.5mm</t>
  </si>
  <si>
    <t>Voigtländer Nokton 17.5mm 0.95 für Micro-Four-Thirds schwarz -- via Amazon Partnerprogramm</t>
  </si>
  <si>
    <t>17.5mm</t>
  </si>
  <si>
    <t>Canon EF 400mm 4.0 DO IS II USM weiß (8404B005)</t>
  </si>
  <si>
    <t>Lensbaby Twist 60mm 2.5 für Canon EF schwarz -- via Amazon Partnerprogramm</t>
  </si>
  <si>
    <t>Lensbaby Twist 60mm 2.5 für Nikon F schwarz -- via Amazon Partnerprogramm</t>
  </si>
  <si>
    <t>Lensbaby Twist 60mm 2.5 für Sony E schwarz -- via Amazon Partnerprogramm</t>
  </si>
  <si>
    <t>SLR Magic Hyper Prime 23mm 1.7 für Micro-Four-Thirds schwarz (19881)</t>
  </si>
  <si>
    <t>Samyang 14mm 2.8 Asph IF ED MC für Canon EF schwarz -- via Amazon Partnerprogramm</t>
  </si>
  <si>
    <t>Samyang 14mm 2.8 Asph IF ED MC für Pentax K schwarz -- via Amazon Partnerprogramm</t>
  </si>
  <si>
    <t>Samyang 14mm 2.8 Asph IF ED UMC für Canon EF schwarz (1110601101)</t>
  </si>
  <si>
    <t>Samyang 14mm 2.8 Asph IF ED UMC für Nikon F schwarz (1110603101)</t>
  </si>
  <si>
    <t>Samyang 14mm 2.8 Asph IF ED UMC für Pentax K schwarz (1110604101)</t>
  </si>
  <si>
    <t>Samyang 14mm 2.8 Asph IF ED UMC für Sony A schwarz (1110605101)</t>
  </si>
  <si>
    <t>Samyang 85mm 1.4 Asph IF MC für Pentax K schwarz</t>
  </si>
  <si>
    <t>Samyang 85mm 1.4 Asph IF MC für Sony A schwarz</t>
  </si>
  <si>
    <t>SLR Magic Hyper Prime 23mm 1.7 für Sony E schwarz (19666)</t>
  </si>
  <si>
    <t>Walimex Pro 24mm 1.4 für Nikon F schwarz (18328)</t>
  </si>
  <si>
    <t>Walimex Pro 24mm 1.4 für Pentax K schwarz (18329)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</si>
  <si>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</si>
  <si>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</si>
  <si>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</si>
  <si>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</si>
  <si>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</si>
  <si>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</si>
  <si>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</si>
  <si>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Lensbaby Velvet 85mm 1.8 für Canon EF schwarz (LBV85C) -- via Amazon Partnerprogramm</t>
  </si>
  <si>
    <t>Lensbaby Velvet 85mm 1.8 für Nikon F schwarz (LBV85N) -- via Amazon Partnerprogramm</t>
  </si>
  <si>
    <t>Lensbaby Velvet 85mm 1.8 für Micro-Four-Thirds schwarz (LBV85M) -- via Amazon Partnerprogramm</t>
  </si>
  <si>
    <t>Tokina AT-X 16.5-135mm 3.5-5.6 DX für Nikon F schwarz</t>
  </si>
  <si>
    <t>16.5-135mm</t>
  </si>
  <si>
    <t>Samyang XEEN 20mm T1.9 für Canon EF schwarz (21599)</t>
  </si>
  <si>
    <t>Samyang XEEN 20mm T1.9 für Sony E schwarz</t>
  </si>
  <si>
    <t>Sigma AF 18-250mm 3.5-6.3 DC OS HSM für Sigma schwarz (880956)</t>
  </si>
  <si>
    <t>Samyang XEEN 20mm T1.9 für PL schwarz (21603)</t>
  </si>
  <si>
    <t>Samyang XEEN 20mm T1.9 für Nikon F schwarz (21600)</t>
  </si>
  <si>
    <t>Samyang XEEN 20mm T1.9 für Micro-Four-Thirds schwarz (21602)</t>
  </si>
  <si>
    <t>Sigma AF 8mm 3.5 EX DG Zirkular Fisheye für Nikon F schwarz (485944)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</si>
  <si>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</si>
  <si>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</si>
  <si>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</si>
  <si>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</si>
  <si>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</si>
  <si>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</si>
  <si>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Samsung NX schwarz (1322708101)</t>
  </si>
  <si>
    <t>Samyang 16mm T2.2 VDSLR ED AS UMC CS II für Sony E schwarz</t>
  </si>
  <si>
    <t>Samyang 16mm T2.2 VDSLR ED AS UMC CS II für Sony A schwarz</t>
  </si>
  <si>
    <t>Sony 18-55mm 3.5-5.6 DT SAMIII schwarz (SAL-18553) -- via Amazon Partnerprogramm</t>
  </si>
  <si>
    <t>SLR Magic Cine Mark 35mm 1.4 für Fujifilm X schwarz (19669)</t>
  </si>
  <si>
    <t>Samyang 14mm 2.8 Asph IF ED UMC für Four-Thirds schwarz (1110607101)</t>
  </si>
  <si>
    <t>SLR Magic Cine Mark 35mm 1.4 für Sony E schwarz (19668)</t>
  </si>
  <si>
    <t>SLR Magic Cine Mark 35mm 1.4 für Micro-Four-Thirds schwarz (19667)</t>
  </si>
  <si>
    <t>Veydra Mini Prime 35mm T2.2 für Sony E schwarz -- via Amazon Partnerprogramm</t>
  </si>
  <si>
    <t>Samyang XP 14mm 2.4 UMC für Canon EF schwarz (1PREM014F2.4C)</t>
  </si>
  <si>
    <t>Veydra Mini Prime 35mm T2.2 für Micro-Four-Thirds schwarz -- via Amazon Partnerprogramm</t>
  </si>
  <si>
    <t>Samyang XP 14mm 2.4 UMC für Nikon F schwarz</t>
  </si>
  <si>
    <t>Veydra Mini Prime 25mm T2.2 für Micro-Four-Thirds schwarz -- via Amazon Partnerprogramm</t>
  </si>
  <si>
    <t>Veydra Mini Prime 25mm T2.2 für Sony E schwarz -- via Amazon Partnerprogramm</t>
  </si>
  <si>
    <t>Samyang XP 85mm 1.2 Asph UMC für Canon EF schwarz (1PREM085F1.2C)</t>
  </si>
  <si>
    <t>Walimex Pro 100mm T3.1 Makro VDSLR für Nikon F schwarz (20844)</t>
  </si>
  <si>
    <t>Veydra Mini Prime 50mm T2.2 für Micro-Four-Thirds schwarz -- via Amazon Partnerprogramm</t>
  </si>
  <si>
    <t>Veydra Mini Prime 50mm T2.2 für Sony E schwarz -- via Amazon Partnerprogramm</t>
  </si>
  <si>
    <t>Veydra Mini Prime 85mm T2.2 für Micro-Four-Thirds schwarz -- via Amazon Partnerprogramm</t>
  </si>
  <si>
    <t>Veydra Mini Prime 85mm T2.2 für Sony E schwarz -- via Amazon Partnerprogramm</t>
  </si>
  <si>
    <t>Pentax smc DFA 645 90mm 2.8 AW SR W/C Makro schwarz (22210)</t>
  </si>
  <si>
    <t>Veydra Mini Prime 12mm T2.2 für Micro-Four-Thirds schwarz -- via Amazon Partnerprogramm</t>
  </si>
  <si>
    <t>Samyang 135mm 2.0 ED UMC für Canon EF schwarz (1112201101)</t>
  </si>
  <si>
    <t>Walimex Pro 100mm 2.8 Makro CSC für Micro-Four-Thirds schwarz (20845)</t>
  </si>
  <si>
    <t>Pentax smc DA 560mm 5.6 ED AW weiß (22180)</t>
  </si>
  <si>
    <t>560mm</t>
  </si>
  <si>
    <t>Walimex Pro 100mm 2.8 Makro DSLR für Nikon F schwarz (20841)</t>
  </si>
  <si>
    <t>Samyang 135mm 2.0 ED UMC für Canon EF-M schwarz (1112202101)</t>
  </si>
  <si>
    <t>Samyang 135mm 2.0 ED UMC für Nikon F schwarz (1112203101)</t>
  </si>
  <si>
    <t>Samyang 135mm 2.0 ED UMC für Pentax K schwarz (1112204101)</t>
  </si>
  <si>
    <t>Samyang 135mm 2.0 ED UMC für Sony A schwarz (1112205101)</t>
  </si>
  <si>
    <t>Samyang 135mm 2.0 ED UMC für Sony E schwarz (1112206101)</t>
  </si>
  <si>
    <t>Samyang 135mm 2.0 ED UMC für Fujifilm X schwarz (1112210101)</t>
  </si>
  <si>
    <t>Samyang 135mm 2.0 ED UMC für Four-Thirds schwarz (1112207101)</t>
  </si>
  <si>
    <t>Samyang 135mm 2.0 ED UMC für Micro-Four-Thirds schwarz (1112209101)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</si>
  <si>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</si>
  <si>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</si>
  <si>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</si>
  <si>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</si>
  <si>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</si>
  <si>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10mm T3.1 ED AS NCS CS für Canon EF schwarz</t>
  </si>
  <si>
    <t>Samyang 135mm T2.2 VDSLR ED UMC für Nikon F schwarz</t>
  </si>
  <si>
    <t>Samyang 135mm T2.2 VDSLR ED UMC für Four-Thirds schwarz</t>
  </si>
  <si>
    <t>Sony 50mm 1.4 ZA SSM schwarz (SAL-50F14Z)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</si>
  <si>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</si>
  <si>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</si>
  <si>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</si>
  <si>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</si>
  <si>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</si>
  <si>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Sony 18-55mm 3.5-5.6 DT SAMII schwarz (SAL-18552) -- Dieses Bild wurde uns freundlicherweise von einem Nutzer zur Verfügung gestellt</t>
  </si>
  <si>
    <t>Samyang 10mm T3.1 ED AS NCS CS für Micro-Four-Thirds schwarz</t>
  </si>
  <si>
    <t>Samyang 10mm T3.1 ED AS NCS CS für Pentax K schwarz</t>
  </si>
  <si>
    <t>Samyang 10mm T3.1 ED AS NCS CS für Sony E schwarz</t>
  </si>
  <si>
    <t>Samyang 12mm 2.2 NCS CS für Canon EF-M schwarz</t>
  </si>
  <si>
    <t>Samyang 12mm 2.2 NCS CS für Micro-Four-Thirds schwarz</t>
  </si>
  <si>
    <t>Samyang 12mm 2.2 NCS CS für Fujifilm X schwarz</t>
  </si>
  <si>
    <t>Walimex Pro 50mm 1.5 VDSLR für Canon EF schwarz (20402)</t>
  </si>
  <si>
    <t>Walimex Pro 50mm 1.5 VDSLR für Nikon F schwarz (20401)</t>
  </si>
  <si>
    <t>Samyang 12mm 2.2 NCS CS für Samsung NX schwarz</t>
  </si>
  <si>
    <t>Samyang 12mm 2.2 NCS CS für Sony E schwarz</t>
  </si>
  <si>
    <t>Samyang 7.5mm T3.8 UMC Fisheye für Micro-Four-Thirds schwarz (1430109101)</t>
  </si>
  <si>
    <t>Tamron SP AF 85mm 1.8 Di USD für Sony A schwarz (F016S)</t>
  </si>
  <si>
    <t>Walimex Pro 35mm 1.4 für Canon EF schwarz (16960)</t>
  </si>
  <si>
    <t>Samyang T-S 24mm 3.5 ED AS UMC für Fujifilm X schwarz (1110910101)</t>
  </si>
  <si>
    <t>Samyang T-S 24mm 3.5 ED AS UMC für Canon EF schwarz</t>
  </si>
  <si>
    <t>Samyang 24mm 1.4 ED AS UMC für Fujifilm X schwarz (1110810101)</t>
  </si>
  <si>
    <t>Samyang T-S 24mm 3.5 ED AS UMC für Nikon F schwarz</t>
  </si>
  <si>
    <t>Samyang T-S 24mm 3.5 ED AS UMC für Pentax K schwarz</t>
  </si>
  <si>
    <t>Samyang T-S 24mm 3.5 ED AS UMC für Sony A schwarz</t>
  </si>
  <si>
    <t>Samyang 35mm 1.4 AS UMC für Fujifilm X schwarz (1111010101)</t>
  </si>
  <si>
    <t>Dörr Danubia 500mm 8.0 T2 schwarz (222501) -- via Amazon Partnerprogramm</t>
  </si>
  <si>
    <t>Walimex Pro 10mm 2.8 für Micro-Four-Thirds schwarz (19940)</t>
  </si>
  <si>
    <t>Dörr Danubia 500mm 8.0 T2 schwarz (254002) -- via Amazon Partnerprogramm</t>
  </si>
  <si>
    <t>Dörr Danubia 500mm 6.3 T2 schwarz (254003) -- via Amazon Partnerprogramm</t>
  </si>
  <si>
    <t>Walimex Pro 10mm 2.8 für Nikon F schwarz (19932)</t>
  </si>
  <si>
    <t>Dörr Danubia 900mm 8.0 T2 schwarz (254004) -- via Amazon Partnerprogramm</t>
  </si>
  <si>
    <t>900mm</t>
  </si>
  <si>
    <t>Dörr 420-800mm 8.3 T2 schwarz (222502) -- via Amazon Partnerprogramm</t>
  </si>
  <si>
    <t>420-800mm</t>
  </si>
  <si>
    <t>Dörr 8mm 3.5 Fisheye für Canon EF schwarz (361005) -- via Amazon Partnerprogramm</t>
  </si>
  <si>
    <t>Dörr 8mm 3.5 Fisheye für Nikon F schwarz (361006) -- via Amazon Partnerprogramm</t>
  </si>
  <si>
    <t>Dörr 8mm 3.5 Fisheye für Sony A schwarz (361007) -- via Amazon Partnerprogramm</t>
  </si>
  <si>
    <t>Walimex Pro 8mm 3.5 Fisheye für Four-Thirds schwarz (16587)</t>
  </si>
  <si>
    <t>Walimex Pro 8mm 3.5 Fisheye für Micro-Four-Thirds schwarz (17197)</t>
  </si>
  <si>
    <t>Walimex Pro 8mm 3.5 Fisheye für Pentax K schwarz (16257)</t>
  </si>
  <si>
    <t>Zeiss ZF.2 Distagon T* 28mm 2.0 für Nikon F schwarz -- via Amazon Partnerprogramm</t>
  </si>
  <si>
    <t>Dörr 9.3mm 8.0 Fisheye für Micro-Four-Thirds schwarz (361113) -- via Amazon Partnerprogramm</t>
  </si>
  <si>
    <t>9.3mm</t>
  </si>
  <si>
    <t>Dörr 7.5mm 8.0 Fisheye für Nikon 1 schwarz (361111) -- via Amazon Partnerprogramm</t>
  </si>
  <si>
    <t>Walimex Pro 8mm 3.5 Fisheye für Sony E schwarz (17202)</t>
  </si>
  <si>
    <t>Mitakon Speedmaster 50mm 0.95 PRO für Sony E schwarz -- via Amazon Partnerprogramm</t>
  </si>
  <si>
    <t>Walimex Pro 16mm 2.2 VDSLR für Nikon F schwarz (19785)</t>
  </si>
  <si>
    <t>Zeiss Loxia 21mm 2.8 für Sony E schwarz (2131-999)</t>
  </si>
  <si>
    <t>Samsung NX-M 9mm 3.5 ED silber</t>
  </si>
  <si>
    <t>Sony 70-200mm 2.8G SSM II weiß (SAL-70200G2)</t>
  </si>
  <si>
    <t>Sigma AF 105mm 2.8 EX DG OS HSM Makro für Sony A schwarz (258962)</t>
  </si>
  <si>
    <t>Sigma AF 105mm 2.8 EX DG OS HSM Makro für Sigma schwarz (258956)</t>
  </si>
  <si>
    <t>Sigma AF 150-500mm 5.0-6.3 DG APO HSM OS für Sigma schwarz (737956)</t>
  </si>
  <si>
    <t>Tokina AT-X Pro 24-70mm 2.8 FX für Nikon F schwarz</t>
  </si>
  <si>
    <t>Nikon 1 NIKKOR 18.5mm 1.8 schwarz (JVA102DA)</t>
  </si>
  <si>
    <t>Nikon 1 NIKKOR 18.5mm 1.8 silber (JVA102DC)</t>
  </si>
  <si>
    <t>Tamron SP AF 70-200mm 2.8 Di USD für Sony A schwarz (A009S)</t>
  </si>
  <si>
    <t>Tamron SP AF 90mm 2.8 Di Makro 1:1 mit AF-Motor für Nikon F schwarz (272ENII)</t>
  </si>
  <si>
    <t>Meyer Optik Görlitz Trimagon 95mm 2.6 für Fujifilm X schwarz (MOG2695FXS) -- via Amazon Partnerprogramm</t>
  </si>
  <si>
    <t>Canon Objektiv CN-E 18-80mm T4.4 L IS KAS S schwarz</t>
  </si>
  <si>
    <t>18-80mm</t>
  </si>
  <si>
    <t>Leica Super-Vario-Elmar-T 11-23mm 3.5-4.5 ASPH schwarz (11082)</t>
  </si>
  <si>
    <t>11-23mm</t>
  </si>
  <si>
    <t>Leica Apo-Vario-Elmar-T 55-135mm 3.5-4.5 ASPH schwarz (11083)</t>
  </si>
  <si>
    <t>55-135mm</t>
  </si>
  <si>
    <t>Sigma Art AF 30mm 2.8 DN für Micro-Four-Thirds schwarz (33B963)</t>
  </si>
  <si>
    <t>Sigma Art AF 30mm 2.8 DN für Micro-Four-Thirds silber (33S963)</t>
  </si>
  <si>
    <t>Sigma Art AF 19mm 2.8 DN für Micro-Four-Thirds schwarz (40B963)</t>
  </si>
  <si>
    <t>Sigma Art AF 19mm 2.8 DN für Sony E silber (40S965)</t>
  </si>
  <si>
    <t>Sigma Art AF 30mm 1.4 DC HSM für Sigma schwarz (301956)</t>
  </si>
  <si>
    <t>Sigma AF 70mm 2.8 EX DG Makro für Sigma schwarz (270956)</t>
  </si>
  <si>
    <t>Sigma AF 8mm 3.5 EX DG Zirkular Fisheye für Sigma schwarz (485940)</t>
  </si>
  <si>
    <t>Sigma AF 18-200mm 3.5-6.3 DC OS HSM II für Sony A schwarz (882962)</t>
  </si>
  <si>
    <t>Zeiss ZF.2 Distagon T* 35mm 1.4 für Nikon F schwarz -- via Amazon Partnerprogramm</t>
  </si>
  <si>
    <t>Sigma AF 24mm 1.8 EX DG Asp Makro für Pentax K schwarz (432945)</t>
  </si>
  <si>
    <t>Samsung NX 20mm 2.8 i-Function schwarz (EX-W20NB)</t>
  </si>
  <si>
    <t>Sigma Art AF 50-100mm 1.8 DC HSM für Sigma schwarz (693956)</t>
  </si>
  <si>
    <t>Samyang 12mm 2.8 ED AS NCS Fisheye für Canon EF schwarz (1112101101)</t>
  </si>
  <si>
    <t>Canon EF-S 18-55mm 3.5-5.6 IS II schwarz (5121B005)</t>
  </si>
  <si>
    <t>Samyang 35mm 1.4 AS UMC für Samsung NX schwarz</t>
  </si>
  <si>
    <t>Samyang 12mm 2.8 ED AS NCS Fisheye für Canon EF-M schwarz (1112102101)</t>
  </si>
  <si>
    <t>Samyang 12mm 2.8 ED AS NCS Fisheye für Nikon F schwarz (1112103101)</t>
  </si>
  <si>
    <t>Samyang 12mm 2.8 ED AS NCS Fisheye für Pentax K schwarz (1112104101)</t>
  </si>
  <si>
    <t>Samyang 12mm 2.8 ED AS NCS Fisheye für Sony A schwarz (1112105101)</t>
  </si>
  <si>
    <t>Samyang 12mm 2.8 ED AS NCS Fisheye für Sony E schwarz (1112106101)</t>
  </si>
  <si>
    <t>Samyang 12mm 2.8 ED AS NCS Fisheye für Fujifilm X schwarz (1112110101)</t>
  </si>
  <si>
    <t>Samyang 8mm 3.5 Asph IF MC Fisheye für Four-Thirds schwarz</t>
  </si>
  <si>
    <t>Samyang 12mm 2.8 ED AS NCS Fisheye für Samsung NX schwarz (1112108101)</t>
  </si>
  <si>
    <t>Samyang 12mm 2.8 ED AS NCS Fisheye für Four-Thirds schwarz (1112107101)</t>
  </si>
  <si>
    <t>Samyang 12mm 2.8 ED AS NCS Fisheye für Micro-Four-Thirds schwarz (1112109101)</t>
  </si>
  <si>
    <t>Pentax Q 08 Wide Zoom 3.8-5.9mm 3.7-4.0 silber (22827)</t>
  </si>
  <si>
    <t>3.8-5.9mm</t>
  </si>
  <si>
    <t>Samyang 35mm 1.4 AS UMC für Canon EF-M schwarz</t>
  </si>
  <si>
    <t>Samyang 14mm 2.8 Asph IF ED UMC für Sony E schwarz (1110606101)</t>
  </si>
  <si>
    <t>Samyang 24mm 1.4 ED AS UMC für Sony E schwarz (1110806101)</t>
  </si>
  <si>
    <t>Samyang T-S 24mm 3.5 ED AS UMC für Sony E schwarz</t>
  </si>
  <si>
    <t>Samyang 35mm 1.4 AS UMC für Sony E schwarz</t>
  </si>
  <si>
    <t>Samyang 85mm 1.4 Asph IF UMC für Sony E schwarz</t>
  </si>
  <si>
    <t>Pentax HD DA 18-50mm 4.0-5.6 DC WR RE schwarz (21357)</t>
  </si>
  <si>
    <t>Sigma Art AF 24-105mm 4.0 DG HSM für Sony A schwarz (635962)</t>
  </si>
  <si>
    <t>Sigma Art AF 24mm 1.4 DG HSM für Sigma schwarz (401566)</t>
  </si>
  <si>
    <t>Yongnuo 85mm 1.8 für Canon EF schwarz -- via Amazon Partnerprogramm</t>
  </si>
  <si>
    <t>Lensbaby Trio 28mm 3.5 für Sony E silber -- via Amazon Partnerprogramm</t>
  </si>
  <si>
    <t>Lensbaby Trio 28mm 3.5 für Fujifilm X silber -- via Amazon Partnerprogramm</t>
  </si>
  <si>
    <t>Lensbaby Trio 28mm 3.5 für Micro-Four-Thirds silber -- via Amazon Partnerprogramm</t>
  </si>
  <si>
    <t>Voigtländer Classic Collection Ultron 21mm 1.8 schwarz -- via Amazon Partnerprogramm</t>
  </si>
  <si>
    <t>Zeiss ZF.2 Planar T* 85mm 1.4 für Nikon F schwarz -- via Amazon Partnerprogramm</t>
  </si>
  <si>
    <t>Nikon 1 NIKKOR VR 10-100mm 4.0-5.6 weiß (JVA705DB)</t>
  </si>
  <si>
    <t>Nikon 1 NIKKOR VR 10-100mm 4.0-5.6 silber (JVA705DC)</t>
  </si>
  <si>
    <t>Nikon 1 NIKKOR VR 6.7-13mm 3.5-5.6 silber (JVA706DB)</t>
  </si>
  <si>
    <t>Zeiss ZE Otus 28mm 1.4 für Canon EF schwarz (2102-182)</t>
  </si>
  <si>
    <t>Zeiss ZF.2 Otus 28mm 1.4 für Nikon F schwarz (2102-181)</t>
  </si>
  <si>
    <t>Walimex Pro 8mm 3.5 Fisheye II für Nikon F schwarz (18699)</t>
  </si>
  <si>
    <t>Walimex Pro 8mm 3.8 Fisheye II VDSLR für Nikon F schwarz (18705)</t>
  </si>
  <si>
    <t>Sigma AF 15mm 2.8 EX DG Diagonal Fisheye für Sigma schwarz (476940)</t>
  </si>
  <si>
    <t>Sigma AF 15mm 2.8 EX DG Diagonal Fisheye für Sony A schwarz (476934)</t>
  </si>
  <si>
    <t>Walimex Pro 35mm 1.4 CSC für Canon EF-M schwarz (20105)</t>
  </si>
  <si>
    <t>Walimex Pro 35mm 1.5 VDSLR für Nikon F schwarz (18712)</t>
  </si>
  <si>
    <t>Samyang 14mm 2.8 Asph IF ED UMC für Fujifilm X schwarz (1110610101)</t>
  </si>
  <si>
    <t>Voigtländer Classic Collection Nokton 35mm 1.2 schwarz -- via Amazon Partnerprogramm</t>
  </si>
  <si>
    <t>Voigtländer Classic Collection Nokton 50mm 1.5 (verschiedene Farben) -- via Amazon Partnerprogramm</t>
  </si>
  <si>
    <t>Walimex Pro 24mm 1.5 VDSLR für Nikon F schwarz (18787)</t>
  </si>
  <si>
    <t>Tamron SP AF 35mm 1.8 Di USD für Sony A schwarz (F012S)</t>
  </si>
  <si>
    <t>Tamron SP AF 45mm 1.8 Di VC USD für Canon EF schwarz (F013E)</t>
  </si>
  <si>
    <t>Tamron SP AF 45mm 1.8 Di USD für Sony A schwarz (F013S)</t>
  </si>
  <si>
    <t>Walimex Pro 135mm 2.0 AE für Nikon F schwarz (20734)</t>
  </si>
  <si>
    <t>Pentax HD DA 645 28-45mm 4.5 ED AW SR schwarz (26390)</t>
  </si>
  <si>
    <t>28-45mm</t>
  </si>
  <si>
    <t>Pentax HD DFA* 70-200mm 2.8 ED DC AW schwarz (21330)</t>
  </si>
  <si>
    <t>Walimex Pro 135mm 2.0 für Sony E schwarz (20740)</t>
  </si>
  <si>
    <t>Zeiss ZM C Sonnar T* 50mm 1.5 schwarz -- via Amazon Partnerprogramm</t>
  </si>
  <si>
    <t>Walimex Pro 135mm T2.2 VDSLR für Nikon F schwarz (20744)</t>
  </si>
  <si>
    <t>Sigma AF 300-800mm 5.6 EX DG APO HSM IF für Sigma schwarz (595956)</t>
  </si>
  <si>
    <t>Sigma AF 500mm 4.5 EX DG APO HSM IF für Nikon F schwarz (184955)</t>
  </si>
  <si>
    <t>Sigma AF 500mm 4.5 EX DG APO HSM IF für Sigma schwarz (184956)</t>
  </si>
  <si>
    <t>Kowa Prominar 8.5mm 2.8 für Micro-Four-Thirds (verschiedene Farben) -- via Amazon Partnerprogramm</t>
  </si>
  <si>
    <t>Samyang 14mm 3.1 AS IF UMC VDSLR für Pentax K schwarz</t>
  </si>
  <si>
    <t>Voking 35mm 1.7 für Canon EF-M schwarz (VK35-1.7-C) -- via Amazon Partnerprogramm</t>
  </si>
  <si>
    <t>Walimex Pro 300mm 6.3 DSLR Reflex für Canon EF schwarz (20177)</t>
  </si>
  <si>
    <t>Nikon AF-S VR 500mm 4.0E FL ED schwarz (JAA533DA)</t>
  </si>
  <si>
    <t>Walimex Pro 650-1300mm 8.0-16.0 für Canon EF weiß (15863)</t>
  </si>
  <si>
    <t>Walimex Pro 650-1300mm 8.0-16.0 für Canon EF-M weiß (19591)</t>
  </si>
  <si>
    <t>Walimex Pro 650-1300mm 8.0-16.0 für Sony E weiß (17373)</t>
  </si>
  <si>
    <t>Walimex Pro 650-1300mm 8.0-16.0 für Nikon F weiß (15118)</t>
  </si>
  <si>
    <t>Walimex Pro 300mm 6.3 DSLR Reflex für Nikon F schwarz (20178)</t>
  </si>
  <si>
    <t>Samyang 20mm 1.8 ED AS UMC für Canon EF schwarz (1113501101)</t>
  </si>
  <si>
    <t>Samyang 20mm 1.8 ED AS UMC für Canon EF-M schwarz (1113502101)</t>
  </si>
  <si>
    <t>Samyang 20mm 1.8 ED AS UMC für Sony A schwarz (1113505101)</t>
  </si>
  <si>
    <t>Laowa 12mm 2.8 Zero-D für Canon EF schwarz</t>
  </si>
  <si>
    <t>Samyang 20mm 1.8 ED AS UMC für Samsung NX schwarz (1113508101)</t>
  </si>
  <si>
    <t>Samyang 20mm 1.8 ED AS UMC für Pentax K schwarz (1113504101)</t>
  </si>
  <si>
    <t>Samyang 20mm 1.8 ED AS UMC für Nikon F schwarz (1113503101)</t>
  </si>
  <si>
    <t>Samyang 20mm 1.8 ED AS UMC für Fujifilm X schwarz (1113510101)</t>
  </si>
  <si>
    <t>Samyang 20mm 1.8 ED AS UMC für Micro-Four-Thirds schwarz (1113509101)</t>
  </si>
  <si>
    <t>Samyang 20mm 1.8 ED AS UMC für Four-Thirds schwarz (1113507101)</t>
  </si>
  <si>
    <t>Samyang 24mm 1.4 ED AS UMC für Micro-Four-Thirds schwarz (1110809101)</t>
  </si>
  <si>
    <t>Samyang 20mm T1.9 ED AS UMC für Sony A schwarz</t>
  </si>
  <si>
    <t>Samyang 20mm T1.9 ED AS UMC für Sony E schwarz (1313506101)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</si>
  <si>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</si>
  <si>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</si>
  <si>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</si>
  <si>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</si>
  <si>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</si>
  <si>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51.6-108.3mm</t>
  </si>
  <si>
    <t>30-90mm</t>
  </si>
  <si>
    <t>16-18-21mm</t>
  </si>
  <si>
    <t>Olympus M.Zuiko digital 25mm 1.8 schwarz (V311060BE000)</t>
  </si>
  <si>
    <t>Sigma Sports AF 150-600mm 5.0-6.3 DG OS HSM für Canon EF schwarz (740954)</t>
  </si>
  <si>
    <t>Olympus M.Zuiko digital ED 75mm 1.8 schwarz (V311040BE000)</t>
  </si>
  <si>
    <t>Panasonic Lumix G X Vario PZ 14-42mm 3.5-5.6 ASPH OIS schwarz (H-PS14042E-K)</t>
  </si>
  <si>
    <t>Panasonic/Leica DG Summilux 15mm 1.7 ASPH schwarz (H-X015)</t>
  </si>
  <si>
    <t>Tamron AF 16-300mm 3.5-6.3 Di II VC PZD Macro für Canon EF schwarz (B016E)</t>
  </si>
  <si>
    <t>Tamron AF 16-300mm 3.5-6.3 Di II VC PZD Macro für Nikon F schwarz (B016N)</t>
  </si>
  <si>
    <t>Nikon AF-S DX Micro 40mm 2.8G schwarz (JAA638DA)</t>
  </si>
  <si>
    <t>Sigma Contemporary AF 100-400mm 5.0-6.3 DG OS HSM für Nikon F schwarz</t>
  </si>
  <si>
    <t>Sigma Art AF 20mm 1.4 DG HSM für Canon EF schwarz (412954)</t>
  </si>
  <si>
    <t>Canon EF-S 18-55mm 3.5-5.6 IS STM schwarz (8114B005)</t>
  </si>
  <si>
    <t>Sigma AF 17-50mm 2.8 EX DC OS HSM für Canon EF schwarz (583954)</t>
  </si>
  <si>
    <t>Sony FE 85mm 1.4 GM schwarz (SEL85F14GM)</t>
  </si>
  <si>
    <t>Sigma Contemporary AF 17-70mm 2.8-4.0 DC Makro OS HSM für Nikon F schwarz (884955)</t>
  </si>
  <si>
    <t>Sigma AF 70-200mm 2.8 EX DG APO HSM OS für Nikon F schwarz (589955)</t>
  </si>
  <si>
    <t>Nikon AF-S 35mm 1.8G ED schwarz (JAA137DA)</t>
  </si>
  <si>
    <t>Sony E 30mm 3.5 Makro silber (SEL-30M35)</t>
  </si>
  <si>
    <t>Tamron AF 18-200mm 3.5-6.3 Di III VC für Sony E silber (B011S)</t>
  </si>
  <si>
    <t>Sigma Contemporary AF 18-200mm 3.5-6.3 DC Makro OS HSM für Canon EF schwarz (885954)</t>
  </si>
  <si>
    <t>Sigma Art AF 50mm 1.4 DG HSM für Canon EF schwarz (311954)</t>
  </si>
  <si>
    <t>Sigma Art AF 50mm 1.4 DG HSM für Nikon F schwarz (311955)</t>
  </si>
  <si>
    <t>Nikon AF-S VR 28-300mm 3.5-5.6G ED schwarz (JAA808DA)</t>
  </si>
  <si>
    <t>Nikon AF-S 85mm 1.4G schwarz (JAA338DA)</t>
  </si>
  <si>
    <t>Tamron SP AF 150-600mm 5.0-6.3 Di VC USD G2 für Nikon F schwarz (A022N)</t>
  </si>
  <si>
    <t>Tamron AF 70-300mm 4.0-5.6 Di LD Makro 1:2 mit AF-Motor für Nikon F schwarz (A17NII)</t>
  </si>
  <si>
    <t>Canon EF-M 22mm 2.0 STM schwarz (5985B005)</t>
  </si>
  <si>
    <t>22mm</t>
  </si>
  <si>
    <t>Nikon AF-S VR 70-300mm 4.5-5.6G IF-ED schwarz (JAA795DA)</t>
  </si>
  <si>
    <t>Nikon AF-S DX 17-55mm 2.8G IF-ED schwarz (JAA788DA)</t>
  </si>
  <si>
    <t>Panasonic Lumix G X Vario 12-35mm 2.8 ASPH OIS schwarz (H-HS12035)</t>
  </si>
  <si>
    <t>Tamron AF 18-400mm 3.5-6.3 Di II VC HLD für Nikon F schwarz (B028N)</t>
  </si>
  <si>
    <t>18-400mm</t>
  </si>
  <si>
    <t>Olympus M.Zuiko digital ED 9-18mm 4.0-5.6 schwarz (N3850192)</t>
  </si>
  <si>
    <t>Sigma Art AF 35mm 1.4 DG HSM für Nikon F schwarz (340955)</t>
  </si>
  <si>
    <t>Tamron SP AF 24-70mm 2.8 Di VC USD für Nikon F schwarz (A007N)</t>
  </si>
  <si>
    <t>Fujifilm XF 35mm 1.4 R schwarz (4004397)</t>
  </si>
  <si>
    <t>Tokina AT-X Pro 11-16mm 2.8 DX II für Nikon F schwarz</t>
  </si>
  <si>
    <t>Canon EF 70-300mm 4.0-5.6 IS USM schwarz (0345B003/0345B006)</t>
  </si>
  <si>
    <t>Tamron SP AF 70-200mm 2.8 Di LD IF Makro für Nikon F schwarz (A001N)</t>
  </si>
  <si>
    <t>Canon EF 100mm 2.8 Makro USM schwarz (4657A003/4657A011)</t>
  </si>
  <si>
    <t>Canon EF 135mm 2.0 L USM schwarz (2520A005/2520A015)</t>
  </si>
  <si>
    <t>Canon EF 50mm 1.8 II schwarz (2514A003/2514A011)</t>
  </si>
  <si>
    <t>Fujifilm XF 16-55mm 2.8 R LM WR schwarz</t>
  </si>
  <si>
    <t>16-55mm</t>
  </si>
  <si>
    <t>Nikon AF 50mm 1.8D schwarz (JAA013DA)</t>
  </si>
  <si>
    <t>Canon EF 70-300mm 4.0-5.6 L IS USM weiß (4426B005)</t>
  </si>
  <si>
    <t>Nikon AF-S 24-70mm 2.8G ED schwarz (JAA802DA)</t>
  </si>
  <si>
    <t>Canon EF 50mm 1.2 L USM schwarz (1057B005/1257B005)</t>
  </si>
  <si>
    <t>Canon EF 70-200mm 4.0 L IS USM weiß (1058B005/1258B005)</t>
  </si>
  <si>
    <t>Sigma Contemporary AF 18-300mm 3.5-6.3 DC Makro OS HSM für Canon EF schwarz (886954)</t>
  </si>
  <si>
    <t>Sony 16-50mm 2.8 DT SSM schwarz (SAL-1650) -- via Amazon Partnerprogramm</t>
  </si>
  <si>
    <t>Canon EF 40mm 2.8 STM schwarz (6310B005)</t>
  </si>
  <si>
    <t>Fujifilm XF 14mm 2.8 R schwarz (4004716)</t>
  </si>
  <si>
    <t>Nikon AF-S VR 16-35mm 4.0G ED schwarz (JAA806DA)</t>
  </si>
  <si>
    <t>Olympus M.Zuiko digital ED 40-150mm 2.8 PRO schwarz (V315050BE000)</t>
  </si>
  <si>
    <t>Canon EF 17-40mm 4.0 L USM schwarz (8806A003/8806A007)</t>
  </si>
  <si>
    <t>17-40mm</t>
  </si>
  <si>
    <t>Olympus M.Zuiko digital 17mm 1.8 silber (V311050SE000)</t>
  </si>
  <si>
    <t>Tamron SP AF 15-30mm 2.8 Di VC USD für Canon EF schwarz (A012E) -- via Amazon Partnerprogramm</t>
  </si>
  <si>
    <t>Canon EF-M 11-22mm 4.0-5.6 IS STM schwarz (7568B005)</t>
  </si>
  <si>
    <t>Tamron SP AF 90mm 2.8 Di VC USD Makro 1:1 für Nikon F schwarz (F017N)</t>
  </si>
  <si>
    <t>Tamron AF 18-200mm 3.5-6.3 Di II VC für Canon EF schwarz (B018E)</t>
  </si>
  <si>
    <t>Tamron AF 18-200mm 3.5-6.3 Di II VC für Nikon F schwarz (B018N)</t>
  </si>
  <si>
    <t>Nikon AF-S VR DX 18-300mm 3.5-5.6G ED schwarz (JAA812DA)</t>
  </si>
  <si>
    <t>Tamron AF 18-270mm 3.5-6.3 Di II VC PZD für Nikon F schwarz (B008N)</t>
  </si>
  <si>
    <t>Sigma AF 105mm 2.8 EX DG OS HSM Makro für Canon EF schwarz (258954)</t>
  </si>
  <si>
    <t>Sigma AF 105mm 2.8 EX DG OS HSM Makro für Nikon F schwarz (258955)</t>
  </si>
  <si>
    <t>Canon EF 11-24mm 4.0 L USM schwarz (9520B005)</t>
  </si>
  <si>
    <t>11-24mm</t>
  </si>
  <si>
    <t>Tamron SP AF 70-200mm 2.8 Di VC USD für Canon EF schwarz (A009E)</t>
  </si>
  <si>
    <t>Tamron SP AF 70-200mm 2.8 Di VC USD für Nikon F schwarz (A009N)</t>
  </si>
  <si>
    <t>Fujifilm XF 23mm 1.4 R schwarz -- via Amazon Partnerprogramm</t>
  </si>
  <si>
    <t>Fujifilm XF 23mm 2.0 R WR schwarz (16523169)</t>
  </si>
  <si>
    <t>Sigma Art AF 19mm 2.8 DN für Sony E schwarz (40B965)</t>
  </si>
  <si>
    <t>Sigma Art AF 30mm 1.4 DC HSM für Nikon F schwarz (301955)</t>
  </si>
  <si>
    <t>Panasonic Lumix G X Vario 35-100mm 2.8 OIS schwarz (H-HS35100E)</t>
  </si>
  <si>
    <t>Sigma Art AF 24-105mm 4.0 DG OS HSM für Canon EF schwarz (635954)</t>
  </si>
  <si>
    <t>Nikon AF-S VR DX 18-300mm 3.5-6.3G ED schwarz (JAA821DA)</t>
  </si>
  <si>
    <t>Nikon AF-S VR Micro 105mm 2.8G IF-ED schwarz (JAA630DA)</t>
  </si>
  <si>
    <t>Tamron SP AF 35mm 1.8 Di VC USD für Nikon F schwarz (F012N)</t>
  </si>
  <si>
    <t>Nikon AF-S VR DX 18-200mm 3.5-5.6G ED II schwarz (JAA813DA)</t>
  </si>
  <si>
    <t>Tamron SP AF 17-50mm 2.8 XR Di II VC LD Asp IF für Nikon F schwarz (B005N)</t>
  </si>
  <si>
    <t>Tamron AF 18-200mm 3.5-6.3 Di III VC für Canon EF-M schwarz (B011EMB)</t>
  </si>
  <si>
    <t>Canon TS-E 24mm 3.5 L II Tilt/Shift schwarz (3552B005)</t>
  </si>
  <si>
    <t>Sony E 24mm 1.8 schwarz (SEL-24F18Z)</t>
  </si>
  <si>
    <t>Olympus M.Zuiko digital ED 300mm 4.0 IS PRO schwarz (V311070BW000)</t>
  </si>
  <si>
    <t>Olympus M.Zuiko digital ED 14-150mm 4.0-5.6 II schwarz (V316020BE000)</t>
  </si>
  <si>
    <t>Nikon AF-S VR 70-200mm 2.8E FL ED grau 100 Jahre Jubiläumsedition (JAA839EA)</t>
  </si>
  <si>
    <t>Fujifilm XF 18-135mm 3.5-5.6 R LM OIS WR schwarz</t>
  </si>
  <si>
    <t>Nikon AF-S 24mm 1.8G ED schwarz (JAA139DA)</t>
  </si>
  <si>
    <t>Sigma Art AF 14mm 1.8 DG HSM für Canon EF schwarz (450954)</t>
  </si>
  <si>
    <t>Tokina AT-X Pro 11-20mm 2.8 DX für Nikon F schwarz</t>
  </si>
  <si>
    <t>Tokina FiRIN 20mm 2.0 FE MF für Sony E schwarz</t>
  </si>
  <si>
    <t>Samyang AF 14mm 2.8 FE ASP ED UMC für Sony E schwarz (1AF014F28SFE)</t>
  </si>
  <si>
    <t>Samyang AF 50mm 1.4 FE für Sony E schwarz (1AF050F14SFE)</t>
  </si>
  <si>
    <t>Nikon AF-P VR 70-300mm 4.5-5.6E ED schwarz (JAA833DA)</t>
  </si>
  <si>
    <t>Sigma Art AF 85mm 1.4 DG HSM für Canon EF schwarz (321954)</t>
  </si>
  <si>
    <t>Tamron AF 18-400mm 3.5-6.3 Di II VC HLD für Canon EF schwarz (B028E)</t>
  </si>
  <si>
    <t>Tokina AT-X Pro 16-28mm 2.8 FX für Nikon F schwarz (T4162803)</t>
  </si>
  <si>
    <t>Fujifilm XF 16mm 1.4 R WR schwarz</t>
  </si>
  <si>
    <t>Panasonic/Leica DG Summilux 12mm 1.4 ASPH schwarz (H-X012)</t>
  </si>
  <si>
    <t>Tamron SP AF 45mm 1.8 Di VC USD für Nikon F schwarz (F013N)</t>
  </si>
  <si>
    <t>Zeiss Batis 25mm 2.0 für Sony E schwarz (2103-750)</t>
  </si>
  <si>
    <t>Canon EF 35mm 1.4 L II USM schwarz (9523B005)</t>
  </si>
  <si>
    <t>Canon EF-S 18-55mm 4.0-5.6 IS STM schwarz (1620C005)</t>
  </si>
  <si>
    <t>Nikon AF-S 28mm 1.4E ED schwarz (JAA140DA)</t>
  </si>
  <si>
    <t>Sigma Contemporary AF 150-600mm 5.0-6.3 DG OS HSM für Nikon F schwarz (745955)</t>
  </si>
  <si>
    <t>Canon EF-S 55-250mm 4.0-5.6 IS STM mit ET-63 und LC-Kit schwarz (8546B013)</t>
  </si>
  <si>
    <t>Olympus M.Zuiko digital ED 12mm 2.0 silber (V311020SE000)</t>
  </si>
  <si>
    <t>Olympus M.Zuiko digital ED 40-150mm 4.0-5.6 R MSC schwarz (V315030BE000)</t>
  </si>
  <si>
    <t>Panasonic Lumix G Vario 14-42mm 3.5-5.6 II ASPH OIS schwarz (H-FS1442A-K)</t>
  </si>
  <si>
    <t>Tamron AF 14-150mm 3.5-5.8 Di III für Micro-Four-Thirds schwarz (C001B)</t>
  </si>
  <si>
    <t>Olympus M.Zuiko digital 17mm 1.8 schwarz (V311050BE000)</t>
  </si>
  <si>
    <t>Tamron AF 18-270mm 3.5-6.3 Di II PZD für Sony A schwarz (B008S)</t>
  </si>
  <si>
    <t>Walimex Pro 14mm 2.8 für Nikon F schwarz (16962)</t>
  </si>
  <si>
    <t>Canon EF-S 18-200mm 3.5-5.6 IS schwarz (2752B005)</t>
  </si>
  <si>
    <t>Canon EF 16-35mm 2.8 L II USM schwarz (1910B005)</t>
  </si>
  <si>
    <t>Tamron SP AF 28-75mm 2.8 XR Di LD Asp IF Makro für Canon EF schwarz (A09E)</t>
  </si>
  <si>
    <t>Tamron SP AF 15-30mm 2.8 Di USD für Sony A schwarz (A012S) -- via Amazon Partnerprogramm</t>
  </si>
  <si>
    <t>Nikon AF-S VR DX 16-85mm 3.5-5.6G ED schwarz (JAA800DA)</t>
  </si>
  <si>
    <t>16-85mm</t>
  </si>
  <si>
    <t>Sony E 18-200mm 3.5-6.3 OSS silber (SEL-18200)</t>
  </si>
  <si>
    <t>Sony E 18-200mm 3.5-6.3 OSS LE schwarz (SEL-18200LE)</t>
  </si>
  <si>
    <t>Nikon AF-S Micro 60mm 2.8G ED schwarz (JAA632DA)</t>
  </si>
  <si>
    <t>Canon EF-S 55-250mm 4.0-5.6 IS II schwarz (5123B005)</t>
  </si>
  <si>
    <t>Canon EF-M 28mm 3.5 Macro IS STM schwarz (1362C005)</t>
  </si>
  <si>
    <t>Fujifilm XF 56mm 1.2 R schwarz (16418649)</t>
  </si>
  <si>
    <t>Sigma Contemporary AF 18-200mm 3.5-6.3 DC Makro OS HSM für Nikon F schwarz (885955)</t>
  </si>
  <si>
    <t>Tamron AF 18-200mm 3.5-6.3 Di II für Sony A schwarz (B018S)</t>
  </si>
  <si>
    <t>Nikon AF-S VR DX 55-300mm 4.5-5.6G ED schwarz (JAA814DA)</t>
  </si>
  <si>
    <t>Tamron SP AF 17-50mm 2.8 XR Di II LD Asp IF mit AF-Motor für Nikon F schwarz (A16NII)</t>
  </si>
  <si>
    <t>Sony E 50mm 1.8 OSS silber (SEL-50F18S)</t>
  </si>
  <si>
    <t>Olympus M.Zuiko digital ED 14-42mm 3.5-5.6 EZ schwarz (V314070BE000)</t>
  </si>
  <si>
    <t>Nikon AF-S DX 10-24mm 3.5-4.5G ED schwarz (JAA804DA)</t>
  </si>
  <si>
    <t>Canon EF 14mm 2.8 L II USM schwarz (2045B005)</t>
  </si>
  <si>
    <t>Fujifilm XF 50-140mm 2.8 R LM OIS WR schwarz (16443060)</t>
  </si>
  <si>
    <t>Canon EF 400mm 5.6 L USM weiß (2526A017)</t>
  </si>
  <si>
    <t>Sigma Contemporary AF 17-70mm 2.8-4.0 DC Makro OS HSM für Canon EF schwarz (884954)</t>
  </si>
  <si>
    <t>Tamron SP AF 24-70mm 2.8 Di VC USD für Canon EF schwarz (A007E)</t>
  </si>
  <si>
    <t>Tamron SP AF 70-300mm 4.0-5.6 Di VC USD für Nikon F schwarz (A005N)</t>
  </si>
  <si>
    <t>Tamron SP AF 70-200mm 2.8 Di LD IF Makro für Pentax K schwarz (A001P)</t>
  </si>
  <si>
    <t>Canon EF 100-400mm 4.5-5.6 L IS USM weiß (2577A003/2577A011)</t>
  </si>
  <si>
    <t>Canon EF 70-200mm 4.0 L USM weiß (2578A003/2578A009)</t>
  </si>
  <si>
    <t>Canon EF 75-300mm 4.0-5.6 III schwarz (6473A002/6473A015)</t>
  </si>
  <si>
    <t>Canon EF 8-15mm 4.0 L Fisheye schwarz (4427B005)</t>
  </si>
  <si>
    <t>Sony E 20mm 2.8 Pancake schwarz (SEL-20F28)</t>
  </si>
  <si>
    <t>Tamron SP AF 60mm 2.0 Di II LD IF Makro 1:1 für Nikon F schwarz (G005N)</t>
  </si>
  <si>
    <t>Sony 35mm 1.8 DT SAM schwarz (SAL-35F18)</t>
  </si>
  <si>
    <t>Tokina AT-X Pro 100mm 2.8 Makro für Nikon F schwarz (T310003N)</t>
  </si>
  <si>
    <t>Nikon AF-P VR DX 18-55mm 3.5-5.6G schwarz (JAA826DA)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</si>
  <si>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</si>
  <si>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</si>
  <si>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</si>
  <si>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</si>
  <si>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16-105mm</t>
  </si>
  <si>
    <t>Sigma Art AF 30mm 2.8 DN für Sony E schwarz (33B965)</t>
  </si>
  <si>
    <t>Sigma AF 18-250mm 3.5-6.3 DC Makro OS HSM für Canon EF schwarz (883954)</t>
  </si>
  <si>
    <t>Sigma Art AF 50-100mm 1.8 DC HSM für Nikon F schwarz (693955)</t>
  </si>
  <si>
    <t>Pentax smc DA 35mm 2.4 AL schwarz (21987)</t>
  </si>
  <si>
    <t>Sigma Art AF 24mm 1.4 DG HSM für Canon EF schwarz (401954)</t>
  </si>
  <si>
    <t>Nikon AF-S 50mm 1.4G schwarz (JAA014DA)</t>
  </si>
  <si>
    <t>Sigma AF 17-70mm 2.8-4.0 DC Asp IF Makro OS HSM für Nikon F schwarz (668955)</t>
  </si>
  <si>
    <t>Canon EF-S 60mm 2.8 Makro USM schwarz (0284B003/0284B007)</t>
  </si>
  <si>
    <t>Panasonic/Leica DG Nocticron 42.5mm 1.2 ASPH OIS schwarz (H-NS043E)</t>
  </si>
  <si>
    <t>Pentax HD DA 55-300mm 4.0-5.8 ED WR schwarz (22270)</t>
  </si>
  <si>
    <t>Nikon AF DX 10.5mm 2.8G Fisheye schwarz (JAA629DA)</t>
  </si>
  <si>
    <t>Sigma AF 50mm 2.8 EX DG Makro für Nikon F schwarz (346944)</t>
  </si>
  <si>
    <t>Nikon AF-S 24mm 1.4G ED schwarz (JAA131DA)</t>
  </si>
  <si>
    <t>Panasonic Lumix G Vario 100-300mm 4.0-5.6 OIS schwarz (H-FS100300E)</t>
  </si>
  <si>
    <t>Tokina AT-X Pro 12-28mm 4.0 DX für Nikon F schwarz (T5122803)</t>
  </si>
  <si>
    <t>12-28mm</t>
  </si>
  <si>
    <t>Tokina AT-X Pro 70-200mm 4.0 FX VCM-S für Nikon F schwarz</t>
  </si>
  <si>
    <t>Olympus M.Zuiko digital ED 75-300mm 4.8-6.7 II schwarz (V315040BE000)</t>
  </si>
  <si>
    <t>Canon EF-M 15-45mm 3.5-6.3 IS STM schwarz (0572C005)</t>
  </si>
  <si>
    <t>Canon EF-M 15-45mm 3.5-6.3 IS STM silber (0597C005)</t>
  </si>
  <si>
    <t>Pentax HD DA 20-40mm 2.8-4.0 ED DC WR Limited schwarz (23000)</t>
  </si>
  <si>
    <t>Pentax HD DA 16-85mm 3.5-5.6 ED DC WR schwarz (21387)</t>
  </si>
  <si>
    <t>Sigma Art AF 24-105mm 4.0 DG OS HSM für Nikon F schwarz (635955)</t>
  </si>
  <si>
    <t>Samyang 12mm 2.0 NCS CS für Fujifilm X schwarz (1220510101)</t>
  </si>
  <si>
    <t>Nikon AF-S VR 300mm 2.8G IF-ED II schwarz (JAA339DA)</t>
  </si>
  <si>
    <t>Pentax smc DFA 100mm 2.8 Makro WR schwarz (21910)</t>
  </si>
  <si>
    <t>Sigma Art AF 14mm 1.8 DG HSM für Nikon F schwarz (450955)</t>
  </si>
  <si>
    <t>Meike 6.5mm 2.0 Fisheye für Sony E schwarz -- via Amazon Partnerprogramm</t>
  </si>
  <si>
    <t>Sigma Art AF 12-24mm 4.0 DG HSM für Nikon F schwarz (205955)</t>
  </si>
  <si>
    <t>Zeiss Batis 85mm 1.8 für Sony E schwarz (2103-751)</t>
  </si>
  <si>
    <t>Nikon AF-S VR DX 18-55mm 3.5-5.6G II schwarz (JAA820DA)</t>
  </si>
  <si>
    <t>Meike 28mm 2.8 für Sony E schwarz -- via Amazon Partnerprogramm</t>
  </si>
  <si>
    <t>Meike 35mm 1.7 für Sony E schwarz -- via Amazon Partnerprogramm</t>
  </si>
  <si>
    <t>Sigma Art AF 24-35mm 2.0 DG HSM für Nikon F schwarz</t>
  </si>
  <si>
    <t>Laowa 60mm 2.8 2:1 Ultra-Macro für Canon EF schwarz</t>
  </si>
  <si>
    <t>Sigma AF 150mm 2.8 EX DG APO HSM OS Makro für Nikon F schwarz -- via Amazon Partnerprogramm</t>
  </si>
  <si>
    <t>Nikon AF-P DX 70-300mm 4.5-6.3G ED schwarz (JAA828DA)</t>
  </si>
  <si>
    <t>Samyang 85mm T1.5 AS IF UMC II VDSLR für Micro-Four-Thirds schwarz</t>
  </si>
  <si>
    <t>Canon EF 500mm 4.0 L IS II USM weiß (5124B005)</t>
  </si>
  <si>
    <t>Fujifilm XF 18mm 2.0 R schwarz (4004396)</t>
  </si>
  <si>
    <t>SainSonic Kamlan 50mm 1.1 für Sony E -- via Amazon Partnerprogramm</t>
  </si>
  <si>
    <t>Canon EF 24mm 2.8 IS USM schwarz (5345B005)</t>
  </si>
  <si>
    <t>Sigma AF 180mm 2.8 EX DG APO HSM OS Makro für Nikon F schwarz (107955)</t>
  </si>
  <si>
    <t>Sigma Art AF 18-35mm 1.8 DC HSM IF für Sigma schwarz (210110)</t>
  </si>
  <si>
    <t>Sony E 28-135mm 4.0 G PZ OSS schwarz (SEL-P28135G)</t>
  </si>
  <si>
    <t>Samyang 10mm 2.8 ED AS NCS CS für Micro-Four-Thirds schwarz</t>
  </si>
  <si>
    <t>Pentax HD DA 55-300mm 4.5-6.3 ED PLM WR RE schwarz (21277)</t>
  </si>
  <si>
    <t>Pentax HD DFA 28-105mm 3.5-5.6 ED DC WR schwarz (21297)</t>
  </si>
  <si>
    <t>Tamron SP AF 85mm 1.8 Di VC USD für Nikon F schwarz (F016N)</t>
  </si>
  <si>
    <t>Zeiss Batis 18mm 2.8 für Sony E schwarz (2136-691)</t>
  </si>
  <si>
    <t>Sigma Contemporary AF 30mm 1.4 DC DN für Micro-Four-Thirds schwarz (302963)</t>
  </si>
  <si>
    <t>Nikon AF-S 58mm 1.4G schwarz (JAA136DA)</t>
  </si>
  <si>
    <t>Nikon AF-S VR 600mm 4.0E FL ED schwarz (JAA534DA)</t>
  </si>
  <si>
    <t>Samyang 20mm 1.8 ED AS UMC für Sony E schwarz (1113506101)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</si>
  <si>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</si>
  <si>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</si>
  <si>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</si>
  <si>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</si>
  <si>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</si>
  <si>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</si>
  <si>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</si>
  <si>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</si>
  <si>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</si>
  <si>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</si>
  <si>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</si>
  <si>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</si>
  <si>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</si>
  <si>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</si>
  <si>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</si>
  <si>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</si>
  <si>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</si>
  <si>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</si>
  <si>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</si>
  <si>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</si>
  <si>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</si>
  <si>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</si>
  <si>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</si>
  <si>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</si>
  <si>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</si>
  <si>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</si>
  <si>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</si>
  <si>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</si>
  <si>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</si>
  <si>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</si>
  <si>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</si>
  <si>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</si>
  <si>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</si>
  <si>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</si>
  <si>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</si>
  <si>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</si>
  <si>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nein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</si>
  <si>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</si>
  <si>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</si>
  <si>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</si>
  <si>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</si>
  <si>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</si>
  <si>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</si>
  <si>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</si>
  <si>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</si>
  <si>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</si>
  <si>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</si>
  <si>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</si>
  <si>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</si>
  <si>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</si>
  <si>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</si>
  <si>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</si>
  <si>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</si>
  <si>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</si>
  <si>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</si>
  <si>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</si>
  <si>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</si>
  <si>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</si>
  <si>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</si>
  <si>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1.40kg</t>
  </si>
  <si>
    <t>1:9.09</t>
  </si>
  <si>
    <t>427g</t>
  </si>
  <si>
    <t>1.49kg</t>
  </si>
  <si>
    <t>1:4.80</t>
  </si>
  <si>
    <t>1.43kg</t>
  </si>
  <si>
    <t>159g</t>
  </si>
  <si>
    <t>1:5.00</t>
  </si>
  <si>
    <t>426g</t>
  </si>
  <si>
    <t>1.57kg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</si>
  <si>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</si>
  <si>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</si>
  <si>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</si>
  <si>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</si>
  <si>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</si>
  <si>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</si>
  <si>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</si>
  <si>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</si>
  <si>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</si>
  <si>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</si>
  <si>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</si>
  <si>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</si>
  <si>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</si>
  <si>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</si>
  <si>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</si>
  <si>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</si>
  <si>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</si>
  <si>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</si>
  <si>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</si>
  <si>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</si>
  <si>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</si>
  <si>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</si>
  <si>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</si>
  <si>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</si>
  <si>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</si>
  <si>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</si>
  <si>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</si>
  <si>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</si>
  <si>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</si>
  <si>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</si>
  <si>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</si>
  <si>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</si>
  <si>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</si>
  <si>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</si>
  <si>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1.07kg</t>
  </si>
  <si>
    <t>1.54kg</t>
  </si>
  <si>
    <t>1.02kg</t>
  </si>
  <si>
    <t>281g</t>
  </si>
  <si>
    <t>1.48kg</t>
  </si>
  <si>
    <t>240g</t>
  </si>
  <si>
    <t>518g</t>
  </si>
  <si>
    <t>905g</t>
  </si>
  <si>
    <t>1:2.94</t>
  </si>
  <si>
    <t>1:5.55</t>
  </si>
  <si>
    <t>1.50kg</t>
  </si>
  <si>
    <t>1:3.45</t>
  </si>
  <si>
    <t>375g</t>
  </si>
  <si>
    <t>Fujifilm X</t>
  </si>
  <si>
    <t>410g</t>
  </si>
  <si>
    <t>1:5.56</t>
  </si>
  <si>
    <t>1.00kg</t>
  </si>
  <si>
    <t>2.30kg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</si>
  <si>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</si>
  <si>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</si>
  <si>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</si>
  <si>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</si>
  <si>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</si>
  <si>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</si>
  <si>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</si>
  <si>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</si>
  <si>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</si>
  <si>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1.10kg</t>
  </si>
  <si>
    <t>Canon EF-M</t>
  </si>
  <si>
    <t>561g</t>
  </si>
  <si>
    <t>1:8.00</t>
  </si>
  <si>
    <t>1:7.70</t>
  </si>
  <si>
    <t>1.93kg</t>
  </si>
  <si>
    <t>1:3.65</t>
  </si>
  <si>
    <t>1:4.20</t>
  </si>
  <si>
    <t>534g</t>
  </si>
  <si>
    <t>120g</t>
  </si>
  <si>
    <t>357g</t>
  </si>
  <si>
    <t>1:8.50</t>
  </si>
  <si>
    <t>1.13kg</t>
  </si>
  <si>
    <t>1:7.41</t>
  </si>
  <si>
    <t>87g</t>
  </si>
  <si>
    <t>1:3.85</t>
  </si>
  <si>
    <t>1.16kg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</si>
  <si>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</si>
  <si>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</si>
  <si>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</si>
  <si>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</si>
  <si>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</si>
  <si>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</si>
  <si>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</si>
  <si>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</si>
  <si>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</si>
  <si>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</si>
  <si>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</si>
  <si>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</si>
  <si>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1.44kg</t>
  </si>
  <si>
    <t>2.86kg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</si>
  <si>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</si>
  <si>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</si>
  <si>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</si>
  <si>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</si>
  <si>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</si>
  <si>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</si>
  <si>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</si>
  <si>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</si>
  <si>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1.38kg</t>
  </si>
  <si>
    <t>Pentax K</t>
  </si>
  <si>
    <t>1:7.10</t>
  </si>
  <si>
    <t>Samsung NX</t>
  </si>
  <si>
    <t>111g</t>
  </si>
  <si>
    <t>1:3.90</t>
  </si>
  <si>
    <t>571g</t>
  </si>
  <si>
    <t>1:8.60</t>
  </si>
  <si>
    <t>719g</t>
  </si>
  <si>
    <t>1:4.90</t>
  </si>
  <si>
    <t>1.15kg</t>
  </si>
  <si>
    <t>nicht</t>
  </si>
  <si>
    <t>1:7.80</t>
  </si>
  <si>
    <t>1:3.10</t>
  </si>
  <si>
    <t>1.97kg</t>
  </si>
  <si>
    <t>1:2.90</t>
  </si>
  <si>
    <t>1:17.40</t>
  </si>
  <si>
    <t>Leica M</t>
  </si>
  <si>
    <t>250g</t>
  </si>
  <si>
    <t>955g</t>
  </si>
  <si>
    <t>Verwendung</t>
  </si>
  <si>
    <t>1:11.11</t>
  </si>
  <si>
    <t>1.65kg</t>
  </si>
  <si>
    <t>39mm</t>
  </si>
  <si>
    <t>1:11.50</t>
  </si>
  <si>
    <t>360g</t>
  </si>
  <si>
    <t>1:5.10</t>
  </si>
  <si>
    <t>1.24kg</t>
  </si>
  <si>
    <t>1:3.00</t>
  </si>
  <si>
    <t>1:5.60</t>
  </si>
  <si>
    <t>365g</t>
  </si>
  <si>
    <t>1:4.55</t>
  </si>
  <si>
    <t>445g</t>
  </si>
  <si>
    <t>115g</t>
  </si>
  <si>
    <t>1.67kg</t>
  </si>
  <si>
    <t>720g</t>
  </si>
  <si>
    <t>1:1.92</t>
  </si>
  <si>
    <t>1:8.10</t>
  </si>
  <si>
    <t>2.98kg</t>
  </si>
  <si>
    <t>1:7.50</t>
  </si>
  <si>
    <t>2.40kg</t>
  </si>
  <si>
    <t>1:4.10</t>
  </si>
  <si>
    <t>90g</t>
  </si>
  <si>
    <t>1:16.70</t>
  </si>
  <si>
    <t>118g</t>
  </si>
  <si>
    <t>1:5.20</t>
  </si>
  <si>
    <t>95mm,</t>
  </si>
  <si>
    <t>653g</t>
  </si>
  <si>
    <t>3.39kg</t>
  </si>
  <si>
    <t>1:11.60</t>
  </si>
  <si>
    <t>89g</t>
  </si>
  <si>
    <t>220g</t>
  </si>
  <si>
    <t>685g</t>
  </si>
  <si>
    <t>1:3.50</t>
  </si>
  <si>
    <t>1.64kg</t>
  </si>
  <si>
    <t>1.19kg</t>
  </si>
  <si>
    <t>1.31kg</t>
  </si>
  <si>
    <t>1:0.20</t>
  </si>
  <si>
    <t>122g</t>
  </si>
  <si>
    <t>Filterhalter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</si>
  <si>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</si>
  <si>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</si>
  <si>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</si>
  <si>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</si>
  <si>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</si>
  <si>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</si>
  <si>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</si>
  <si>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</si>
  <si>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</si>
  <si>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</si>
  <si>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</si>
  <si>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</si>
  <si>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</si>
  <si>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</si>
  <si>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</si>
  <si>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</si>
  <si>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1.91kg</t>
  </si>
  <si>
    <t>1.75kg</t>
  </si>
  <si>
    <t>1:6.7</t>
  </si>
  <si>
    <t>4.59kg</t>
  </si>
  <si>
    <t>527g</t>
  </si>
  <si>
    <t>1:10.40</t>
  </si>
  <si>
    <t>1:4.54</t>
  </si>
  <si>
    <t>198g</t>
  </si>
  <si>
    <t>1.95kg</t>
  </si>
  <si>
    <t>212g</t>
  </si>
  <si>
    <t>1:2.56</t>
  </si>
  <si>
    <t>1:2.70</t>
  </si>
  <si>
    <t>915g</t>
  </si>
  <si>
    <t>298g</t>
  </si>
  <si>
    <t>Gelatinefilter</t>
  </si>
  <si>
    <t>1:2.50</t>
  </si>
  <si>
    <t>1:3.13</t>
  </si>
  <si>
    <t>1.84kg</t>
  </si>
  <si>
    <t>1.04kg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</si>
  <si>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</si>
  <si>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</si>
  <si>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</si>
  <si>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</si>
  <si>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</si>
  <si>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</si>
  <si>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</si>
  <si>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</si>
  <si>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</si>
  <si>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</si>
  <si>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</si>
  <si>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</si>
  <si>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</si>
  <si>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1.61kg</t>
  </si>
  <si>
    <t>1:12.50</t>
  </si>
  <si>
    <t>3.27kg</t>
  </si>
  <si>
    <t>75g</t>
  </si>
  <si>
    <t>4.50kg</t>
  </si>
  <si>
    <t>83g</t>
  </si>
  <si>
    <t>Leica L</t>
  </si>
  <si>
    <t>137g</t>
  </si>
  <si>
    <t>3.92kg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</si>
  <si>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</si>
  <si>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</si>
  <si>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</si>
  <si>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</si>
  <si>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</si>
  <si>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</si>
  <si>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</si>
  <si>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</si>
  <si>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15.70kg</t>
  </si>
  <si>
    <t>214g</t>
  </si>
  <si>
    <t>134g</t>
  </si>
  <si>
    <t>189g</t>
  </si>
  <si>
    <t>1.09kg</t>
  </si>
  <si>
    <t>1:6.71</t>
  </si>
  <si>
    <t>3.85kg</t>
  </si>
  <si>
    <t>1:1.6</t>
  </si>
  <si>
    <t>1:13.00</t>
  </si>
  <si>
    <t>3.62kg</t>
  </si>
  <si>
    <t>175g</t>
  </si>
  <si>
    <t>1:6.30</t>
  </si>
  <si>
    <t>4.62kg</t>
  </si>
  <si>
    <t>5.06kg</t>
  </si>
  <si>
    <t>1:6.90</t>
  </si>
  <si>
    <t>3.88kg</t>
  </si>
  <si>
    <t>1.05kg</t>
  </si>
  <si>
    <t>42mm</t>
  </si>
  <si>
    <t>3.46kg</t>
  </si>
  <si>
    <t>590g</t>
  </si>
  <si>
    <t>112g</t>
  </si>
  <si>
    <t>135g</t>
  </si>
  <si>
    <t>kein</t>
  </si>
  <si>
    <t>1:2.63</t>
  </si>
  <si>
    <t>516g</t>
  </si>
  <si>
    <t>30x30mm</t>
  </si>
  <si>
    <t>1:3.40</t>
  </si>
  <si>
    <t>453g</t>
  </si>
  <si>
    <t>1:4.73</t>
  </si>
  <si>
    <t>1.01kg</t>
  </si>
  <si>
    <t>3.36kg</t>
  </si>
  <si>
    <t>283g</t>
  </si>
  <si>
    <t>1:16.66</t>
  </si>
  <si>
    <t>Mittelformat</t>
  </si>
  <si>
    <t>5.88kg</t>
  </si>
  <si>
    <t>1:4.5</t>
  </si>
  <si>
    <t>3.15kg</t>
  </si>
  <si>
    <t>2.93kg</t>
  </si>
  <si>
    <t>E46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</si>
  <si>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</si>
  <si>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</si>
  <si>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</si>
  <si>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</si>
  <si>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</si>
  <si>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</si>
  <si>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</si>
  <si>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</si>
  <si>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</si>
  <si>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</si>
  <si>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</si>
  <si>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</si>
  <si>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</si>
  <si>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</si>
  <si>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</si>
  <si>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</si>
  <si>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</si>
  <si>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</si>
  <si>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1.17kg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</si>
  <si>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</si>
  <si>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</si>
  <si>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</si>
  <si>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</si>
  <si>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</si>
  <si>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</si>
  <si>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</si>
  <si>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</si>
  <si>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</si>
  <si>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3.31kg</t>
  </si>
  <si>
    <t>1:8.0-1:16.0</t>
  </si>
  <si>
    <t>2.00kg</t>
  </si>
  <si>
    <t>162g</t>
  </si>
  <si>
    <t>877g</t>
  </si>
  <si>
    <t>1:5.80</t>
  </si>
  <si>
    <t>1.30kg</t>
  </si>
  <si>
    <t>1.20kg</t>
  </si>
  <si>
    <t>1:18.18</t>
  </si>
  <si>
    <t>Pentax Q</t>
  </si>
  <si>
    <t>1:17.50</t>
  </si>
  <si>
    <t>1:2.9</t>
  </si>
  <si>
    <t>980g</t>
  </si>
  <si>
    <t>1:11.30</t>
  </si>
  <si>
    <t>1:2.6</t>
  </si>
  <si>
    <t>1.18kg</t>
  </si>
  <si>
    <t>PL</t>
  </si>
  <si>
    <t>974g</t>
  </si>
  <si>
    <t>872g</t>
  </si>
  <si>
    <t>1.36kg</t>
  </si>
  <si>
    <t>1.32kg</t>
  </si>
  <si>
    <t>1:2.2</t>
  </si>
  <si>
    <t>1.39kg</t>
  </si>
  <si>
    <t>1.41kg</t>
  </si>
  <si>
    <t>1.35kg</t>
  </si>
  <si>
    <t>1.25kg</t>
  </si>
  <si>
    <t>102g</t>
  </si>
  <si>
    <t>1:8.85</t>
  </si>
  <si>
    <t>176g</t>
  </si>
  <si>
    <t>188g</t>
  </si>
  <si>
    <t>1:8.80</t>
  </si>
  <si>
    <t>4.90kg</t>
  </si>
  <si>
    <t>1:2.7-1:3.5</t>
  </si>
  <si>
    <t>583g</t>
  </si>
  <si>
    <t>1.03kg</t>
  </si>
  <si>
    <t>ca.</t>
  </si>
  <si>
    <t>1:21.90</t>
  </si>
  <si>
    <t>1:12.05</t>
  </si>
  <si>
    <t>1.14kg</t>
  </si>
  <si>
    <t>770g</t>
  </si>
  <si>
    <t>715g</t>
  </si>
  <si>
    <t>726g</t>
  </si>
  <si>
    <t>1.71kg</t>
  </si>
  <si>
    <t>775g</t>
  </si>
  <si>
    <t>2.01kg</t>
  </si>
  <si>
    <t>77g</t>
  </si>
  <si>
    <t>1:4.40</t>
  </si>
  <si>
    <t>1:0.50</t>
  </si>
  <si>
    <t>503g</t>
  </si>
  <si>
    <t>1:6.15</t>
  </si>
  <si>
    <t>870g</t>
  </si>
  <si>
    <t>1.26kg</t>
  </si>
  <si>
    <t>595g</t>
  </si>
  <si>
    <t>1:4.70</t>
  </si>
  <si>
    <t>Leica S</t>
  </si>
  <si>
    <t>1:2.10</t>
  </si>
  <si>
    <t>1.135kg</t>
  </si>
  <si>
    <t>1.150kg</t>
  </si>
  <si>
    <t>690g</t>
  </si>
  <si>
    <t>695g</t>
  </si>
  <si>
    <t>52g</t>
  </si>
  <si>
    <t>851g</t>
  </si>
  <si>
    <t>649g</t>
  </si>
  <si>
    <t>1.21kg</t>
  </si>
  <si>
    <t>3.80kg</t>
  </si>
  <si>
    <t>1:4.82</t>
  </si>
  <si>
    <t>1:3.0</t>
  </si>
  <si>
    <t>614g</t>
  </si>
  <si>
    <t>552g</t>
  </si>
  <si>
    <t>34mm</t>
  </si>
  <si>
    <t>1.06kg</t>
  </si>
  <si>
    <t>integriert</t>
  </si>
  <si>
    <t>1:12.60</t>
  </si>
  <si>
    <t>Leica T</t>
  </si>
  <si>
    <t>154g</t>
  </si>
  <si>
    <t>256g</t>
  </si>
  <si>
    <t>1:8.20</t>
  </si>
  <si>
    <t>1.11kg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</si>
  <si>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</si>
  <si>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</si>
  <si>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</si>
  <si>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</si>
  <si>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</si>
  <si>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</si>
  <si>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</si>
  <si>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</si>
  <si>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</si>
  <si>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</si>
  <si>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</si>
  <si>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</si>
  <si>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</si>
  <si>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</si>
  <si>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</si>
  <si>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</si>
  <si>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</si>
  <si>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</si>
  <si>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</si>
  <si>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</si>
  <si>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</si>
  <si>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2.10kg</t>
  </si>
  <si>
    <t>203g</t>
  </si>
  <si>
    <t>68mm</t>
  </si>
  <si>
    <t>1:5.43</t>
  </si>
  <si>
    <t>990g</t>
  </si>
  <si>
    <t>935g</t>
  </si>
  <si>
    <t>222g</t>
  </si>
  <si>
    <t>499g</t>
  </si>
  <si>
    <t>462g</t>
  </si>
  <si>
    <t>544g</t>
  </si>
  <si>
    <t>112mm</t>
  </si>
  <si>
    <t>3.04kg</t>
  </si>
  <si>
    <t>835g</t>
  </si>
  <si>
    <t>25.5mm</t>
  </si>
  <si>
    <t>T2</t>
  </si>
  <si>
    <t>74mm</t>
  </si>
  <si>
    <t>596g</t>
  </si>
  <si>
    <t>1:8.3</t>
  </si>
  <si>
    <t>M58</t>
  </si>
  <si>
    <t>1:7.81</t>
  </si>
  <si>
    <t>394g</t>
  </si>
  <si>
    <t>Samsung NX-M</t>
  </si>
  <si>
    <t>31g</t>
  </si>
  <si>
    <t>1.34kg</t>
  </si>
  <si>
    <t>1.47kg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</si>
  <si>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</si>
  <si>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</si>
  <si>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</si>
  <si>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</si>
  <si>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</si>
  <si>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</si>
  <si>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</si>
  <si>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</si>
  <si>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</si>
  <si>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</si>
  <si>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</si>
  <si>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1.76kg</t>
  </si>
  <si>
    <t>882g</t>
  </si>
  <si>
    <t>3.09kg</t>
  </si>
  <si>
    <t>497g</t>
  </si>
  <si>
    <t>493g</t>
  </si>
  <si>
    <t>294g</t>
  </si>
  <si>
    <t>Hasselblad H</t>
  </si>
  <si>
    <t>1:3.4</t>
  </si>
  <si>
    <t>1:29.80</t>
  </si>
  <si>
    <t>279g</t>
  </si>
  <si>
    <t>E39</t>
  </si>
  <si>
    <t>1:14.10</t>
  </si>
  <si>
    <t>35.5mm</t>
  </si>
  <si>
    <t xml:space="preserve">APS-C/ Kleinbild </t>
  </si>
  <si>
    <t>1.12kg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</si>
  <si>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</si>
  <si>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</si>
  <si>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</si>
  <si>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</si>
  <si>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</si>
  <si>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</si>
  <si>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</si>
  <si>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</si>
  <si>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</si>
  <si>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</si>
  <si>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</si>
  <si>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</si>
  <si>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</si>
  <si>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</si>
  <si>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1:8.90</t>
  </si>
  <si>
    <t>1:9.90</t>
  </si>
  <si>
    <t>1:11.10</t>
  </si>
  <si>
    <t>930g</t>
  </si>
  <si>
    <t>1:20.40</t>
  </si>
  <si>
    <t>1:34.60</t>
  </si>
  <si>
    <t>1.27kg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</si>
  <si>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</si>
  <si>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</si>
  <si>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</si>
  <si>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</si>
  <si>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</si>
  <si>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</si>
  <si>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</si>
  <si>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</si>
  <si>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</si>
  <si>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</si>
  <si>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</si>
  <si>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</si>
  <si>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</si>
  <si>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</si>
  <si>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</si>
  <si>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</si>
  <si>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Folienfilterhalter</t>
  </si>
  <si>
    <t>Filterhalterung</t>
  </si>
  <si>
    <t>69g</t>
  </si>
  <si>
    <t>124g</t>
  </si>
  <si>
    <t>466g</t>
  </si>
  <si>
    <t>1:5.59</t>
  </si>
  <si>
    <t>1:4.94</t>
  </si>
  <si>
    <t>1:4.8-1:6.7</t>
  </si>
  <si>
    <t>423g</t>
  </si>
  <si>
    <t>2.90kg</t>
  </si>
  <si>
    <t>1:7.90</t>
  </si>
  <si>
    <t>3.19kg</t>
  </si>
  <si>
    <t>248g</t>
  </si>
  <si>
    <t>442g</t>
  </si>
  <si>
    <t>1:9.50</t>
  </si>
  <si>
    <t>3.81kg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</si>
  <si>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</si>
  <si>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</si>
  <si>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</si>
  <si>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</si>
  <si>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</si>
  <si>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</si>
  <si>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</si>
  <si>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</si>
  <si>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</si>
  <si>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</si>
  <si>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</si>
  <si>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</si>
  <si>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</si>
  <si>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</si>
  <si>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</si>
  <si>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</si>
  <si>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</si>
  <si>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</si>
  <si>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</si>
  <si>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</si>
  <si>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</si>
  <si>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</si>
  <si>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</si>
  <si>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</si>
  <si>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</si>
  <si>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</si>
  <si>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</si>
  <si>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</si>
  <si>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</si>
  <si>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</si>
  <si>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</si>
  <si>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</si>
  <si>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</si>
  <si>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</si>
  <si>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</si>
  <si>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</si>
  <si>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</si>
  <si>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</si>
  <si>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</si>
  <si>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</si>
  <si>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</si>
  <si>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</si>
  <si>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</si>
  <si>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</si>
  <si>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</si>
  <si>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</si>
  <si>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</si>
  <si>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</si>
  <si>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</si>
  <si>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</si>
  <si>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</si>
  <si>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</si>
  <si>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</si>
  <si>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</si>
  <si>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</si>
  <si>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</si>
  <si>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</si>
  <si>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</si>
  <si>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</si>
  <si>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</si>
  <si>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</si>
  <si>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</si>
  <si>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</si>
  <si>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</si>
  <si>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</si>
  <si>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</si>
  <si>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</si>
  <si>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</si>
  <si>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</si>
  <si>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</si>
  <si>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</si>
  <si>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</si>
  <si>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</si>
  <si>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</si>
  <si>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</si>
  <si>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</si>
  <si>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</si>
  <si>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</si>
  <si>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</si>
  <si>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</si>
  <si>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</si>
  <si>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</si>
  <si>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</si>
  <si>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</si>
  <si>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</si>
  <si>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</si>
  <si>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</si>
  <si>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</si>
  <si>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</si>
  <si>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</si>
  <si>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</si>
  <si>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</si>
  <si>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</si>
  <si>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</si>
  <si>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</si>
  <si>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</si>
  <si>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</si>
  <si>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</si>
  <si>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</si>
  <si>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</si>
  <si>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</si>
  <si>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</si>
  <si>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</si>
  <si>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</si>
  <si>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</si>
  <si>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</si>
  <si>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</si>
  <si>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</si>
  <si>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</si>
  <si>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</si>
  <si>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</si>
  <si>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</si>
  <si>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</si>
  <si>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</si>
  <si>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</si>
  <si>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</si>
  <si>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</si>
  <si>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</si>
  <si>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</si>
  <si>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</si>
  <si>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</si>
  <si>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</si>
  <si>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</si>
  <si>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62 x 43.5mm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</si>
  <si>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</si>
  <si>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</si>
  <si>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</si>
  <si>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</si>
  <si>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</si>
  <si>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</si>
  <si>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</si>
  <si>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65 x 31mm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</si>
  <si>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</si>
  <si>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</si>
  <si>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</si>
  <si>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</si>
  <si>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</si>
  <si>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</si>
  <si>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</si>
  <si>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</si>
  <si>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</si>
  <si>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</si>
  <si>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</si>
  <si>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</si>
  <si>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</si>
  <si>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</si>
  <si>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</si>
  <si>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83.5 x 69mm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</si>
  <si>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</si>
  <si>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</si>
  <si>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</si>
  <si>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</si>
  <si>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</si>
  <si>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</si>
  <si>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</si>
  <si>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</si>
  <si>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</si>
  <si>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</si>
  <si>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74.1 x 84.1mm</t>
  </si>
  <si>
    <t>57.5 x 42mm</t>
  </si>
  <si>
    <t>60 x 61mm</t>
  </si>
  <si>
    <t>92 x 184mm</t>
  </si>
  <si>
    <t>82.4 x 99.9mm</t>
  </si>
  <si>
    <t>73.5 x 86.5mm</t>
  </si>
  <si>
    <t>71 x 61.5mm</t>
  </si>
  <si>
    <t>73.0 x 75.5mm</t>
  </si>
  <si>
    <t>114.4 x 289.2mm</t>
  </si>
  <si>
    <t>73 x 98.5mm</t>
  </si>
  <si>
    <t>119 x 214.5mm</t>
  </si>
  <si>
    <t>76.6 x 119.5mm</t>
  </si>
  <si>
    <t>76.6 x 122mm</t>
  </si>
  <si>
    <t>64 x 15mm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</si>
  <si>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</si>
  <si>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</si>
  <si>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</si>
  <si>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</si>
  <si>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</si>
  <si>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</si>
  <si>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</si>
  <si>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</si>
  <si>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</si>
  <si>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</si>
  <si>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</si>
  <si>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</si>
  <si>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</si>
  <si>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</si>
  <si>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</si>
  <si>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</si>
  <si>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</si>
  <si>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</si>
  <si>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</si>
  <si>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</si>
  <si>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79.6 x 101mm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</si>
  <si>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</si>
  <si>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</si>
  <si>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</si>
  <si>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</si>
  <si>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</si>
  <si>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</si>
  <si>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</si>
  <si>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</si>
  <si>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</si>
  <si>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</si>
  <si>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</si>
  <si>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</si>
  <si>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</si>
  <si>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</si>
  <si>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</si>
  <si>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</si>
  <si>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</si>
  <si>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</si>
  <si>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</si>
  <si>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</si>
  <si>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</si>
  <si>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</si>
  <si>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</si>
  <si>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</si>
  <si>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</si>
  <si>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</si>
  <si>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</si>
  <si>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</si>
  <si>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</si>
  <si>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</si>
  <si>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</si>
  <si>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</si>
  <si>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</si>
  <si>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</si>
  <si>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</si>
  <si>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</si>
  <si>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</si>
  <si>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</si>
  <si>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</si>
  <si>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</si>
  <si>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</si>
  <si>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</si>
  <si>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</si>
  <si>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70 x 100.5mm</t>
  </si>
  <si>
    <t>73 x 83.7mm</t>
  </si>
  <si>
    <t>71.5 x 97mm</t>
  </si>
  <si>
    <t>70 x 83mm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</si>
  <si>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</si>
  <si>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</si>
  <si>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</si>
  <si>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</si>
  <si>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</si>
  <si>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</si>
  <si>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</si>
  <si>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</si>
  <si>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</si>
  <si>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</si>
  <si>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</si>
  <si>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</si>
  <si>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</si>
  <si>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</si>
  <si>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</si>
  <si>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</si>
  <si>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</si>
  <si>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</si>
  <si>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</si>
  <si>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</si>
  <si>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</si>
  <si>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</si>
  <si>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</si>
  <si>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</si>
  <si>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</si>
  <si>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62 x 45mm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</si>
  <si>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</si>
  <si>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</si>
  <si>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</si>
  <si>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</si>
  <si>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</si>
  <si>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</si>
  <si>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</si>
  <si>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</si>
  <si>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</si>
  <si>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</si>
  <si>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</si>
  <si>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</si>
  <si>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</si>
  <si>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</si>
  <si>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</si>
  <si>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</si>
  <si>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</si>
  <si>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</si>
  <si>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</si>
  <si>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</si>
  <si>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</si>
  <si>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</si>
  <si>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</si>
  <si>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</si>
  <si>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</si>
  <si>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</si>
  <si>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</si>
  <si>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</si>
  <si>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</si>
  <si>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</si>
  <si>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</si>
  <si>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</si>
  <si>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</si>
  <si>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</si>
  <si>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</si>
  <si>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</si>
  <si>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</si>
  <si>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</si>
  <si>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</si>
  <si>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</si>
  <si>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</si>
  <si>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</si>
  <si>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</si>
  <si>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</si>
  <si>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</si>
  <si>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</si>
  <si>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124 x 276mm</t>
  </si>
  <si>
    <t>62 x 63.5mm</t>
  </si>
  <si>
    <t>63 x 40mm</t>
  </si>
  <si>
    <t>62 x 67.5mm</t>
  </si>
  <si>
    <t>65 x 42.5mm</t>
  </si>
  <si>
    <t>61.5 x 24mm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</si>
  <si>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</si>
  <si>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</si>
  <si>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</si>
  <si>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</si>
  <si>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</si>
  <si>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</si>
  <si>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</si>
  <si>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</si>
  <si>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</si>
  <si>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</si>
  <si>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</si>
  <si>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</si>
  <si>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</si>
  <si>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</si>
  <si>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</si>
  <si>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</si>
  <si>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</si>
  <si>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</si>
  <si>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</si>
  <si>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</si>
  <si>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</si>
  <si>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</si>
  <si>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</si>
  <si>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</si>
  <si>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</si>
  <si>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</si>
  <si>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</si>
  <si>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</si>
  <si>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</si>
  <si>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</si>
  <si>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</si>
  <si>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</si>
  <si>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</si>
  <si>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</si>
  <si>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</si>
  <si>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</si>
  <si>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</si>
  <si>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</si>
  <si>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</si>
  <si>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</si>
  <si>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</si>
  <si>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</si>
  <si>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</si>
  <si>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</si>
  <si>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</si>
  <si>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</si>
  <si>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</si>
  <si>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</si>
  <si>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</si>
  <si>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</si>
  <si>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</si>
  <si>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</si>
  <si>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</si>
  <si>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</si>
  <si>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</si>
  <si>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</si>
  <si>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</si>
  <si>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</si>
  <si>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</si>
  <si>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</si>
  <si>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</si>
  <si>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</si>
  <si>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</si>
  <si>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</si>
  <si>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</si>
  <si>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</si>
  <si>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</si>
  <si>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</si>
  <si>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</si>
  <si>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</si>
  <si>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</si>
  <si>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</si>
  <si>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</si>
  <si>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</si>
  <si>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</si>
  <si>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</si>
  <si>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</si>
  <si>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</si>
  <si>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</si>
  <si>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</si>
  <si>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</si>
  <si>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</si>
  <si>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</si>
  <si>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</si>
  <si>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</si>
  <si>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</si>
  <si>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</si>
  <si>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</si>
  <si>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</si>
  <si>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</si>
  <si>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</si>
  <si>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</si>
  <si>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</si>
  <si>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</si>
  <si>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</si>
  <si>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</si>
  <si>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</si>
  <si>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</si>
  <si>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</si>
  <si>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</si>
  <si>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</si>
  <si>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</si>
  <si>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</si>
  <si>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</si>
  <si>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</si>
  <si>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</si>
  <si>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</si>
  <si>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</si>
  <si>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</si>
  <si>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</si>
  <si>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</si>
  <si>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</si>
  <si>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</si>
  <si>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</si>
  <si>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</si>
  <si>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</si>
  <si>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</si>
  <si>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</si>
  <si>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</si>
  <si>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</si>
  <si>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</si>
  <si>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</si>
  <si>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</si>
  <si>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</si>
  <si>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</si>
  <si>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</si>
  <si>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</si>
  <si>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</si>
  <si>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</si>
  <si>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</si>
  <si>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</si>
  <si>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</si>
  <si>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</si>
  <si>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</si>
  <si>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</si>
  <si>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</si>
  <si>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</si>
  <si>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</si>
  <si>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</si>
  <si>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</si>
  <si>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</si>
  <si>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</si>
  <si>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</si>
  <si>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</si>
  <si>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</si>
  <si>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</si>
  <si>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</si>
  <si>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</si>
  <si>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</si>
  <si>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</si>
  <si>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</si>
  <si>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</si>
  <si>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</si>
  <si>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</si>
  <si>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</si>
  <si>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</si>
  <si>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</si>
  <si>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</si>
  <si>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</si>
  <si>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</si>
  <si>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</si>
  <si>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</si>
  <si>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</si>
  <si>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</si>
  <si>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</si>
  <si>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</si>
  <si>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</si>
  <si>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</si>
  <si>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</si>
  <si>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</si>
  <si>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</si>
  <si>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</si>
  <si>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</si>
  <si>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</si>
  <si>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</si>
  <si>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</si>
  <si>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</si>
  <si>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</si>
  <si>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</si>
  <si>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</si>
  <si>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</si>
  <si>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</si>
  <si>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</si>
  <si>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</si>
  <si>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</si>
  <si>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</si>
  <si>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</si>
  <si>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</si>
  <si>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</si>
  <si>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</si>
  <si>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</si>
  <si>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</si>
  <si>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</si>
  <si>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58.2 x 65mm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</si>
  <si>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</si>
  <si>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</si>
  <si>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</si>
  <si>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</si>
  <si>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</si>
  <si>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</si>
  <si>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</si>
  <si>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</si>
  <si>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</si>
  <si>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</si>
  <si>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</si>
  <si>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</si>
  <si>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</si>
  <si>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</si>
  <si>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</si>
  <si>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</si>
  <si>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</si>
  <si>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</si>
  <si>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</si>
  <si>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</si>
  <si>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</si>
  <si>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</si>
  <si>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</si>
  <si>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</si>
  <si>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</si>
  <si>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</si>
  <si>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</si>
  <si>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</si>
  <si>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</si>
  <si>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</si>
  <si>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</si>
  <si>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</si>
  <si>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</si>
  <si>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</si>
  <si>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</si>
  <si>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</si>
  <si>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</si>
  <si>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</si>
  <si>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</si>
  <si>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</si>
  <si>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</si>
  <si>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</si>
  <si>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</si>
  <si>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</si>
  <si>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</si>
  <si>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</si>
  <si>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</si>
  <si>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</si>
  <si>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</si>
  <si>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</si>
  <si>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</si>
  <si>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</si>
  <si>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</si>
  <si>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</si>
  <si>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</si>
  <si>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</si>
  <si>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</si>
  <si>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</si>
  <si>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</si>
  <si>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</si>
  <si>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</si>
  <si>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</si>
  <si>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</si>
  <si>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</si>
  <si>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</si>
  <si>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</si>
  <si>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</si>
  <si>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</si>
  <si>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</si>
  <si>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</si>
  <si>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</si>
  <si>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</si>
  <si>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</si>
  <si>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</si>
  <si>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</si>
  <si>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</si>
  <si>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</si>
  <si>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</si>
  <si>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</si>
  <si>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</si>
  <si>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</si>
  <si>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</si>
  <si>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</si>
  <si>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</si>
  <si>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</si>
  <si>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</si>
  <si>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</si>
  <si>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</si>
  <si>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</si>
  <si>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</si>
  <si>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</si>
  <si>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</si>
  <si>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</si>
  <si>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</si>
  <si>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</si>
  <si>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</si>
  <si>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</si>
  <si>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</si>
  <si>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</si>
  <si>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</si>
  <si>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</si>
  <si>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</si>
  <si>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</si>
  <si>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</si>
  <si>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</si>
  <si>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</si>
  <si>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</si>
  <si>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</si>
  <si>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</si>
  <si>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</si>
  <si>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</si>
  <si>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</si>
  <si>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</si>
  <si>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</si>
  <si>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</si>
  <si>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</si>
  <si>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</si>
  <si>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</si>
  <si>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</si>
  <si>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</si>
  <si>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</si>
  <si>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</si>
  <si>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</si>
  <si>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</si>
  <si>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</si>
  <si>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</si>
  <si>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</si>
  <si>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</si>
  <si>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</si>
  <si>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</si>
  <si>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</si>
  <si>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</si>
  <si>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</si>
  <si>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</si>
  <si>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</si>
  <si>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</si>
  <si>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</si>
  <si>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</si>
  <si>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</si>
  <si>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</si>
  <si>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</si>
  <si>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</si>
  <si>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</si>
  <si>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</si>
  <si>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</si>
  <si>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</si>
  <si>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</si>
  <si>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</si>
  <si>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</si>
  <si>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</si>
  <si>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</si>
  <si>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</si>
  <si>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117.6 x 95.3m</t>
  </si>
  <si>
    <t>117.6 x 121.3m</t>
  </si>
  <si>
    <t>117.6 x 87.3m</t>
  </si>
  <si>
    <t>117.6 x 92.8m</t>
  </si>
  <si>
    <t>117.6 x 120.1m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</si>
  <si>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</si>
  <si>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</si>
  <si>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</si>
  <si>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</si>
  <si>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</si>
  <si>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</si>
  <si>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</si>
  <si>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</si>
  <si>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</si>
  <si>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</si>
  <si>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</si>
  <si>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</si>
  <si>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</si>
  <si>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</si>
  <si>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</si>
  <si>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</si>
  <si>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</si>
  <si>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</si>
  <si>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</si>
  <si>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</si>
  <si>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</si>
  <si>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</si>
  <si>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</si>
  <si>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</si>
  <si>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</si>
  <si>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</si>
  <si>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</si>
  <si>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</si>
  <si>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</si>
  <si>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</si>
  <si>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</si>
  <si>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</si>
  <si>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</si>
  <si>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</si>
  <si>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</si>
  <si>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</si>
  <si>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</si>
  <si>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</si>
  <si>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</si>
  <si>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</si>
  <si>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</si>
  <si>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</si>
  <si>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</si>
  <si>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</si>
  <si>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</si>
  <si>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</si>
  <si>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</si>
  <si>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</si>
  <si>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</si>
  <si>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</si>
  <si>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</si>
  <si>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</si>
  <si>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</si>
  <si>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</si>
  <si>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</si>
  <si>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</si>
  <si>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</si>
  <si>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</si>
  <si>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</si>
  <si>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</si>
  <si>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</si>
  <si>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</si>
  <si>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</si>
  <si>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</si>
  <si>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</si>
  <si>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</si>
  <si>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</si>
  <si>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</si>
  <si>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</si>
  <si>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</si>
  <si>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</si>
  <si>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</si>
  <si>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</si>
  <si>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</si>
  <si>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</si>
  <si>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</si>
  <si>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</si>
  <si>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</si>
  <si>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</si>
  <si>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</si>
  <si>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</si>
  <si>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</si>
  <si>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</si>
  <si>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</si>
  <si>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</si>
  <si>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</si>
  <si>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</si>
  <si>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</si>
  <si>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63.3 x 24.5mm</t>
  </si>
  <si>
    <t>69.6 x 57.2mm</t>
  </si>
  <si>
    <t>77 x 75mm</t>
  </si>
  <si>
    <t>58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</si>
  <si>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</si>
  <si>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</si>
  <si>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</si>
  <si>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</si>
  <si>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</si>
  <si>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</si>
  <si>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</si>
  <si>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</si>
  <si>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</si>
  <si>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</si>
  <si>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</si>
  <si>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</si>
  <si>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</si>
  <si>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</si>
  <si>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</si>
  <si>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</si>
  <si>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</si>
  <si>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55 x 66.5mm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</si>
  <si>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</si>
  <si>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</si>
  <si>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</si>
  <si>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</si>
  <si>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</si>
  <si>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</si>
  <si>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</si>
  <si>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</si>
  <si>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</si>
  <si>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</si>
  <si>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</si>
  <si>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</si>
  <si>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</si>
  <si>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</si>
  <si>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70 x 27mm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</si>
  <si>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</si>
  <si>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</si>
  <si>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</si>
  <si>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</si>
  <si>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</si>
  <si>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</si>
  <si>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</si>
  <si>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</si>
  <si>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</si>
  <si>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</si>
  <si>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</si>
  <si>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</si>
  <si>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</si>
  <si>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</si>
  <si>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</si>
  <si>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</si>
  <si>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</si>
  <si>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</si>
  <si>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</si>
  <si>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</si>
  <si>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</si>
  <si>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</si>
  <si>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</si>
  <si>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</si>
  <si>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</si>
  <si>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</si>
  <si>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</si>
  <si>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</si>
  <si>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</si>
  <si>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</si>
  <si>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</si>
  <si>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</si>
  <si>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</si>
  <si>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</si>
  <si>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</si>
  <si>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</si>
  <si>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</si>
  <si>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</si>
  <si>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</si>
  <si>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</si>
  <si>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</si>
  <si>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</si>
  <si>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</si>
  <si>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</si>
  <si>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</si>
  <si>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</si>
  <si>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</si>
  <si>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</si>
  <si>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</si>
  <si>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</si>
  <si>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</si>
  <si>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</si>
  <si>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</si>
  <si>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</si>
  <si>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</si>
  <si>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</si>
  <si>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</si>
  <si>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</si>
  <si>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</si>
  <si>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</si>
  <si>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</si>
  <si>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</si>
  <si>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</si>
  <si>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</si>
  <si>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</si>
  <si>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</si>
  <si>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</si>
  <si>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</si>
  <si>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</si>
  <si>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</si>
  <si>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</si>
  <si>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</si>
  <si>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</si>
  <si>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</si>
  <si>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</si>
  <si>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</si>
  <si>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</si>
  <si>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</si>
  <si>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</si>
  <si>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60 x 60mm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</si>
  <si>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</si>
  <si>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</si>
  <si>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</si>
  <si>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</si>
  <si>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</si>
  <si>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</si>
  <si>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</si>
  <si>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Add spaces to size</t>
  </si>
  <si>
    <t>102 x 131.5mm</t>
  </si>
  <si>
    <t>124 x 267.5mm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</si>
</sst>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&quot;1:&quot;#0.00"/>
    <numFmt numFmtId="166" formatCode="0&quot;mm&quot;"/>
    <numFmt numFmtId="167" formatCode="0.000"/>
    <numFmt numFmtId="168" formatCode="0.0&quot;mm&quot;"/>
  </numFmts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0" fontId="6" fillId="2" borderId="1" xfId="0" applyFont="1" applyFill="1" applyBorder="1" applyAlignment="1">
      <alignment horizontal="right" vertical="center"/>
    </xf>
    <xf numFmtId="164" fontId="6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 vertical="center"/>
    </xf>
    <xf numFmtId="167" fontId="1" fillId="0" borderId="0" xfId="0" applyNumberFormat="1" applyFont="1" applyFill="1" applyAlignment="1">
      <alignment horizontal="right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wrapText="1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20" fontId="0" fillId="0" borderId="0" xfId="0" applyNumberFormat="1"/>
    <xf numFmtId="168" fontId="1" fillId="0" borderId="0" xfId="0" applyNumberFormat="1" applyFont="1" applyFill="1" applyAlignmen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2-24mm_f4g_if-ed" TargetMode="External"/><Relationship Id="rId170" Type="http://schemas.openxmlformats.org/officeDocument/2006/relationships/hyperlink" Target="http://www.neocamera.com/lens/nikkor/af-s_60mm_f2.8g_ed_micro" TargetMode="External"/><Relationship Id="rId191" Type="http://schemas.openxmlformats.org/officeDocument/2006/relationships/hyperlink" Target="http://www.neocamera.com/lens/nikkor/af-s_24-85mm_f3.5-4.5g_ed_vr" TargetMode="External"/><Relationship Id="rId205" Type="http://schemas.openxmlformats.org/officeDocument/2006/relationships/hyperlink" Target="http://www.neocamera.com/lens/nikkor/af-s_105mm_f2.8g_if-ed_vr_micro" TargetMode="External"/><Relationship Id="rId226" Type="http://schemas.openxmlformats.org/officeDocument/2006/relationships/hyperlink" Target="http://www.neocamera.com/lens/nikkor/af_18-35mm_f3.5-4.5d_if-ed" TargetMode="External"/><Relationship Id="rId247" Type="http://schemas.openxmlformats.org/officeDocument/2006/relationships/hyperlink" Target="http://www.neocamera.com/lens/zeiss/distagon_t_225/nikon" TargetMode="External"/><Relationship Id="rId107" Type="http://schemas.openxmlformats.org/officeDocument/2006/relationships/hyperlink" Target="http://www.neocamera.com/lens/sigma/24-70mm_f2.8_if_ex_dg_hsm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300mm_f2.8_ex_dg_apo_hsm/nikon" TargetMode="External"/><Relationship Id="rId149" Type="http://schemas.openxmlformats.org/officeDocument/2006/relationships/hyperlink" Target="http://www.neocamera.com/lens/nikkor/af-s_dx_18-55mm_f3.5-5.6g_vr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_18-70mm_f3.5-4.5g_if-ed" TargetMode="External"/><Relationship Id="rId181" Type="http://schemas.openxmlformats.org/officeDocument/2006/relationships/hyperlink" Target="http://www.neocamera.com/lens/nikkor/af-s_35mm_f1.8g_ed" TargetMode="External"/><Relationship Id="rId216" Type="http://schemas.openxmlformats.org/officeDocument/2006/relationships/hyperlink" Target="http://www.neocamera.com/lens/nikkor/af_60mm_f2.8d_micro" TargetMode="External"/><Relationship Id="rId237" Type="http://schemas.openxmlformats.org/officeDocument/2006/relationships/hyperlink" Target="http://www.neocamera.com/lens/tamron/di_sp_15-30mm_f2.8_vc_usd/nikon" TargetMode="External"/><Relationship Id="rId258" Type="http://schemas.openxmlformats.org/officeDocument/2006/relationships/hyperlink" Target="http://www.neocamera.com/lens/zeiss/otus_55mm_f1.4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5.6_dc_os_hsm_ii/nikon" TargetMode="External"/><Relationship Id="rId139" Type="http://schemas.openxmlformats.org/officeDocument/2006/relationships/hyperlink" Target="http://www.neocamera.com/lens/nikkor/pc-e_24mm_f3.5d_ed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ed_ii" TargetMode="External"/><Relationship Id="rId171" Type="http://schemas.openxmlformats.org/officeDocument/2006/relationships/hyperlink" Target="http://www.neocamera.com/lens/nikkor/af-s_600mm_f4g_ed_vr" TargetMode="External"/><Relationship Id="rId192" Type="http://schemas.openxmlformats.org/officeDocument/2006/relationships/hyperlink" Target="http://www.neocamera.com/lens/nikkor/af-s_24-70mm_f2.8e_ed_vr" TargetMode="External"/><Relationship Id="rId206" Type="http://schemas.openxmlformats.org/officeDocument/2006/relationships/hyperlink" Target="http://www.neocamera.com/lens/nikkor/af-s_105mm_f1.4e_ed" TargetMode="External"/><Relationship Id="rId227" Type="http://schemas.openxmlformats.org/officeDocument/2006/relationships/hyperlink" Target="http://www.neocamera.com/lens/nikkor/af_16mm_f2.8d_fisheye" TargetMode="External"/><Relationship Id="rId248" Type="http://schemas.openxmlformats.org/officeDocument/2006/relationships/hyperlink" Target="http://www.neocamera.com/lens/zeiss/distagon_t_2.825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ex_dg_macro/nikon" TargetMode="External"/><Relationship Id="rId129" Type="http://schemas.openxmlformats.org/officeDocument/2006/relationships/hyperlink" Target="http://www.neocamera.com/lens/sigma/120-300mm_f2.8_ex_dg_os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_19mm_f4e" TargetMode="External"/><Relationship Id="rId161" Type="http://schemas.openxmlformats.org/officeDocument/2006/relationships/hyperlink" Target="http://www.neocamera.com/lens/nikkor/af-s_85mm_f1.8g" TargetMode="External"/><Relationship Id="rId182" Type="http://schemas.openxmlformats.org/officeDocument/2006/relationships/hyperlink" Target="http://www.neocamera.com/lens/nikkor/af-s_35mm_f1.4g" TargetMode="External"/><Relationship Id="rId217" Type="http://schemas.openxmlformats.org/officeDocument/2006/relationships/hyperlink" Target="http://www.neocamera.com/lens/nikkor/af_50mm_f1.8d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tamron/di_sp_150-600mm_f5-6.3_di_vc_usd/nikon" TargetMode="External"/><Relationship Id="rId259" Type="http://schemas.openxmlformats.org/officeDocument/2006/relationships/hyperlink" Target="http://www.neocamera.com/lens/samyang/85mm_f1.4_if_mc_asph_ae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125mm_f3.8-5.6_dc_os_hsm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-24mm_f4.5-5.6_ex_dg_asp_hsm/nikon" TargetMode="External"/><Relationship Id="rId151" Type="http://schemas.openxmlformats.org/officeDocument/2006/relationships/hyperlink" Target="http://www.neocamera.com/lens/nikkor/af-s_dx_18-300mm_f3.5-6.3g_ed_vr" TargetMode="External"/><Relationship Id="rId172" Type="http://schemas.openxmlformats.org/officeDocument/2006/relationships/hyperlink" Target="http://www.neocamera.com/lens/nikkor/af-s_600mm_f4e_fl_ed_vr" TargetMode="External"/><Relationship Id="rId193" Type="http://schemas.openxmlformats.org/officeDocument/2006/relationships/hyperlink" Target="http://www.neocamera.com/lens/nikkor/af-s_24-70mm_f2.8_if-ed" TargetMode="External"/><Relationship Id="rId207" Type="http://schemas.openxmlformats.org/officeDocument/2006/relationships/hyperlink" Target="http://www.neocamera.com/lens/nikkor/af-p_dx_70-300mm_f4.5-6.3g_vr" TargetMode="External"/><Relationship Id="rId228" Type="http://schemas.openxmlformats.org/officeDocument/2006/relationships/hyperlink" Target="http://www.neocamera.com/lens/nikkor/af_14mm_f2.8d_ed" TargetMode="External"/><Relationship Id="rId249" Type="http://schemas.openxmlformats.org/officeDocument/2006/relationships/hyperlink" Target="http://www.neocamera.com/lens/zeiss/distagon_t_228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0mm_f1.8_ex_dg_asp_rf/nikon" TargetMode="External"/><Relationship Id="rId260" Type="http://schemas.openxmlformats.org/officeDocument/2006/relationships/hyperlink" Target="http://www.neocamera.com/lens/zeiss/planar_t_1.485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7-70mm_f2.8-4.5_dc_macro_hsm/nikon" TargetMode="External"/><Relationship Id="rId141" Type="http://schemas.openxmlformats.org/officeDocument/2006/relationships/hyperlink" Target="http://www.neocamera.com/lens/nikkor/af-s_dx_85mm_f3.5g_ed_vr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4g" TargetMode="External"/><Relationship Id="rId183" Type="http://schemas.openxmlformats.org/officeDocument/2006/relationships/hyperlink" Target="http://www.neocamera.com/lens/nikkor/af-s_300mm_f4e_pf_ed_vr" TargetMode="External"/><Relationship Id="rId218" Type="http://schemas.openxmlformats.org/officeDocument/2006/relationships/hyperlink" Target="http://www.neocamera.com/lens/nikkor/af_50mm_f1.4d" TargetMode="External"/><Relationship Id="rId239" Type="http://schemas.openxmlformats.org/officeDocument/2006/relationships/hyperlink" Target="http://www.neocamera.com/lens/zeiss/distagon_t_2.815/nikon" TargetMode="External"/><Relationship Id="rId250" Type="http://schemas.openxmlformats.org/officeDocument/2006/relationships/hyperlink" Target="http://www.neocamera.com/lens/samyang/300mm_f6.3_ed_umc_cs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0-500mm_f2.8_apo_ex_dg/nikon" TargetMode="External"/><Relationship Id="rId131" Type="http://schemas.openxmlformats.org/officeDocument/2006/relationships/hyperlink" Target="http://www.neocamera.com/lens/sigma/12-24mm_f4.5-5.6_ex_dg_hsm_ii/nikon" TargetMode="External"/><Relationship Id="rId152" Type="http://schemas.openxmlformats.org/officeDocument/2006/relationships/hyperlink" Target="http://www.neocamera.com/lens/nikkor/af-s_dx_18-300mm_f3.5-5.6_ed_vr" TargetMode="External"/><Relationship Id="rId173" Type="http://schemas.openxmlformats.org/officeDocument/2006/relationships/hyperlink" Target="http://www.neocamera.com/lens/nikkor/af-s_58mm_f1.4g" TargetMode="External"/><Relationship Id="rId194" Type="http://schemas.openxmlformats.org/officeDocument/2006/relationships/hyperlink" Target="http://www.neocamera.com/lens/nikkor/af-s_24-120mm_f3.5-5.6g_if-ed_vr" TargetMode="External"/><Relationship Id="rId208" Type="http://schemas.openxmlformats.org/officeDocument/2006/relationships/hyperlink" Target="http://www.neocamera.com/lens/nikkor/af-p_dx_70-300mm_f4.5-6.3g" TargetMode="External"/><Relationship Id="rId229" Type="http://schemas.openxmlformats.org/officeDocument/2006/relationships/hyperlink" Target="http://www.neocamera.com/lens/nikkor/af_135mm_f2d_dc" TargetMode="External"/><Relationship Id="rId240" Type="http://schemas.openxmlformats.org/officeDocument/2006/relationships/hyperlink" Target="http://www.neocamera.com/lens/samyang/16mm_f2_ed_as_umc_cs/nikon" TargetMode="External"/><Relationship Id="rId261" Type="http://schemas.openxmlformats.org/officeDocument/2006/relationships/hyperlink" Target="http://www.neocamera.com/lens/samyang/vdslr_8mm_t3.8_asph_if_mc_fisheye_cs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35mm_f1.4_dg_hsm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_dc_macro_os_hsm/nikon" TargetMode="External"/><Relationship Id="rId142" Type="http://schemas.openxmlformats.org/officeDocument/2006/relationships/hyperlink" Target="http://www.neocamera.com/lens/nikkor/af-s_dx_55-300mm_f4.5-5.6g_ed_vr" TargetMode="External"/><Relationship Id="rId163" Type="http://schemas.openxmlformats.org/officeDocument/2006/relationships/hyperlink" Target="http://www.neocamera.com/lens/nikkor/af-s_800mm_f5.6e_fl_ed_vr" TargetMode="External"/><Relationship Id="rId184" Type="http://schemas.openxmlformats.org/officeDocument/2006/relationships/hyperlink" Target="http://www.neocamera.com/lens/nikkor/af-s_300mm_f4d_if-ed" TargetMode="External"/><Relationship Id="rId219" Type="http://schemas.openxmlformats.org/officeDocument/2006/relationships/hyperlink" Target="http://www.neocamera.com/lens/nikkor/af_35mm_f2d" TargetMode="External"/><Relationship Id="rId230" Type="http://schemas.openxmlformats.org/officeDocument/2006/relationships/hyperlink" Target="http://www.neocamera.com/lens/nikkor/af_105mm_f2d_dc" TargetMode="External"/><Relationship Id="rId251" Type="http://schemas.openxmlformats.org/officeDocument/2006/relationships/hyperlink" Target="http://www.neocamera.com/lens/samyang/vdslr_35mm_t1.5_as_umc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180mm_f2.8_ex_dg_os_hsm_apo_macro/nikon" TargetMode="External"/><Relationship Id="rId132" Type="http://schemas.openxmlformats.org/officeDocument/2006/relationships/hyperlink" Target="http://www.neocamera.com/lens/sigma/10mm_f2.8_ex_dc_hsm_fisheye/nikon" TargetMode="External"/><Relationship Id="rId153" Type="http://schemas.openxmlformats.org/officeDocument/2006/relationships/hyperlink" Target="http://www.neocamera.com/lens/nikkor/af-s_dx_18-200mm_f3.5-5.6g_ed_vr_ii" TargetMode="External"/><Relationship Id="rId174" Type="http://schemas.openxmlformats.org/officeDocument/2006/relationships/hyperlink" Target="http://www.neocamera.com/lens/nikkor/af-s_50mm_f1.8g_special_edition" TargetMode="External"/><Relationship Id="rId195" Type="http://schemas.openxmlformats.org/officeDocument/2006/relationships/hyperlink" Target="http://www.neocamera.com/lens/nikkor/af-s_24-120_f4g_ed_vr" TargetMode="External"/><Relationship Id="rId209" Type="http://schemas.openxmlformats.org/officeDocument/2006/relationships/hyperlink" Target="http://www.neocamera.com/lens/nikkor/af-p_dx_18-55mm_f3.5-5.6g_vr" TargetMode="External"/><Relationship Id="rId220" Type="http://schemas.openxmlformats.org/officeDocument/2006/relationships/hyperlink" Target="http://www.neocamera.com/lens/nikkor/af_28mm_f2.8d" TargetMode="External"/><Relationship Id="rId241" Type="http://schemas.openxmlformats.org/officeDocument/2006/relationships/hyperlink" Target="http://www.neocamera.com/lens/zeiss/distagon_t_3.518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samyang/8mm_f3.5_asph_if_mc_fisheye_cs_ae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0mm_f1.4_ex_dc_hsm/nikon" TargetMode="External"/><Relationship Id="rId122" Type="http://schemas.openxmlformats.org/officeDocument/2006/relationships/hyperlink" Target="http://www.neocamera.com/lens/sigma/17-50mm_f2.8_ex_dc_os_hsm/nikon" TargetMode="External"/><Relationship Id="rId143" Type="http://schemas.openxmlformats.org/officeDocument/2006/relationships/hyperlink" Target="http://www.neocamera.com/lens/nikkor/af-s_dx_55-200mm_f4.5-5.6g_if-ed_vr" TargetMode="External"/><Relationship Id="rId164" Type="http://schemas.openxmlformats.org/officeDocument/2006/relationships/hyperlink" Target="http://www.neocamera.com/lens/nikkor/af-s_80-400mm_f4.5-5.6g_ed_vr" TargetMode="External"/><Relationship Id="rId185" Type="http://schemas.openxmlformats.org/officeDocument/2006/relationships/hyperlink" Target="http://www.neocamera.com/lens/nikkor/af-s_300mm_f2.8g_ed-if_vr_ii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18-55mm_f3.5-5.6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dx_10.5mm_f2.8g_ed_fisheye" TargetMode="External"/><Relationship Id="rId252" Type="http://schemas.openxmlformats.org/officeDocument/2006/relationships/hyperlink" Target="http://www.neocamera.com/lens/samyang/35mm_f1.4_as_umc_ae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-50mm_f2.8-4.5_dc_os_hsm/nikon" TargetMode="External"/><Relationship Id="rId133" Type="http://schemas.openxmlformats.org/officeDocument/2006/relationships/hyperlink" Target="http://www.neocamera.com/lens/sigma/105mm_f2.8_ex_dg_macro/nikon" TargetMode="External"/><Relationship Id="rId154" Type="http://schemas.openxmlformats.org/officeDocument/2006/relationships/hyperlink" Target="http://www.neocamera.com/lens/nikkor/af-s_dx_18-140mm_f3.5-5.6g_ed_vr" TargetMode="External"/><Relationship Id="rId175" Type="http://schemas.openxmlformats.org/officeDocument/2006/relationships/hyperlink" Target="http://www.neocamera.com/lens/nikkor/af-s_50mm_f1.8g" TargetMode="External"/><Relationship Id="rId196" Type="http://schemas.openxmlformats.org/officeDocument/2006/relationships/hyperlink" Target="http://www.neocamera.com/lens/nikkor/af-s_20mm_f1.8g_ed" TargetMode="External"/><Relationship Id="rId200" Type="http://schemas.openxmlformats.org/officeDocument/2006/relationships/hyperlink" Target="http://www.neocamera.com/lens/nikkor/af-s_200-400mm_f4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24mm_f2.8d" TargetMode="External"/><Relationship Id="rId242" Type="http://schemas.openxmlformats.org/officeDocument/2006/relationships/hyperlink" Target="http://www.neocamera.com/lens/samyang/20mm_t1.9_ed_as_umc/nikon" TargetMode="External"/><Relationship Id="rId263" Type="http://schemas.openxmlformats.org/officeDocument/2006/relationships/vmlDrawing" Target="../drawings/vmlDrawing2.vm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0mm_f2.8_ex_apo_dg_hsm/nikon" TargetMode="External"/><Relationship Id="rId123" Type="http://schemas.openxmlformats.org/officeDocument/2006/relationships/hyperlink" Target="http://www.neocamera.com/lens/sigma/15mm_f2.8_ex_dg_diagonal_fisheye/nikon" TargetMode="External"/><Relationship Id="rId144" Type="http://schemas.openxmlformats.org/officeDocument/2006/relationships/hyperlink" Target="http://www.neocamera.com/lens/nikkor/af-s_55-200mm_f4-5.6g_ed_vr_ii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70-300mm_f4-5.6g_if-ed_vr" TargetMode="External"/><Relationship Id="rId186" Type="http://schemas.openxmlformats.org/officeDocument/2006/relationships/hyperlink" Target="http://www.neocamera.com/lens/nikkor/af-s_28mm_f1.8g" TargetMode="External"/><Relationship Id="rId211" Type="http://schemas.openxmlformats.org/officeDocument/2006/relationships/hyperlink" Target="http://www.neocamera.com/lens/nikkor/af_85mm_f1.8d" TargetMode="External"/><Relationship Id="rId232" Type="http://schemas.openxmlformats.org/officeDocument/2006/relationships/hyperlink" Target="http://www.neocamera.com/lens/samyang/10mm_ed_as_ncs/nikon" TargetMode="External"/><Relationship Id="rId253" Type="http://schemas.openxmlformats.org/officeDocument/2006/relationships/hyperlink" Target="http://www.neocamera.com/lens/zeiss/distagon_t_235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_ex_dc_macro_hsm/nikon" TargetMode="External"/><Relationship Id="rId134" Type="http://schemas.openxmlformats.org/officeDocument/2006/relationships/hyperlink" Target="http://www.neocamera.com/lens/sigma/105mm_f2.8_ex_dg_os_hsm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05mm_f3.5-5.6g_ed_vr" TargetMode="External"/><Relationship Id="rId176" Type="http://schemas.openxmlformats.org/officeDocument/2006/relationships/hyperlink" Target="http://www.neocamera.com/lens/nikkor/af-s_50mm_f1.4g" TargetMode="External"/><Relationship Id="rId197" Type="http://schemas.openxmlformats.org/officeDocument/2006/relationships/hyperlink" Target="http://www.neocamera.com/lens/nikkor/af-s_200mm_f2g_if-ed_vr" TargetMode="External"/><Relationship Id="rId201" Type="http://schemas.openxmlformats.org/officeDocument/2006/relationships/hyperlink" Target="http://www.neocamera.com/lens/nikkor/af-s_18-35mm_f3.5-4.5g_ed" TargetMode="External"/><Relationship Id="rId222" Type="http://schemas.openxmlformats.org/officeDocument/2006/relationships/hyperlink" Target="http://www.neocamera.com/lens/nikkor/af_24-85mm_f2.8-4d_if" TargetMode="External"/><Relationship Id="rId243" Type="http://schemas.openxmlformats.org/officeDocument/2006/relationships/hyperlink" Target="http://www.neocamera.com/lens/samyang/20mm_f1.8_ed_as_umc/nikon" TargetMode="External"/><Relationship Id="rId264" Type="http://schemas.openxmlformats.org/officeDocument/2006/relationships/comments" Target="../comments1.xm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-800mm_f5.6_ex_dg_apo_hsm/nikon" TargetMode="External"/><Relationship Id="rId124" Type="http://schemas.openxmlformats.org/officeDocument/2006/relationships/hyperlink" Target="http://www.neocamera.com/lens/sigma/150mm_f2.8_ex_apo_dg_hsm_macro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dx_55-200mm_f4-5.6g_ed" TargetMode="External"/><Relationship Id="rId166" Type="http://schemas.openxmlformats.org/officeDocument/2006/relationships/hyperlink" Target="http://www.neocamera.com/lens/nikkor/af-s_70-200mm_f4g_ed_vr" TargetMode="External"/><Relationship Id="rId187" Type="http://schemas.openxmlformats.org/officeDocument/2006/relationships/hyperlink" Target="http://www.neocamera.com/lens/nikkor/af-s_28mm_f1.4e_ed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_85mm_f1.4d_if" TargetMode="External"/><Relationship Id="rId233" Type="http://schemas.openxmlformats.org/officeDocument/2006/relationships/hyperlink" Target="http://www.neocamera.com/lens/samyang/vdslr_135mm_t2.2_ed_umc/nikon" TargetMode="External"/><Relationship Id="rId254" Type="http://schemas.openxmlformats.org/officeDocument/2006/relationships/hyperlink" Target="http://www.neocamera.com/lens/zeiss/distagon_t_1.435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250mm_f3.5-6.3_dc_os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0-300mm_f4_ex_dg_apo_hsm/nikon" TargetMode="External"/><Relationship Id="rId156" Type="http://schemas.openxmlformats.org/officeDocument/2006/relationships/hyperlink" Target="http://www.neocamera.com/lens/nikkor/af-s_dx_17-55mm_f2.8g_if-ed" TargetMode="External"/><Relationship Id="rId177" Type="http://schemas.openxmlformats.org/officeDocument/2006/relationships/hyperlink" Target="http://www.neocamera.com/lens/nikkor/af-s_500mm_f4g_ed_vr_ii" TargetMode="External"/><Relationship Id="rId198" Type="http://schemas.openxmlformats.org/officeDocument/2006/relationships/hyperlink" Target="http://www.neocamera.com/lens/nikkor/af-s_200mm_f2g_ed_vr_ii" TargetMode="External"/><Relationship Id="rId202" Type="http://schemas.openxmlformats.org/officeDocument/2006/relationships/hyperlink" Target="http://www.neocamera.com/lens/nikkor/af-s_17-35mm_f2.8d_if-ed" TargetMode="External"/><Relationship Id="rId223" Type="http://schemas.openxmlformats.org/officeDocument/2006/relationships/hyperlink" Target="http://www.neocamera.com/lens/nikkor/af_20mm_f2.8d" TargetMode="External"/><Relationship Id="rId244" Type="http://schemas.openxmlformats.org/officeDocument/2006/relationships/hyperlink" Target="http://www.neocamera.com/lens/zeiss/distagon_t_2.821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28mm_f1.8_ex_dg_asp_macro/nikon" TargetMode="External"/><Relationship Id="rId125" Type="http://schemas.openxmlformats.org/officeDocument/2006/relationships/hyperlink" Target="http://www.neocamera.com/lens/sigma/150mm_f2.8_ex_dg_os_hsm_apo_macro/nikon" TargetMode="External"/><Relationship Id="rId146" Type="http://schemas.openxmlformats.org/officeDocument/2006/relationships/hyperlink" Target="http://www.neocamera.com/lens/nikkor/af-s_dx_40mm_f2.8g_micro" TargetMode="External"/><Relationship Id="rId167" Type="http://schemas.openxmlformats.org/officeDocument/2006/relationships/hyperlink" Target="http://www.neocamera.com/lens/nikkor/af-s_70-200mm_f2.8g_if-ed_vr" TargetMode="External"/><Relationship Id="rId188" Type="http://schemas.openxmlformats.org/officeDocument/2006/relationships/hyperlink" Target="http://www.neocamera.com/lens/nikkor/af-s_28-300mm_f3.5-5.6_ed_vr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0-400mm_f4.5-5.6d_ed_vr" TargetMode="External"/><Relationship Id="rId234" Type="http://schemas.openxmlformats.org/officeDocument/2006/relationships/hyperlink" Target="http://www.neocamera.com/lens/samyang/135mm_f2_ed_umc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samyang/50mm_t1.5_vdslr_as_umc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_macro/nikon" TargetMode="External"/><Relationship Id="rId136" Type="http://schemas.openxmlformats.org/officeDocument/2006/relationships/hyperlink" Target="http://www.neocamera.com/lens/samyang/premium_mf_14mm_f2.4/nikon" TargetMode="External"/><Relationship Id="rId157" Type="http://schemas.openxmlformats.org/officeDocument/2006/relationships/hyperlink" Target="http://www.neocamera.com/lens/nikkor/af-s_dx_16-85mm_f3.5-5.6g_ed_vr" TargetMode="External"/><Relationship Id="rId178" Type="http://schemas.openxmlformats.org/officeDocument/2006/relationships/hyperlink" Target="http://www.neocamera.com/lens/nikkor/af-s_500mm_f4e_fl_ed_vr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-500mm_f5.6e_ed_vr" TargetMode="External"/><Relationship Id="rId203" Type="http://schemas.openxmlformats.org/officeDocument/2006/relationships/hyperlink" Target="http://www.neocamera.com/lens/nikkor/af-s_16-35mm_f4g_ed_vr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00mm_f4d_if-ed_micro" TargetMode="External"/><Relationship Id="rId245" Type="http://schemas.openxmlformats.org/officeDocument/2006/relationships/hyperlink" Target="http://www.neocamera.com/lens/samyang/vdslr_24mm_t1.5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-300mm_f3.5-6.3_dg_macro/nikon" TargetMode="External"/><Relationship Id="rId126" Type="http://schemas.openxmlformats.org/officeDocument/2006/relationships/hyperlink" Target="http://www.neocamera.com/lens/sigma/150-500mm_f5-6.3_apo_dg_os_hsm/nikon" TargetMode="External"/><Relationship Id="rId147" Type="http://schemas.openxmlformats.org/officeDocument/2006/relationships/hyperlink" Target="http://www.neocamera.com/lens/nikkor/af-s_dx_35mm_f1.8g" TargetMode="External"/><Relationship Id="rId168" Type="http://schemas.openxmlformats.org/officeDocument/2006/relationships/hyperlink" Target="http://www.neocamera.com/lens/nikkor/af-s_70-200mm_f2.8g_ed_vr_ii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4mm_f1.8g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0-200mm_f2.8d_ed" TargetMode="External"/><Relationship Id="rId235" Type="http://schemas.openxmlformats.org/officeDocument/2006/relationships/hyperlink" Target="http://www.neocamera.com/lens/samyang/14mm_f2.8_if_ed_umc_asph_ae/nikon" TargetMode="External"/><Relationship Id="rId256" Type="http://schemas.openxmlformats.org/officeDocument/2006/relationships/hyperlink" Target="http://www.neocamera.com/lens/samyang/50mm_f1.4_as_umc/nikon" TargetMode="External"/><Relationship Id="rId116" Type="http://schemas.openxmlformats.org/officeDocument/2006/relationships/hyperlink" Target="http://www.neocamera.com/lens/sigma/18-200mm_f3.5-6.3_dc_os/nikon" TargetMode="External"/><Relationship Id="rId137" Type="http://schemas.openxmlformats.org/officeDocument/2006/relationships/hyperlink" Target="http://www.neocamera.com/lens/nikkor/pc-e_85mm_f2.8d_micro" TargetMode="External"/><Relationship Id="rId158" Type="http://schemas.openxmlformats.org/officeDocument/2006/relationships/hyperlink" Target="http://www.neocamera.com/lens/nikkor/af-s_dx_16-80mm_f2.8-4e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400mm_f2.8g_ed_vr" TargetMode="External"/><Relationship Id="rId190" Type="http://schemas.openxmlformats.org/officeDocument/2006/relationships/hyperlink" Target="http://www.neocamera.com/lens/nikkor/af-s_24mm_f1.4g_ed" TargetMode="External"/><Relationship Id="rId204" Type="http://schemas.openxmlformats.org/officeDocument/2006/relationships/hyperlink" Target="http://www.neocamera.com/lens/nikkor/af-s_14-24mm_f2.8g_if-ed" TargetMode="External"/><Relationship Id="rId225" Type="http://schemas.openxmlformats.org/officeDocument/2006/relationships/hyperlink" Target="http://www.neocamera.com/lens/nikkor/af_180mm_f2.8d_if-ed" TargetMode="External"/><Relationship Id="rId246" Type="http://schemas.openxmlformats.org/officeDocument/2006/relationships/hyperlink" Target="http://www.neocamera.com/lens/samyang/t-s_24mm_f3.5_ed_as_umc/nikon" TargetMode="External"/><Relationship Id="rId106" Type="http://schemas.openxmlformats.org/officeDocument/2006/relationships/hyperlink" Target="http://www.neocamera.com/lens/sigma/24mm_f1.8_ex_dg_asp_macro/nikon" TargetMode="External"/><Relationship Id="rId127" Type="http://schemas.openxmlformats.org/officeDocument/2006/relationships/hyperlink" Target="http://www.neocamera.com/lens/sigma/120-400mm_f4.5-5.6_dg_apo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18-55mm_f3.5-5.6g_vr_ii" TargetMode="External"/><Relationship Id="rId169" Type="http://schemas.openxmlformats.org/officeDocument/2006/relationships/hyperlink" Target="http://www.neocamera.com/lens/nikkor/af-s_70-200mm_f2.8e_fl_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400mm_f2.8e__fl_ed_vr" TargetMode="External"/><Relationship Id="rId215" Type="http://schemas.openxmlformats.org/officeDocument/2006/relationships/hyperlink" Target="http://www.neocamera.com/lens/nikkor/af_70-300mm_f4-5.6g" TargetMode="External"/><Relationship Id="rId236" Type="http://schemas.openxmlformats.org/officeDocument/2006/relationships/hyperlink" Target="http://www.neocamera.com/lens/samyang/vdslr_14mm_t3.1_as_if_umc/nikon" TargetMode="External"/><Relationship Id="rId257" Type="http://schemas.openxmlformats.org/officeDocument/2006/relationships/hyperlink" Target="http://www.neocamera.com/lens/zeiss/planar_t_1.450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45mm_f2.8d_ed_micro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749"/>
  <sheetViews>
    <sheetView workbookViewId="0">
      <selection activeCell="H8" sqref="H8"/>
    </sheetView>
  </sheetViews>
  <sheetFormatPr baseColWidth="10" defaultRowHeight="15" x14ac:dyDescent="0.25"/>
  <cols>
    <col min="1" max="1" width="3" customWidth="1"/>
    <col min="2" max="2" width="44.5703125" style="16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6" bestFit="1" customWidth="1"/>
    <col min="7" max="7" width="9" bestFit="1" customWidth="1"/>
    <col min="8" max="8" width="17.85546875" bestFit="1" customWidth="1"/>
    <col min="9" max="9" width="9.42578125" bestFit="1" customWidth="1"/>
    <col min="10" max="10" width="15.5703125" bestFit="1" customWidth="1"/>
    <col min="11" max="11" width="9.85546875" bestFit="1" customWidth="1"/>
    <col min="12" max="12" width="12.28515625" bestFit="1" customWidth="1"/>
    <col min="13" max="13" width="9.2851562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42" t="s">
        <v>0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2:15" ht="17.25" x14ac:dyDescent="0.3">
      <c r="B2" s="20"/>
      <c r="C2" s="21" t="s">
        <v>894</v>
      </c>
      <c r="D2" s="21" t="s">
        <v>895</v>
      </c>
      <c r="E2" s="17"/>
      <c r="F2" s="21"/>
      <c r="G2" s="43" t="s">
        <v>891</v>
      </c>
      <c r="H2" s="44"/>
      <c r="I2" s="44"/>
      <c r="J2" s="44"/>
      <c r="K2" s="44"/>
      <c r="L2" s="44"/>
      <c r="M2" s="44"/>
      <c r="N2" s="44"/>
      <c r="O2" s="45"/>
    </row>
    <row r="3" spans="2:15" ht="17.25" x14ac:dyDescent="0.3">
      <c r="B3" s="18" t="s">
        <v>893</v>
      </c>
      <c r="C3" s="19"/>
      <c r="D3" s="19"/>
      <c r="E3" s="14"/>
      <c r="F3" s="18" t="s">
        <v>1</v>
      </c>
      <c r="G3" s="31" t="s">
        <v>8</v>
      </c>
      <c r="H3" s="19"/>
      <c r="I3" s="19"/>
      <c r="J3" s="19"/>
      <c r="K3" s="19"/>
      <c r="L3" s="19"/>
      <c r="M3" s="19"/>
      <c r="N3" s="19"/>
      <c r="O3" s="29"/>
    </row>
    <row r="4" spans="2:15" ht="17.25" x14ac:dyDescent="0.3">
      <c r="B4" s="20" t="s">
        <v>885</v>
      </c>
      <c r="C4" s="22"/>
      <c r="D4" s="22"/>
      <c r="E4" s="14"/>
      <c r="F4" s="20" t="s">
        <v>888</v>
      </c>
      <c r="G4" s="30" t="s">
        <v>914</v>
      </c>
      <c r="H4" s="30" t="s">
        <v>903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19"/>
      <c r="D5" s="19"/>
      <c r="E5" s="14"/>
      <c r="F5" s="18" t="s">
        <v>892</v>
      </c>
      <c r="G5" s="31" t="s">
        <v>880</v>
      </c>
      <c r="H5" s="31" t="s">
        <v>879</v>
      </c>
      <c r="I5" s="19"/>
      <c r="J5" s="19"/>
      <c r="K5" s="19"/>
      <c r="L5" s="19"/>
      <c r="M5" s="19"/>
      <c r="N5" s="19"/>
      <c r="O5" s="19"/>
    </row>
    <row r="6" spans="2:15" ht="17.25" x14ac:dyDescent="0.3">
      <c r="B6" s="20" t="s">
        <v>871</v>
      </c>
      <c r="C6" s="22"/>
      <c r="D6" s="22"/>
      <c r="E6" s="14"/>
      <c r="F6" s="20" t="s">
        <v>873</v>
      </c>
      <c r="G6" s="30" t="s">
        <v>874</v>
      </c>
      <c r="H6" s="30" t="s">
        <v>875</v>
      </c>
      <c r="I6" s="30" t="s">
        <v>876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19"/>
      <c r="D7" s="19"/>
      <c r="E7" s="14"/>
      <c r="F7" s="18" t="s">
        <v>877</v>
      </c>
      <c r="G7" s="31" t="s">
        <v>874</v>
      </c>
      <c r="H7" s="31" t="s">
        <v>878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890</v>
      </c>
      <c r="C8" s="22"/>
      <c r="D8" s="22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889</v>
      </c>
      <c r="C9" s="19"/>
      <c r="D9" s="19"/>
      <c r="E9" s="14"/>
      <c r="F9" s="13"/>
      <c r="G9" s="7"/>
      <c r="H9" s="2"/>
      <c r="I9" s="2"/>
      <c r="J9" s="2"/>
      <c r="K9" s="2"/>
      <c r="L9" s="3"/>
      <c r="M9" s="3"/>
      <c r="N9" s="2"/>
      <c r="O9" s="2"/>
    </row>
    <row r="10" spans="2:15" x14ac:dyDescent="0.25">
      <c r="B10" s="13"/>
      <c r="C10" s="7"/>
      <c r="D10" s="2"/>
      <c r="E10" s="14"/>
      <c r="F10" s="13"/>
      <c r="G10" s="7"/>
      <c r="H10" s="2"/>
      <c r="I10" s="46" t="s">
        <v>902</v>
      </c>
      <c r="J10" s="46"/>
      <c r="K10" s="46"/>
      <c r="L10" s="46"/>
      <c r="M10" s="3"/>
      <c r="N10" s="2"/>
      <c r="O10" s="2"/>
    </row>
    <row r="11" spans="2:15" x14ac:dyDescent="0.25">
      <c r="B11" s="13"/>
      <c r="C11" s="7"/>
      <c r="D11" s="2"/>
      <c r="E11" s="14"/>
      <c r="F11" s="13"/>
      <c r="G11" s="7"/>
      <c r="H11" s="2"/>
      <c r="I11" s="46"/>
      <c r="J11" s="46"/>
      <c r="K11" s="46"/>
      <c r="L11" s="46"/>
      <c r="M11" s="3"/>
      <c r="N11" s="2"/>
      <c r="O11" s="2"/>
    </row>
    <row r="12" spans="2:15" x14ac:dyDescent="0.25">
      <c r="B12" s="41"/>
      <c r="C12" s="7"/>
      <c r="D12" s="2"/>
      <c r="E12" s="2"/>
      <c r="F12" s="13"/>
      <c r="G12" s="7"/>
      <c r="H12" s="2"/>
      <c r="I12" s="50" t="s">
        <v>904</v>
      </c>
      <c r="J12" s="50"/>
      <c r="K12" s="50"/>
      <c r="L12" s="50"/>
      <c r="M12" s="3"/>
      <c r="N12" s="2"/>
      <c r="O12" s="2"/>
    </row>
    <row r="13" spans="2:15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47" t="s">
        <v>896</v>
      </c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9"/>
    </row>
    <row r="15" spans="2:15" s="27" customFormat="1" ht="19.5" x14ac:dyDescent="0.25">
      <c r="B15" s="32" t="s">
        <v>881</v>
      </c>
      <c r="C15" s="32" t="s">
        <v>883</v>
      </c>
      <c r="D15" s="32" t="s">
        <v>884</v>
      </c>
      <c r="E15" s="33" t="s">
        <v>886</v>
      </c>
      <c r="F15" s="33" t="s">
        <v>887</v>
      </c>
      <c r="G15" s="32" t="s">
        <v>0</v>
      </c>
      <c r="H15" s="32" t="s">
        <v>901</v>
      </c>
      <c r="I15" s="32" t="s">
        <v>1</v>
      </c>
      <c r="J15" s="32" t="s">
        <v>888</v>
      </c>
      <c r="K15" s="32" t="s">
        <v>2</v>
      </c>
      <c r="L15" s="34" t="s">
        <v>890</v>
      </c>
      <c r="M15" s="34" t="s">
        <v>889</v>
      </c>
      <c r="N15" s="28"/>
    </row>
    <row r="16" spans="2:15" x14ac:dyDescent="0.25">
      <c r="B16" s="35" t="s">
        <v>620</v>
      </c>
      <c r="C16" s="35">
        <v>4.5</v>
      </c>
      <c r="D16" s="35">
        <v>4.5</v>
      </c>
      <c r="E16" s="35">
        <v>2.8</v>
      </c>
      <c r="F16" s="35">
        <v>2.8</v>
      </c>
      <c r="G16" s="35">
        <v>0</v>
      </c>
      <c r="H16" s="35">
        <v>0.16</v>
      </c>
      <c r="I16" s="36" t="s">
        <v>8</v>
      </c>
      <c r="J16" s="36" t="s">
        <v>9</v>
      </c>
      <c r="K16" s="39">
        <v>0</v>
      </c>
      <c r="L16" s="39">
        <v>76</v>
      </c>
      <c r="M16" s="39">
        <v>78</v>
      </c>
    </row>
    <row r="17" spans="2:13" x14ac:dyDescent="0.25">
      <c r="B17" s="37" t="s">
        <v>796</v>
      </c>
      <c r="C17" s="37">
        <v>8</v>
      </c>
      <c r="D17" s="37">
        <v>15</v>
      </c>
      <c r="E17" s="37">
        <v>3.5</v>
      </c>
      <c r="F17" s="37">
        <v>4.5</v>
      </c>
      <c r="G17" s="37">
        <v>0</v>
      </c>
      <c r="H17" s="37">
        <v>0.34</v>
      </c>
      <c r="I17" s="38" t="s">
        <v>8</v>
      </c>
      <c r="J17" s="38" t="s">
        <v>50</v>
      </c>
      <c r="K17" s="40">
        <v>0</v>
      </c>
      <c r="L17" s="40">
        <v>78</v>
      </c>
      <c r="M17" s="40">
        <v>83</v>
      </c>
    </row>
    <row r="18" spans="2:13" x14ac:dyDescent="0.25">
      <c r="B18" s="35" t="s">
        <v>798</v>
      </c>
      <c r="C18" s="35">
        <v>8</v>
      </c>
      <c r="D18" s="35">
        <v>16</v>
      </c>
      <c r="E18" s="35">
        <v>4.5</v>
      </c>
      <c r="F18" s="35">
        <v>5.6</v>
      </c>
      <c r="G18" s="35">
        <v>0</v>
      </c>
      <c r="H18" s="35">
        <v>0.12</v>
      </c>
      <c r="I18" s="36" t="s">
        <v>8</v>
      </c>
      <c r="J18" s="36" t="s">
        <v>9</v>
      </c>
      <c r="K18" s="39">
        <v>0</v>
      </c>
      <c r="L18" s="39">
        <v>75</v>
      </c>
      <c r="M18" s="39">
        <v>106</v>
      </c>
    </row>
    <row r="19" spans="2:13" x14ac:dyDescent="0.25">
      <c r="B19" s="37" t="s">
        <v>860</v>
      </c>
      <c r="C19" s="37">
        <v>8</v>
      </c>
      <c r="D19" s="37">
        <v>8</v>
      </c>
      <c r="E19" s="37">
        <v>3.5</v>
      </c>
      <c r="F19" s="37">
        <v>3.5</v>
      </c>
      <c r="G19" s="37">
        <v>0</v>
      </c>
      <c r="H19" s="37">
        <v>0.21</v>
      </c>
      <c r="I19" s="38" t="s">
        <v>8</v>
      </c>
      <c r="J19" s="38" t="s">
        <v>913</v>
      </c>
      <c r="K19" s="40">
        <v>0</v>
      </c>
      <c r="L19" s="40">
        <v>74</v>
      </c>
      <c r="M19" s="40">
        <v>69</v>
      </c>
    </row>
    <row r="20" spans="2:13" x14ac:dyDescent="0.25">
      <c r="B20" s="35" t="s">
        <v>855</v>
      </c>
      <c r="C20" s="35">
        <v>8</v>
      </c>
      <c r="D20" s="35">
        <v>8</v>
      </c>
      <c r="E20" s="35">
        <v>3.5</v>
      </c>
      <c r="F20" s="35">
        <v>3.5</v>
      </c>
      <c r="G20" s="35">
        <v>0</v>
      </c>
      <c r="H20" s="35">
        <v>0</v>
      </c>
      <c r="I20" s="36" t="s">
        <v>8</v>
      </c>
      <c r="J20" s="36" t="s">
        <v>9</v>
      </c>
      <c r="K20" s="39">
        <v>0</v>
      </c>
      <c r="L20" s="39">
        <v>83</v>
      </c>
      <c r="M20" s="39">
        <v>884</v>
      </c>
    </row>
    <row r="21" spans="2:13" x14ac:dyDescent="0.25">
      <c r="B21" s="37" t="s">
        <v>858</v>
      </c>
      <c r="C21" s="37">
        <v>8</v>
      </c>
      <c r="D21" s="37">
        <v>8</v>
      </c>
      <c r="E21" s="37">
        <v>3.8</v>
      </c>
      <c r="F21" s="37">
        <v>3.8</v>
      </c>
      <c r="G21" s="37">
        <v>0</v>
      </c>
      <c r="H21" s="37">
        <v>0</v>
      </c>
      <c r="I21" s="38" t="s">
        <v>8</v>
      </c>
      <c r="J21" s="38" t="s">
        <v>903</v>
      </c>
      <c r="K21" s="40">
        <v>0</v>
      </c>
      <c r="L21" s="40">
        <v>64</v>
      </c>
      <c r="M21" s="40">
        <v>93</v>
      </c>
    </row>
    <row r="22" spans="2:13" x14ac:dyDescent="0.25">
      <c r="B22" s="35" t="s">
        <v>3</v>
      </c>
      <c r="C22" s="35">
        <v>10</v>
      </c>
      <c r="D22" s="35">
        <v>17</v>
      </c>
      <c r="E22" s="35">
        <v>3.5</v>
      </c>
      <c r="F22" s="35">
        <v>4.5</v>
      </c>
      <c r="G22" s="35">
        <v>0</v>
      </c>
      <c r="H22" s="35">
        <v>0.39</v>
      </c>
      <c r="I22" s="36" t="s">
        <v>8</v>
      </c>
      <c r="J22" s="36" t="s">
        <v>9</v>
      </c>
      <c r="K22" s="39">
        <v>0</v>
      </c>
      <c r="L22" s="39">
        <v>70</v>
      </c>
      <c r="M22" s="39">
        <v>71</v>
      </c>
    </row>
    <row r="23" spans="2:13" x14ac:dyDescent="0.25">
      <c r="B23" s="37" t="s">
        <v>12</v>
      </c>
      <c r="C23" s="37">
        <v>10</v>
      </c>
      <c r="D23" s="37">
        <v>20</v>
      </c>
      <c r="E23" s="37">
        <v>4.5</v>
      </c>
      <c r="F23" s="37">
        <v>5.6</v>
      </c>
      <c r="G23" s="37">
        <v>72</v>
      </c>
      <c r="H23" s="37">
        <v>0.17</v>
      </c>
      <c r="I23" s="38" t="s">
        <v>8</v>
      </c>
      <c r="J23" s="38" t="s">
        <v>9</v>
      </c>
      <c r="K23" s="40">
        <v>0</v>
      </c>
      <c r="L23" s="40">
        <v>77</v>
      </c>
      <c r="M23" s="40">
        <v>73</v>
      </c>
    </row>
    <row r="24" spans="2:13" x14ac:dyDescent="0.25">
      <c r="B24" s="35" t="s">
        <v>19</v>
      </c>
      <c r="C24" s="35">
        <v>10</v>
      </c>
      <c r="D24" s="35">
        <v>20</v>
      </c>
      <c r="E24" s="35">
        <v>3.5</v>
      </c>
      <c r="F24" s="35">
        <v>3.5</v>
      </c>
      <c r="G24" s="35">
        <v>82</v>
      </c>
      <c r="H24" s="35">
        <v>0.15</v>
      </c>
      <c r="I24" s="36" t="s">
        <v>8</v>
      </c>
      <c r="J24" s="36" t="s">
        <v>9</v>
      </c>
      <c r="K24" s="39">
        <v>0</v>
      </c>
      <c r="L24" s="39">
        <v>88</v>
      </c>
      <c r="M24" s="39">
        <v>88</v>
      </c>
    </row>
    <row r="25" spans="2:13" x14ac:dyDescent="0.25">
      <c r="B25" s="37" t="s">
        <v>25</v>
      </c>
      <c r="C25" s="37">
        <v>10</v>
      </c>
      <c r="D25" s="37">
        <v>20</v>
      </c>
      <c r="E25" s="37">
        <v>4</v>
      </c>
      <c r="F25" s="37">
        <v>4.5</v>
      </c>
      <c r="G25" s="37">
        <v>77</v>
      </c>
      <c r="H25" s="37">
        <v>0.15</v>
      </c>
      <c r="I25" s="38" t="s">
        <v>8</v>
      </c>
      <c r="J25" s="38" t="s">
        <v>9</v>
      </c>
      <c r="K25" s="40">
        <v>0</v>
      </c>
      <c r="L25" s="40">
        <v>84</v>
      </c>
      <c r="M25" s="40">
        <v>81</v>
      </c>
    </row>
    <row r="26" spans="2:13" x14ac:dyDescent="0.25">
      <c r="B26" s="35" t="s">
        <v>30</v>
      </c>
      <c r="C26" s="35">
        <v>10</v>
      </c>
      <c r="D26" s="35">
        <v>24</v>
      </c>
      <c r="E26" s="35">
        <v>3.5</v>
      </c>
      <c r="F26" s="35">
        <v>4.5</v>
      </c>
      <c r="G26" s="35">
        <v>77</v>
      </c>
      <c r="H26" s="35">
        <v>0.12</v>
      </c>
      <c r="I26" s="36" t="s">
        <v>8</v>
      </c>
      <c r="J26" s="36" t="s">
        <v>9</v>
      </c>
      <c r="K26" s="39">
        <v>0</v>
      </c>
      <c r="L26" s="39">
        <v>83</v>
      </c>
      <c r="M26" s="39">
        <v>87</v>
      </c>
    </row>
    <row r="27" spans="2:13" x14ac:dyDescent="0.25">
      <c r="B27" s="37" t="s">
        <v>35</v>
      </c>
      <c r="C27" s="37">
        <v>10</v>
      </c>
      <c r="D27" s="37">
        <v>24</v>
      </c>
      <c r="E27" s="37">
        <v>3.5</v>
      </c>
      <c r="F27" s="37">
        <v>4.5</v>
      </c>
      <c r="G27" s="37">
        <v>77</v>
      </c>
      <c r="H27" s="37">
        <v>0.18</v>
      </c>
      <c r="I27" s="38" t="s">
        <v>8</v>
      </c>
      <c r="J27" s="38" t="s">
        <v>9</v>
      </c>
      <c r="K27" s="40">
        <v>0</v>
      </c>
      <c r="L27" s="40">
        <v>84</v>
      </c>
      <c r="M27" s="40">
        <v>85</v>
      </c>
    </row>
    <row r="28" spans="2:13" x14ac:dyDescent="0.25">
      <c r="B28" s="35" t="s">
        <v>39</v>
      </c>
      <c r="C28" s="35">
        <v>10</v>
      </c>
      <c r="D28" s="35">
        <v>24</v>
      </c>
      <c r="E28" s="35">
        <v>3.5</v>
      </c>
      <c r="F28" s="35">
        <v>4.5</v>
      </c>
      <c r="G28" s="35">
        <v>77</v>
      </c>
      <c r="H28" s="35">
        <v>0.2</v>
      </c>
      <c r="I28" s="36" t="s">
        <v>8</v>
      </c>
      <c r="J28" s="36" t="s">
        <v>9</v>
      </c>
      <c r="K28" s="39">
        <v>0</v>
      </c>
      <c r="L28" s="39">
        <v>83</v>
      </c>
      <c r="M28" s="39">
        <v>87</v>
      </c>
    </row>
    <row r="29" spans="2:13" x14ac:dyDescent="0.25">
      <c r="B29" s="37" t="s">
        <v>98</v>
      </c>
      <c r="C29" s="37">
        <v>10</v>
      </c>
      <c r="D29" s="37">
        <v>10</v>
      </c>
      <c r="E29" s="37">
        <v>2.8</v>
      </c>
      <c r="F29" s="37">
        <v>2.8</v>
      </c>
      <c r="G29" s="37">
        <v>0</v>
      </c>
      <c r="H29" s="37">
        <v>0.3</v>
      </c>
      <c r="I29" s="38" t="s">
        <v>8</v>
      </c>
      <c r="J29" s="38" t="s">
        <v>9</v>
      </c>
      <c r="K29" s="40">
        <v>0</v>
      </c>
      <c r="L29" s="40">
        <v>76</v>
      </c>
      <c r="M29" s="40">
        <v>83</v>
      </c>
    </row>
    <row r="30" spans="2:13" x14ac:dyDescent="0.25">
      <c r="B30" s="35" t="s">
        <v>94</v>
      </c>
      <c r="C30" s="35">
        <v>10</v>
      </c>
      <c r="D30" s="35">
        <v>10</v>
      </c>
      <c r="E30" s="35">
        <v>2.8</v>
      </c>
      <c r="F30" s="35">
        <v>2.8</v>
      </c>
      <c r="G30" s="35">
        <v>0</v>
      </c>
      <c r="H30" s="35">
        <v>0</v>
      </c>
      <c r="I30" s="36" t="s">
        <v>8</v>
      </c>
      <c r="J30" s="36" t="s">
        <v>9</v>
      </c>
      <c r="K30" s="39">
        <v>0</v>
      </c>
      <c r="L30" s="39">
        <v>87</v>
      </c>
      <c r="M30" s="39">
        <v>132</v>
      </c>
    </row>
    <row r="31" spans="2:13" x14ac:dyDescent="0.25">
      <c r="B31" s="37" t="s">
        <v>42</v>
      </c>
      <c r="C31" s="37">
        <v>10.5</v>
      </c>
      <c r="D31" s="37">
        <v>10.5</v>
      </c>
      <c r="E31" s="37">
        <v>2.8</v>
      </c>
      <c r="F31" s="37">
        <v>2.8</v>
      </c>
      <c r="G31" s="37">
        <v>0</v>
      </c>
      <c r="H31" s="37">
        <v>0.2</v>
      </c>
      <c r="I31" s="38" t="s">
        <v>8</v>
      </c>
      <c r="J31" s="38" t="s">
        <v>9</v>
      </c>
      <c r="K31" s="40">
        <v>0</v>
      </c>
      <c r="L31" s="40">
        <v>63</v>
      </c>
      <c r="M31" s="40">
        <v>63</v>
      </c>
    </row>
    <row r="32" spans="2:13" x14ac:dyDescent="0.25">
      <c r="B32" s="35" t="s">
        <v>102</v>
      </c>
      <c r="C32" s="35">
        <v>11</v>
      </c>
      <c r="D32" s="35">
        <v>16</v>
      </c>
      <c r="E32" s="35">
        <v>2.8</v>
      </c>
      <c r="F32" s="35">
        <v>2.8</v>
      </c>
      <c r="G32" s="35">
        <v>77</v>
      </c>
      <c r="H32" s="35">
        <v>0.08</v>
      </c>
      <c r="I32" s="36" t="s">
        <v>8</v>
      </c>
      <c r="J32" s="36" t="s">
        <v>9</v>
      </c>
      <c r="K32" s="39">
        <v>0</v>
      </c>
      <c r="L32" s="39">
        <v>84</v>
      </c>
      <c r="M32" s="39">
        <v>90</v>
      </c>
    </row>
    <row r="33" spans="2:13" x14ac:dyDescent="0.25">
      <c r="B33" s="37" t="s">
        <v>107</v>
      </c>
      <c r="C33" s="37">
        <v>11</v>
      </c>
      <c r="D33" s="37">
        <v>16</v>
      </c>
      <c r="E33" s="37">
        <v>2.8</v>
      </c>
      <c r="F33" s="37">
        <v>2.8</v>
      </c>
      <c r="G33" s="37">
        <v>77</v>
      </c>
      <c r="H33" s="37">
        <v>0.08</v>
      </c>
      <c r="I33" s="38" t="s">
        <v>8</v>
      </c>
      <c r="J33" s="38" t="s">
        <v>9</v>
      </c>
      <c r="K33" s="40">
        <v>0</v>
      </c>
      <c r="L33" s="40">
        <v>84</v>
      </c>
      <c r="M33" s="40">
        <v>90</v>
      </c>
    </row>
    <row r="34" spans="2:13" x14ac:dyDescent="0.25">
      <c r="B34" s="35" t="s">
        <v>109</v>
      </c>
      <c r="C34" s="35">
        <v>11</v>
      </c>
      <c r="D34" s="35">
        <v>20</v>
      </c>
      <c r="E34" s="35">
        <v>2.8</v>
      </c>
      <c r="F34" s="35">
        <v>2.8</v>
      </c>
      <c r="G34" s="35">
        <v>82</v>
      </c>
      <c r="H34" s="35">
        <v>0.12</v>
      </c>
      <c r="I34" s="36" t="s">
        <v>8</v>
      </c>
      <c r="J34" s="36" t="s">
        <v>9</v>
      </c>
      <c r="K34" s="39">
        <v>0</v>
      </c>
      <c r="L34" s="39">
        <v>89</v>
      </c>
      <c r="M34" s="39">
        <v>92</v>
      </c>
    </row>
    <row r="35" spans="2:13" x14ac:dyDescent="0.25">
      <c r="B35" s="37" t="s">
        <v>113</v>
      </c>
      <c r="C35" s="37">
        <v>12</v>
      </c>
      <c r="D35" s="37">
        <v>24</v>
      </c>
      <c r="E35" s="37">
        <v>4</v>
      </c>
      <c r="F35" s="37">
        <v>4</v>
      </c>
      <c r="G35" s="37">
        <v>77</v>
      </c>
      <c r="H35" s="37">
        <v>0.12</v>
      </c>
      <c r="I35" s="38" t="s">
        <v>8</v>
      </c>
      <c r="J35" s="38" t="s">
        <v>9</v>
      </c>
      <c r="K35" s="40">
        <v>0</v>
      </c>
      <c r="L35" s="40">
        <v>83</v>
      </c>
      <c r="M35" s="40">
        <v>90</v>
      </c>
    </row>
    <row r="36" spans="2:13" x14ac:dyDescent="0.25">
      <c r="B36" s="35" t="s">
        <v>117</v>
      </c>
      <c r="C36" s="35">
        <v>12</v>
      </c>
      <c r="D36" s="35">
        <v>24</v>
      </c>
      <c r="E36" s="35">
        <v>4.5</v>
      </c>
      <c r="F36" s="35">
        <v>5.6</v>
      </c>
      <c r="G36" s="35">
        <v>0</v>
      </c>
      <c r="H36" s="35">
        <v>0.16</v>
      </c>
      <c r="I36" s="36" t="s">
        <v>8</v>
      </c>
      <c r="J36" s="36" t="s">
        <v>50</v>
      </c>
      <c r="K36" s="39">
        <v>0</v>
      </c>
      <c r="L36" s="39">
        <v>85</v>
      </c>
      <c r="M36" s="39">
        <v>120</v>
      </c>
    </row>
    <row r="37" spans="2:13" x14ac:dyDescent="0.25">
      <c r="B37" s="37" t="s">
        <v>121</v>
      </c>
      <c r="C37" s="37">
        <v>12</v>
      </c>
      <c r="D37" s="37">
        <v>24</v>
      </c>
      <c r="E37" s="37">
        <v>4.5</v>
      </c>
      <c r="F37" s="37">
        <v>5.6</v>
      </c>
      <c r="G37" s="37">
        <v>0</v>
      </c>
      <c r="H37" s="37">
        <v>0.14000000000000001</v>
      </c>
      <c r="I37" s="38" t="s">
        <v>8</v>
      </c>
      <c r="J37" s="38" t="s">
        <v>50</v>
      </c>
      <c r="K37" s="40">
        <v>0</v>
      </c>
      <c r="L37" s="40">
        <v>88</v>
      </c>
      <c r="M37" s="40">
        <v>103</v>
      </c>
    </row>
    <row r="38" spans="2:13" x14ac:dyDescent="0.25">
      <c r="B38" s="35" t="s">
        <v>125</v>
      </c>
      <c r="C38" s="35">
        <v>12</v>
      </c>
      <c r="D38" s="35">
        <v>24</v>
      </c>
      <c r="E38" s="35">
        <v>4</v>
      </c>
      <c r="F38" s="35">
        <v>4</v>
      </c>
      <c r="G38" s="35">
        <v>0</v>
      </c>
      <c r="H38" s="35">
        <v>0.2</v>
      </c>
      <c r="I38" s="36" t="s">
        <v>8</v>
      </c>
      <c r="J38" s="36" t="s">
        <v>50</v>
      </c>
      <c r="K38" s="39">
        <v>0</v>
      </c>
      <c r="L38" s="39">
        <v>102</v>
      </c>
      <c r="M38" s="39">
        <v>132</v>
      </c>
    </row>
    <row r="39" spans="2:13" x14ac:dyDescent="0.25">
      <c r="B39" s="37" t="s">
        <v>128</v>
      </c>
      <c r="C39" s="37">
        <v>12</v>
      </c>
      <c r="D39" s="37">
        <v>24</v>
      </c>
      <c r="E39" s="37">
        <v>4</v>
      </c>
      <c r="F39" s="37">
        <v>4</v>
      </c>
      <c r="G39" s="37">
        <v>77</v>
      </c>
      <c r="H39" s="37">
        <v>0.12</v>
      </c>
      <c r="I39" s="38" t="s">
        <v>8</v>
      </c>
      <c r="J39" s="38" t="s">
        <v>9</v>
      </c>
      <c r="K39" s="40">
        <v>0</v>
      </c>
      <c r="L39" s="40">
        <v>84</v>
      </c>
      <c r="M39" s="40">
        <v>90</v>
      </c>
    </row>
    <row r="40" spans="2:13" x14ac:dyDescent="0.25">
      <c r="B40" s="35" t="s">
        <v>129</v>
      </c>
      <c r="C40" s="35">
        <v>12</v>
      </c>
      <c r="D40" s="35">
        <v>28</v>
      </c>
      <c r="E40" s="35">
        <v>4</v>
      </c>
      <c r="F40" s="35">
        <v>4</v>
      </c>
      <c r="G40" s="35">
        <v>77</v>
      </c>
      <c r="H40" s="35">
        <v>0.2</v>
      </c>
      <c r="I40" s="36" t="s">
        <v>8</v>
      </c>
      <c r="J40" s="36" t="s">
        <v>9</v>
      </c>
      <c r="K40" s="39">
        <v>0</v>
      </c>
      <c r="L40" s="39">
        <v>84</v>
      </c>
      <c r="M40" s="39">
        <v>90</v>
      </c>
    </row>
    <row r="41" spans="2:13" x14ac:dyDescent="0.25">
      <c r="B41" s="37" t="s">
        <v>168</v>
      </c>
      <c r="C41" s="37">
        <v>14</v>
      </c>
      <c r="D41" s="37">
        <v>20</v>
      </c>
      <c r="E41" s="37">
        <v>2</v>
      </c>
      <c r="F41" s="37">
        <v>2</v>
      </c>
      <c r="G41" s="37">
        <v>82</v>
      </c>
      <c r="H41" s="37">
        <v>0.12</v>
      </c>
      <c r="I41" s="38" t="s">
        <v>8</v>
      </c>
      <c r="J41" s="38" t="s">
        <v>9</v>
      </c>
      <c r="K41" s="40">
        <v>0</v>
      </c>
      <c r="L41" s="40">
        <v>89</v>
      </c>
      <c r="M41" s="40">
        <v>106</v>
      </c>
    </row>
    <row r="42" spans="2:13" x14ac:dyDescent="0.25">
      <c r="B42" s="35" t="s">
        <v>171</v>
      </c>
      <c r="C42" s="35">
        <v>14</v>
      </c>
      <c r="D42" s="35">
        <v>24</v>
      </c>
      <c r="E42" s="35">
        <v>2.8</v>
      </c>
      <c r="F42" s="35">
        <v>2.8</v>
      </c>
      <c r="G42" s="35">
        <v>0</v>
      </c>
      <c r="H42" s="35">
        <v>0.15</v>
      </c>
      <c r="I42" s="36" t="s">
        <v>8</v>
      </c>
      <c r="J42" s="36" t="s">
        <v>50</v>
      </c>
      <c r="K42" s="39">
        <v>0</v>
      </c>
      <c r="L42" s="39">
        <v>98</v>
      </c>
      <c r="M42" s="39">
        <v>132</v>
      </c>
    </row>
    <row r="43" spans="2:13" x14ac:dyDescent="0.25">
      <c r="B43" s="37" t="s">
        <v>175</v>
      </c>
      <c r="C43" s="37">
        <v>14</v>
      </c>
      <c r="D43" s="37">
        <v>14</v>
      </c>
      <c r="E43" s="37">
        <v>2.8</v>
      </c>
      <c r="F43" s="37">
        <v>2.8</v>
      </c>
      <c r="G43" s="37">
        <v>0</v>
      </c>
      <c r="H43" s="37">
        <v>0.15</v>
      </c>
      <c r="I43" s="38" t="s">
        <v>8</v>
      </c>
      <c r="J43" s="38" t="s">
        <v>50</v>
      </c>
      <c r="K43" s="40">
        <v>0</v>
      </c>
      <c r="L43" s="40">
        <v>87</v>
      </c>
      <c r="M43" s="40">
        <v>87</v>
      </c>
    </row>
    <row r="44" spans="2:13" x14ac:dyDescent="0.25">
      <c r="B44" s="35" t="s">
        <v>181</v>
      </c>
      <c r="C44" s="35">
        <v>14</v>
      </c>
      <c r="D44" s="35">
        <v>14</v>
      </c>
      <c r="E44" s="35">
        <v>2.4</v>
      </c>
      <c r="F44" s="35">
        <v>2.4</v>
      </c>
      <c r="G44" s="35">
        <v>0</v>
      </c>
      <c r="H44" s="35">
        <v>0.08</v>
      </c>
      <c r="I44" s="36" t="s">
        <v>8</v>
      </c>
      <c r="J44" s="36" t="s">
        <v>50</v>
      </c>
      <c r="K44" s="39">
        <v>0</v>
      </c>
      <c r="L44" s="39">
        <v>95</v>
      </c>
      <c r="M44" s="39">
        <v>110</v>
      </c>
    </row>
    <row r="45" spans="2:13" x14ac:dyDescent="0.25">
      <c r="B45" s="37" t="s">
        <v>187</v>
      </c>
      <c r="C45" s="37">
        <v>14</v>
      </c>
      <c r="D45" s="37">
        <v>14</v>
      </c>
      <c r="E45" s="37">
        <v>1.8</v>
      </c>
      <c r="F45" s="37">
        <v>1.8</v>
      </c>
      <c r="G45" s="37">
        <v>0</v>
      </c>
      <c r="H45" s="37">
        <v>0.11</v>
      </c>
      <c r="I45" s="38" t="s">
        <v>8</v>
      </c>
      <c r="J45" s="38" t="s">
        <v>50</v>
      </c>
      <c r="K45" s="40">
        <v>0</v>
      </c>
      <c r="L45" s="40">
        <v>97</v>
      </c>
      <c r="M45" s="40">
        <v>127</v>
      </c>
    </row>
    <row r="46" spans="2:13" x14ac:dyDescent="0.25">
      <c r="B46" s="35" t="s">
        <v>178</v>
      </c>
      <c r="C46" s="35">
        <v>14</v>
      </c>
      <c r="D46" s="35">
        <v>14</v>
      </c>
      <c r="E46" s="35">
        <v>2.8</v>
      </c>
      <c r="F46" s="35">
        <v>2.8</v>
      </c>
      <c r="G46" s="35">
        <v>0</v>
      </c>
      <c r="H46" s="35">
        <v>0</v>
      </c>
      <c r="I46" s="36" t="s">
        <v>8</v>
      </c>
      <c r="J46" s="36" t="s">
        <v>50</v>
      </c>
      <c r="K46" s="39">
        <v>0</v>
      </c>
      <c r="L46" s="39">
        <v>82</v>
      </c>
      <c r="M46" s="39">
        <v>148</v>
      </c>
    </row>
    <row r="47" spans="2:13" x14ac:dyDescent="0.25">
      <c r="B47" s="37" t="s">
        <v>185</v>
      </c>
      <c r="C47" s="37">
        <v>14</v>
      </c>
      <c r="D47" s="37">
        <v>14</v>
      </c>
      <c r="E47" s="37">
        <v>3.1</v>
      </c>
      <c r="F47" s="37">
        <v>3.1</v>
      </c>
      <c r="G47" s="37">
        <v>0</v>
      </c>
      <c r="H47" s="37">
        <v>0</v>
      </c>
      <c r="I47" s="38" t="s">
        <v>8</v>
      </c>
      <c r="J47" s="38" t="s">
        <v>50</v>
      </c>
      <c r="K47" s="40">
        <v>0</v>
      </c>
      <c r="L47" s="40">
        <v>83</v>
      </c>
      <c r="M47" s="40">
        <v>97</v>
      </c>
    </row>
    <row r="48" spans="2:13" x14ac:dyDescent="0.25">
      <c r="B48" s="35" t="s">
        <v>221</v>
      </c>
      <c r="C48" s="35">
        <v>15</v>
      </c>
      <c r="D48" s="35">
        <v>15</v>
      </c>
      <c r="E48" s="35">
        <v>2.8</v>
      </c>
      <c r="F48" s="35">
        <v>2.8</v>
      </c>
      <c r="G48" s="35">
        <v>0</v>
      </c>
      <c r="H48" s="35">
        <v>0.26</v>
      </c>
      <c r="I48" s="36" t="s">
        <v>8</v>
      </c>
      <c r="J48" s="36" t="s">
        <v>50</v>
      </c>
      <c r="K48" s="39">
        <v>0</v>
      </c>
      <c r="L48" s="39">
        <v>74</v>
      </c>
      <c r="M48" s="39">
        <v>71</v>
      </c>
    </row>
    <row r="49" spans="2:13" x14ac:dyDescent="0.25">
      <c r="B49" s="37" t="s">
        <v>228</v>
      </c>
      <c r="C49" s="37">
        <v>15</v>
      </c>
      <c r="D49" s="37">
        <v>15</v>
      </c>
      <c r="E49" s="37">
        <v>2.8</v>
      </c>
      <c r="F49" s="37">
        <v>2.8</v>
      </c>
      <c r="G49" s="37">
        <v>95</v>
      </c>
      <c r="H49" s="37">
        <v>0.11</v>
      </c>
      <c r="I49" s="38" t="s">
        <v>8</v>
      </c>
      <c r="J49" s="38" t="s">
        <v>50</v>
      </c>
      <c r="K49" s="40">
        <v>0</v>
      </c>
      <c r="L49" s="40">
        <v>103</v>
      </c>
      <c r="M49" s="40">
        <v>99</v>
      </c>
    </row>
    <row r="50" spans="2:13" x14ac:dyDescent="0.25">
      <c r="B50" s="35" t="s">
        <v>191</v>
      </c>
      <c r="C50" s="35">
        <v>15</v>
      </c>
      <c r="D50" s="35">
        <v>30</v>
      </c>
      <c r="E50" s="35">
        <v>2.8</v>
      </c>
      <c r="F50" s="35">
        <v>2.8</v>
      </c>
      <c r="G50" s="35">
        <v>0</v>
      </c>
      <c r="H50" s="35">
        <v>0.2</v>
      </c>
      <c r="I50" s="36" t="s">
        <v>8</v>
      </c>
      <c r="J50" s="36" t="s">
        <v>50</v>
      </c>
      <c r="K50" s="39">
        <v>0</v>
      </c>
      <c r="L50" s="39">
        <v>111</v>
      </c>
      <c r="M50" s="39">
        <v>83</v>
      </c>
    </row>
    <row r="51" spans="2:13" x14ac:dyDescent="0.25">
      <c r="B51" s="37" t="s">
        <v>225</v>
      </c>
      <c r="C51" s="37">
        <v>15</v>
      </c>
      <c r="D51" s="37">
        <v>15</v>
      </c>
      <c r="E51" s="37">
        <v>2.8</v>
      </c>
      <c r="F51" s="37">
        <v>2.8</v>
      </c>
      <c r="G51" s="37">
        <v>95</v>
      </c>
      <c r="H51" s="37">
        <v>0.06</v>
      </c>
      <c r="I51" s="38" t="s">
        <v>8</v>
      </c>
      <c r="J51" s="38" t="s">
        <v>50</v>
      </c>
      <c r="K51" s="40">
        <v>0</v>
      </c>
      <c r="L51" s="40">
        <v>78</v>
      </c>
      <c r="M51" s="40">
        <v>120</v>
      </c>
    </row>
    <row r="52" spans="2:13" x14ac:dyDescent="0.25">
      <c r="B52" s="35" t="s">
        <v>231</v>
      </c>
      <c r="C52" s="35">
        <v>16</v>
      </c>
      <c r="D52" s="35">
        <v>28</v>
      </c>
      <c r="E52" s="35">
        <v>2.8</v>
      </c>
      <c r="F52" s="35">
        <v>2.8</v>
      </c>
      <c r="G52" s="35">
        <v>0</v>
      </c>
      <c r="H52" s="35">
        <v>0.19</v>
      </c>
      <c r="I52" s="36" t="s">
        <v>8</v>
      </c>
      <c r="J52" s="36" t="s">
        <v>50</v>
      </c>
      <c r="K52" s="39">
        <v>0</v>
      </c>
      <c r="L52" s="39">
        <v>90</v>
      </c>
      <c r="M52" s="39">
        <v>134</v>
      </c>
    </row>
    <row r="53" spans="2:13" x14ac:dyDescent="0.25">
      <c r="B53" s="37" t="s">
        <v>235</v>
      </c>
      <c r="C53" s="37">
        <v>16</v>
      </c>
      <c r="D53" s="37">
        <v>300</v>
      </c>
      <c r="E53" s="37">
        <v>3.5</v>
      </c>
      <c r="F53" s="37">
        <v>6.3</v>
      </c>
      <c r="G53" s="37">
        <v>67</v>
      </c>
      <c r="H53" s="37">
        <v>0.34</v>
      </c>
      <c r="I53" s="38" t="s">
        <v>8</v>
      </c>
      <c r="J53" s="38" t="s">
        <v>9</v>
      </c>
      <c r="K53" s="40">
        <v>0</v>
      </c>
      <c r="L53" s="40">
        <v>75</v>
      </c>
      <c r="M53" s="40">
        <v>100</v>
      </c>
    </row>
    <row r="54" spans="2:13" x14ac:dyDescent="0.25">
      <c r="B54" s="35" t="s">
        <v>240</v>
      </c>
      <c r="C54" s="35">
        <v>16</v>
      </c>
      <c r="D54" s="35">
        <v>35</v>
      </c>
      <c r="E54" s="35">
        <v>4</v>
      </c>
      <c r="F54" s="35">
        <v>4</v>
      </c>
      <c r="G54" s="35">
        <v>77</v>
      </c>
      <c r="H54" s="35">
        <v>0.25</v>
      </c>
      <c r="I54" s="36" t="s">
        <v>8</v>
      </c>
      <c r="J54" s="36" t="s">
        <v>50</v>
      </c>
      <c r="K54" s="39">
        <v>0</v>
      </c>
      <c r="L54" s="39">
        <v>83</v>
      </c>
      <c r="M54" s="39">
        <v>125</v>
      </c>
    </row>
    <row r="55" spans="2:13" x14ac:dyDescent="0.25">
      <c r="B55" s="37" t="s">
        <v>244</v>
      </c>
      <c r="C55" s="37">
        <v>16</v>
      </c>
      <c r="D55" s="37">
        <v>50</v>
      </c>
      <c r="E55" s="37">
        <v>2.8</v>
      </c>
      <c r="F55" s="37">
        <v>2.8</v>
      </c>
      <c r="G55" s="37">
        <v>77</v>
      </c>
      <c r="H55" s="37">
        <v>0.2</v>
      </c>
      <c r="I55" s="38" t="s">
        <v>8</v>
      </c>
      <c r="J55" s="38" t="s">
        <v>9</v>
      </c>
      <c r="K55" s="40">
        <v>0</v>
      </c>
      <c r="L55" s="40">
        <v>84</v>
      </c>
      <c r="M55" s="40">
        <v>98</v>
      </c>
    </row>
    <row r="56" spans="2:13" x14ac:dyDescent="0.25">
      <c r="B56" s="35" t="s">
        <v>248</v>
      </c>
      <c r="C56" s="35">
        <v>16</v>
      </c>
      <c r="D56" s="35">
        <v>80</v>
      </c>
      <c r="E56" s="35">
        <v>2.8</v>
      </c>
      <c r="F56" s="35">
        <v>4</v>
      </c>
      <c r="G56" s="35">
        <v>72</v>
      </c>
      <c r="H56" s="35">
        <v>0.22</v>
      </c>
      <c r="I56" s="36" t="s">
        <v>8</v>
      </c>
      <c r="J56" s="36" t="s">
        <v>9</v>
      </c>
      <c r="K56" s="39">
        <v>0</v>
      </c>
      <c r="L56" s="39">
        <v>80</v>
      </c>
      <c r="M56" s="39">
        <v>86</v>
      </c>
    </row>
    <row r="57" spans="2:13" x14ac:dyDescent="0.25">
      <c r="B57" s="37" t="s">
        <v>254</v>
      </c>
      <c r="C57" s="37">
        <v>16</v>
      </c>
      <c r="D57" s="37">
        <v>85</v>
      </c>
      <c r="E57" s="37">
        <v>3.5</v>
      </c>
      <c r="F57" s="37">
        <v>5.6</v>
      </c>
      <c r="G57" s="37">
        <v>67</v>
      </c>
      <c r="H57" s="37">
        <v>0.22</v>
      </c>
      <c r="I57" s="38" t="s">
        <v>8</v>
      </c>
      <c r="J57" s="38" t="s">
        <v>9</v>
      </c>
      <c r="K57" s="40">
        <v>0</v>
      </c>
      <c r="L57" s="40">
        <v>72</v>
      </c>
      <c r="M57" s="40">
        <v>85</v>
      </c>
    </row>
    <row r="58" spans="2:13" x14ac:dyDescent="0.25">
      <c r="B58" s="35" t="s">
        <v>262</v>
      </c>
      <c r="C58" s="35">
        <v>16</v>
      </c>
      <c r="D58" s="35">
        <v>16</v>
      </c>
      <c r="E58" s="35">
        <v>2.8</v>
      </c>
      <c r="F58" s="35">
        <v>2.8</v>
      </c>
      <c r="G58" s="35">
        <v>0</v>
      </c>
      <c r="H58" s="35">
        <v>0.1</v>
      </c>
      <c r="I58" s="36" t="s">
        <v>8</v>
      </c>
      <c r="J58" s="36" t="s">
        <v>50</v>
      </c>
      <c r="K58" s="39">
        <v>0</v>
      </c>
      <c r="L58" s="39">
        <v>63</v>
      </c>
      <c r="M58" s="39">
        <v>57</v>
      </c>
    </row>
    <row r="59" spans="2:13" x14ac:dyDescent="0.25">
      <c r="B59" s="37" t="s">
        <v>267</v>
      </c>
      <c r="C59" s="37">
        <v>16</v>
      </c>
      <c r="D59" s="37">
        <v>16</v>
      </c>
      <c r="E59" s="37">
        <v>2</v>
      </c>
      <c r="F59" s="37">
        <v>2</v>
      </c>
      <c r="G59" s="37">
        <v>77</v>
      </c>
      <c r="H59" s="37">
        <v>0</v>
      </c>
      <c r="I59" s="38" t="s">
        <v>8</v>
      </c>
      <c r="J59" s="38" t="s">
        <v>9</v>
      </c>
      <c r="K59" s="40">
        <v>0</v>
      </c>
      <c r="L59" s="40">
        <v>94</v>
      </c>
      <c r="M59" s="40">
        <v>87</v>
      </c>
    </row>
    <row r="60" spans="2:13" x14ac:dyDescent="0.25">
      <c r="B60" s="35" t="s">
        <v>259</v>
      </c>
      <c r="C60" s="35">
        <v>16.5</v>
      </c>
      <c r="D60" s="35">
        <v>135</v>
      </c>
      <c r="E60" s="35">
        <v>3.5</v>
      </c>
      <c r="F60" s="35">
        <v>5.6</v>
      </c>
      <c r="G60" s="35">
        <v>77</v>
      </c>
      <c r="H60" s="35">
        <v>0.18</v>
      </c>
      <c r="I60" s="36" t="s">
        <v>8</v>
      </c>
      <c r="J60" s="36" t="s">
        <v>9</v>
      </c>
      <c r="K60" s="39">
        <v>0</v>
      </c>
      <c r="L60" s="39">
        <v>84</v>
      </c>
      <c r="M60" s="39">
        <v>78</v>
      </c>
    </row>
    <row r="61" spans="2:13" x14ac:dyDescent="0.25">
      <c r="B61" s="37" t="s">
        <v>270</v>
      </c>
      <c r="C61" s="37">
        <v>17</v>
      </c>
      <c r="D61" s="37">
        <v>35</v>
      </c>
      <c r="E61" s="37">
        <v>2.8</v>
      </c>
      <c r="F61" s="37">
        <v>2.8</v>
      </c>
      <c r="G61" s="37">
        <v>77</v>
      </c>
      <c r="H61" s="37">
        <v>0.22</v>
      </c>
      <c r="I61" s="38" t="s">
        <v>8</v>
      </c>
      <c r="J61" s="38" t="s">
        <v>50</v>
      </c>
      <c r="K61" s="40">
        <v>0</v>
      </c>
      <c r="L61" s="40">
        <v>83</v>
      </c>
      <c r="M61" s="40">
        <v>106</v>
      </c>
    </row>
    <row r="62" spans="2:13" x14ac:dyDescent="0.25">
      <c r="B62" s="35" t="s">
        <v>274</v>
      </c>
      <c r="C62" s="35">
        <v>17</v>
      </c>
      <c r="D62" s="35">
        <v>35</v>
      </c>
      <c r="E62" s="35">
        <v>4</v>
      </c>
      <c r="F62" s="35">
        <v>4</v>
      </c>
      <c r="G62" s="35">
        <v>82</v>
      </c>
      <c r="H62" s="35">
        <v>0.2</v>
      </c>
      <c r="I62" s="36" t="s">
        <v>8</v>
      </c>
      <c r="J62" s="36" t="s">
        <v>50</v>
      </c>
      <c r="K62" s="39">
        <v>0</v>
      </c>
      <c r="L62" s="39">
        <v>89</v>
      </c>
      <c r="M62" s="39">
        <v>95</v>
      </c>
    </row>
    <row r="63" spans="2:13" x14ac:dyDescent="0.25">
      <c r="B63" s="37" t="s">
        <v>276</v>
      </c>
      <c r="C63" s="37">
        <v>17</v>
      </c>
      <c r="D63" s="37">
        <v>50</v>
      </c>
      <c r="E63" s="37">
        <v>2.8</v>
      </c>
      <c r="F63" s="37">
        <v>2.8</v>
      </c>
      <c r="G63" s="37">
        <v>77</v>
      </c>
      <c r="H63" s="37">
        <v>0.2</v>
      </c>
      <c r="I63" s="38" t="s">
        <v>8</v>
      </c>
      <c r="J63" s="38" t="s">
        <v>9</v>
      </c>
      <c r="K63" s="40">
        <v>0</v>
      </c>
      <c r="L63" s="40">
        <v>84</v>
      </c>
      <c r="M63" s="40">
        <v>92</v>
      </c>
    </row>
    <row r="64" spans="2:13" x14ac:dyDescent="0.25">
      <c r="B64" s="35" t="s">
        <v>280</v>
      </c>
      <c r="C64" s="35">
        <v>17</v>
      </c>
      <c r="D64" s="35">
        <v>50</v>
      </c>
      <c r="E64" s="35">
        <v>2.8</v>
      </c>
      <c r="F64" s="35">
        <v>2.8</v>
      </c>
      <c r="G64" s="35">
        <v>67</v>
      </c>
      <c r="H64" s="35">
        <v>0.22</v>
      </c>
      <c r="I64" s="36" t="s">
        <v>8</v>
      </c>
      <c r="J64" s="36" t="s">
        <v>9</v>
      </c>
      <c r="K64" s="39">
        <v>0</v>
      </c>
      <c r="L64" s="39">
        <v>74</v>
      </c>
      <c r="M64" s="39">
        <v>82</v>
      </c>
    </row>
    <row r="65" spans="2:13" x14ac:dyDescent="0.25">
      <c r="B65" s="37" t="s">
        <v>283</v>
      </c>
      <c r="C65" s="37">
        <v>17</v>
      </c>
      <c r="D65" s="37">
        <v>50</v>
      </c>
      <c r="E65" s="37">
        <v>2.8</v>
      </c>
      <c r="F65" s="37">
        <v>2.8</v>
      </c>
      <c r="G65" s="37">
        <v>72</v>
      </c>
      <c r="H65" s="37">
        <v>0.2</v>
      </c>
      <c r="I65" s="38" t="s">
        <v>8</v>
      </c>
      <c r="J65" s="38" t="s">
        <v>9</v>
      </c>
      <c r="K65" s="40">
        <v>0</v>
      </c>
      <c r="L65" s="40">
        <v>80</v>
      </c>
      <c r="M65" s="40">
        <v>95</v>
      </c>
    </row>
    <row r="66" spans="2:13" x14ac:dyDescent="0.25">
      <c r="B66" s="35" t="s">
        <v>285</v>
      </c>
      <c r="C66" s="35">
        <v>17</v>
      </c>
      <c r="D66" s="35">
        <v>55</v>
      </c>
      <c r="E66" s="35">
        <v>2.8</v>
      </c>
      <c r="F66" s="35">
        <v>2.8</v>
      </c>
      <c r="G66" s="35">
        <v>77</v>
      </c>
      <c r="H66" s="35">
        <v>0.2</v>
      </c>
      <c r="I66" s="36" t="s">
        <v>8</v>
      </c>
      <c r="J66" s="36" t="s">
        <v>9</v>
      </c>
      <c r="K66" s="39">
        <v>0</v>
      </c>
      <c r="L66" s="39">
        <v>86</v>
      </c>
      <c r="M66" s="39">
        <v>111</v>
      </c>
    </row>
    <row r="67" spans="2:13" x14ac:dyDescent="0.25">
      <c r="B67" s="37" t="s">
        <v>289</v>
      </c>
      <c r="C67" s="37">
        <v>17</v>
      </c>
      <c r="D67" s="37">
        <v>70</v>
      </c>
      <c r="E67" s="37">
        <v>2.8</v>
      </c>
      <c r="F67" s="37">
        <v>4</v>
      </c>
      <c r="G67" s="37">
        <v>72</v>
      </c>
      <c r="H67" s="37">
        <v>0.37</v>
      </c>
      <c r="I67" s="38" t="s">
        <v>8</v>
      </c>
      <c r="J67" s="38" t="s">
        <v>9</v>
      </c>
      <c r="K67" s="40">
        <v>0</v>
      </c>
      <c r="L67" s="40">
        <v>79</v>
      </c>
      <c r="M67" s="40">
        <v>89</v>
      </c>
    </row>
    <row r="68" spans="2:13" x14ac:dyDescent="0.25">
      <c r="B68" s="35" t="s">
        <v>294</v>
      </c>
      <c r="C68" s="35">
        <v>17</v>
      </c>
      <c r="D68" s="35">
        <v>70</v>
      </c>
      <c r="E68" s="35">
        <v>2.8</v>
      </c>
      <c r="F68" s="35">
        <v>4.5</v>
      </c>
      <c r="G68" s="35">
        <v>72</v>
      </c>
      <c r="H68" s="35">
        <v>0.44</v>
      </c>
      <c r="I68" s="36" t="s">
        <v>8</v>
      </c>
      <c r="J68" s="36" t="s">
        <v>9</v>
      </c>
      <c r="K68" s="39">
        <v>0</v>
      </c>
      <c r="L68" s="39">
        <v>79</v>
      </c>
      <c r="M68" s="39">
        <v>83</v>
      </c>
    </row>
    <row r="69" spans="2:13" x14ac:dyDescent="0.25">
      <c r="B69" s="37" t="s">
        <v>299</v>
      </c>
      <c r="C69" s="37">
        <v>17</v>
      </c>
      <c r="D69" s="37">
        <v>70</v>
      </c>
      <c r="E69" s="37">
        <v>2.8</v>
      </c>
      <c r="F69" s="37">
        <v>4</v>
      </c>
      <c r="G69" s="37">
        <v>72</v>
      </c>
      <c r="H69" s="37">
        <v>0.24</v>
      </c>
      <c r="I69" s="38" t="s">
        <v>8</v>
      </c>
      <c r="J69" s="38" t="s">
        <v>9</v>
      </c>
      <c r="K69" s="40">
        <v>0</v>
      </c>
      <c r="L69" s="40">
        <v>79</v>
      </c>
      <c r="M69" s="40">
        <v>82</v>
      </c>
    </row>
    <row r="70" spans="2:13" x14ac:dyDescent="0.25">
      <c r="B70" s="35" t="s">
        <v>301</v>
      </c>
      <c r="C70" s="35">
        <v>18</v>
      </c>
      <c r="D70" s="35">
        <v>105</v>
      </c>
      <c r="E70" s="35">
        <v>3.5</v>
      </c>
      <c r="F70" s="35">
        <v>5.6</v>
      </c>
      <c r="G70" s="35">
        <v>67</v>
      </c>
      <c r="H70" s="35">
        <v>0.2</v>
      </c>
      <c r="I70" s="36" t="s">
        <v>8</v>
      </c>
      <c r="J70" s="36" t="s">
        <v>9</v>
      </c>
      <c r="K70" s="39">
        <v>0</v>
      </c>
      <c r="L70" s="39">
        <v>76</v>
      </c>
      <c r="M70" s="39">
        <v>89</v>
      </c>
    </row>
    <row r="71" spans="2:13" x14ac:dyDescent="0.25">
      <c r="B71" s="37" t="s">
        <v>305</v>
      </c>
      <c r="C71" s="37">
        <v>18</v>
      </c>
      <c r="D71" s="37">
        <v>125</v>
      </c>
      <c r="E71" s="37">
        <v>3.8</v>
      </c>
      <c r="F71" s="37">
        <v>5.6</v>
      </c>
      <c r="G71" s="37">
        <v>67</v>
      </c>
      <c r="H71" s="37">
        <v>0.26</v>
      </c>
      <c r="I71" s="38" t="s">
        <v>8</v>
      </c>
      <c r="J71" s="38" t="s">
        <v>9</v>
      </c>
      <c r="K71" s="40">
        <v>0</v>
      </c>
      <c r="L71" s="40">
        <v>74</v>
      </c>
      <c r="M71" s="40">
        <v>89</v>
      </c>
    </row>
    <row r="72" spans="2:13" x14ac:dyDescent="0.25">
      <c r="B72" s="35" t="s">
        <v>310</v>
      </c>
      <c r="C72" s="35">
        <v>18</v>
      </c>
      <c r="D72" s="35">
        <v>140</v>
      </c>
      <c r="E72" s="35">
        <v>3.5</v>
      </c>
      <c r="F72" s="35">
        <v>5.6</v>
      </c>
      <c r="G72" s="35">
        <v>67</v>
      </c>
      <c r="H72" s="35">
        <v>0.23</v>
      </c>
      <c r="I72" s="36" t="s">
        <v>8</v>
      </c>
      <c r="J72" s="36" t="s">
        <v>9</v>
      </c>
      <c r="K72" s="39">
        <v>0</v>
      </c>
      <c r="L72" s="39">
        <v>78</v>
      </c>
      <c r="M72" s="39">
        <v>97</v>
      </c>
    </row>
    <row r="73" spans="2:13" x14ac:dyDescent="0.25">
      <c r="B73" s="37" t="s">
        <v>314</v>
      </c>
      <c r="C73" s="37">
        <v>18</v>
      </c>
      <c r="D73" s="37">
        <v>200</v>
      </c>
      <c r="E73" s="37">
        <v>3.5</v>
      </c>
      <c r="F73" s="37">
        <v>5.6</v>
      </c>
      <c r="G73" s="37">
        <v>72</v>
      </c>
      <c r="H73" s="37">
        <v>0.22</v>
      </c>
      <c r="I73" s="38" t="s">
        <v>8</v>
      </c>
      <c r="J73" s="38" t="s">
        <v>9</v>
      </c>
      <c r="K73" s="40">
        <v>0</v>
      </c>
      <c r="L73" s="40">
        <v>77</v>
      </c>
      <c r="M73" s="40">
        <v>97</v>
      </c>
    </row>
    <row r="74" spans="2:13" x14ac:dyDescent="0.25">
      <c r="B74" s="35" t="s">
        <v>317</v>
      </c>
      <c r="C74" s="35">
        <v>18</v>
      </c>
      <c r="D74" s="35">
        <v>200</v>
      </c>
      <c r="E74" s="35">
        <v>3.5</v>
      </c>
      <c r="F74" s="35">
        <v>5.6</v>
      </c>
      <c r="G74" s="35">
        <v>52</v>
      </c>
      <c r="H74" s="35">
        <v>0.26</v>
      </c>
      <c r="I74" s="36" t="s">
        <v>8</v>
      </c>
      <c r="J74" s="36" t="s">
        <v>9</v>
      </c>
      <c r="K74" s="39">
        <v>0</v>
      </c>
      <c r="L74" s="39">
        <v>76</v>
      </c>
      <c r="M74" s="39">
        <v>88</v>
      </c>
    </row>
    <row r="75" spans="2:13" x14ac:dyDescent="0.25">
      <c r="B75" s="37" t="s">
        <v>320</v>
      </c>
      <c r="C75" s="37">
        <v>18</v>
      </c>
      <c r="D75" s="37">
        <v>200</v>
      </c>
      <c r="E75" s="37">
        <v>3.5</v>
      </c>
      <c r="F75" s="37">
        <v>6.3</v>
      </c>
      <c r="G75" s="37">
        <v>62</v>
      </c>
      <c r="H75" s="37">
        <v>0.22</v>
      </c>
      <c r="I75" s="38" t="s">
        <v>8</v>
      </c>
      <c r="J75" s="38" t="s">
        <v>9</v>
      </c>
      <c r="K75" s="40">
        <v>0</v>
      </c>
      <c r="L75" s="40">
        <v>70</v>
      </c>
      <c r="M75" s="40">
        <v>78</v>
      </c>
    </row>
    <row r="76" spans="2:13" x14ac:dyDescent="0.25">
      <c r="B76" s="35" t="s">
        <v>323</v>
      </c>
      <c r="C76" s="35">
        <v>18</v>
      </c>
      <c r="D76" s="35">
        <v>200</v>
      </c>
      <c r="E76" s="35">
        <v>3.5</v>
      </c>
      <c r="F76" s="35">
        <v>6.3</v>
      </c>
      <c r="G76" s="35">
        <v>72</v>
      </c>
      <c r="H76" s="35">
        <v>0.25</v>
      </c>
      <c r="I76" s="36" t="s">
        <v>8</v>
      </c>
      <c r="J76" s="36" t="s">
        <v>9</v>
      </c>
      <c r="K76" s="39">
        <v>0</v>
      </c>
      <c r="L76" s="39">
        <v>79</v>
      </c>
      <c r="M76" s="39">
        <v>100</v>
      </c>
    </row>
    <row r="77" spans="2:13" x14ac:dyDescent="0.25">
      <c r="B77" s="37" t="s">
        <v>325</v>
      </c>
      <c r="C77" s="37">
        <v>18</v>
      </c>
      <c r="D77" s="37">
        <v>200</v>
      </c>
      <c r="E77" s="37">
        <v>3.5</v>
      </c>
      <c r="F77" s="37">
        <v>6.3</v>
      </c>
      <c r="G77" s="37">
        <v>62</v>
      </c>
      <c r="H77" s="37">
        <v>0.33</v>
      </c>
      <c r="I77" s="38" t="s">
        <v>8</v>
      </c>
      <c r="J77" s="38" t="s">
        <v>9</v>
      </c>
      <c r="K77" s="40">
        <v>0</v>
      </c>
      <c r="L77" s="40">
        <v>71</v>
      </c>
      <c r="M77" s="40">
        <v>86</v>
      </c>
    </row>
    <row r="78" spans="2:13" x14ac:dyDescent="0.25">
      <c r="B78" s="35" t="s">
        <v>329</v>
      </c>
      <c r="C78" s="35">
        <v>18</v>
      </c>
      <c r="D78" s="35">
        <v>200</v>
      </c>
      <c r="E78" s="35">
        <v>3.5</v>
      </c>
      <c r="F78" s="35">
        <v>6.3</v>
      </c>
      <c r="G78" s="35">
        <v>62</v>
      </c>
      <c r="H78" s="35">
        <v>0.25</v>
      </c>
      <c r="I78" s="36" t="s">
        <v>8</v>
      </c>
      <c r="J78" s="36" t="s">
        <v>9</v>
      </c>
      <c r="K78" s="39">
        <v>0</v>
      </c>
      <c r="L78" s="39">
        <v>75</v>
      </c>
      <c r="M78" s="39">
        <v>97</v>
      </c>
    </row>
    <row r="79" spans="2:13" x14ac:dyDescent="0.25">
      <c r="B79" s="37" t="s">
        <v>332</v>
      </c>
      <c r="C79" s="37">
        <v>18</v>
      </c>
      <c r="D79" s="37">
        <v>200</v>
      </c>
      <c r="E79" s="37">
        <v>3.5</v>
      </c>
      <c r="F79" s="37">
        <v>6.3</v>
      </c>
      <c r="G79" s="37">
        <v>62</v>
      </c>
      <c r="H79" s="37">
        <v>0.27</v>
      </c>
      <c r="I79" s="38" t="s">
        <v>8</v>
      </c>
      <c r="J79" s="38" t="s">
        <v>9</v>
      </c>
      <c r="K79" s="40">
        <v>0</v>
      </c>
      <c r="L79" s="40">
        <v>84</v>
      </c>
      <c r="M79" s="40">
        <v>74</v>
      </c>
    </row>
    <row r="80" spans="2:13" x14ac:dyDescent="0.25">
      <c r="B80" s="35" t="s">
        <v>336</v>
      </c>
      <c r="C80" s="35">
        <v>18</v>
      </c>
      <c r="D80" s="35">
        <v>250</v>
      </c>
      <c r="E80" s="35">
        <v>3.5</v>
      </c>
      <c r="F80" s="35">
        <v>6.3</v>
      </c>
      <c r="G80" s="35">
        <v>62</v>
      </c>
      <c r="H80" s="35">
        <v>0.34</v>
      </c>
      <c r="I80" s="36" t="s">
        <v>8</v>
      </c>
      <c r="J80" s="36" t="s">
        <v>9</v>
      </c>
      <c r="K80" s="39">
        <v>0</v>
      </c>
      <c r="L80" s="39">
        <v>74</v>
      </c>
      <c r="M80" s="39">
        <v>89</v>
      </c>
    </row>
    <row r="81" spans="2:13" x14ac:dyDescent="0.25">
      <c r="B81" s="37" t="s">
        <v>338</v>
      </c>
      <c r="C81" s="37">
        <v>18</v>
      </c>
      <c r="D81" s="37">
        <v>250</v>
      </c>
      <c r="E81" s="37">
        <v>3.5</v>
      </c>
      <c r="F81" s="37">
        <v>6.3</v>
      </c>
      <c r="G81" s="37">
        <v>72</v>
      </c>
      <c r="H81" s="37">
        <v>0.3</v>
      </c>
      <c r="I81" s="38" t="s">
        <v>8</v>
      </c>
      <c r="J81" s="38" t="s">
        <v>9</v>
      </c>
      <c r="K81" s="40">
        <v>0</v>
      </c>
      <c r="L81" s="40">
        <v>79</v>
      </c>
      <c r="M81" s="40">
        <v>101</v>
      </c>
    </row>
    <row r="82" spans="2:13" x14ac:dyDescent="0.25">
      <c r="B82" s="35" t="s">
        <v>341</v>
      </c>
      <c r="C82" s="35">
        <v>18</v>
      </c>
      <c r="D82" s="35">
        <v>270</v>
      </c>
      <c r="E82" s="35">
        <v>3.5</v>
      </c>
      <c r="F82" s="35">
        <v>6.3</v>
      </c>
      <c r="G82" s="35">
        <v>62</v>
      </c>
      <c r="H82" s="35">
        <v>0.28000000000000003</v>
      </c>
      <c r="I82" s="36" t="s">
        <v>8</v>
      </c>
      <c r="J82" s="36" t="s">
        <v>9</v>
      </c>
      <c r="K82" s="39">
        <v>0</v>
      </c>
      <c r="L82" s="39">
        <v>75</v>
      </c>
      <c r="M82" s="39">
        <v>97</v>
      </c>
    </row>
    <row r="83" spans="2:13" x14ac:dyDescent="0.25">
      <c r="B83" s="37" t="s">
        <v>341</v>
      </c>
      <c r="C83" s="37">
        <v>18</v>
      </c>
      <c r="D83" s="37">
        <v>270</v>
      </c>
      <c r="E83" s="37">
        <v>3.5</v>
      </c>
      <c r="F83" s="37">
        <v>6.3</v>
      </c>
      <c r="G83" s="37">
        <v>62</v>
      </c>
      <c r="H83" s="37">
        <v>0.26</v>
      </c>
      <c r="I83" s="38" t="s">
        <v>8</v>
      </c>
      <c r="J83" s="38" t="s">
        <v>9</v>
      </c>
      <c r="K83" s="40">
        <v>0</v>
      </c>
      <c r="L83" s="40">
        <v>75</v>
      </c>
      <c r="M83" s="40">
        <v>91</v>
      </c>
    </row>
    <row r="84" spans="2:13" x14ac:dyDescent="0.25">
      <c r="B84" s="35" t="s">
        <v>345</v>
      </c>
      <c r="C84" s="35">
        <v>18</v>
      </c>
      <c r="D84" s="35">
        <v>270</v>
      </c>
      <c r="E84" s="35">
        <v>3.5</v>
      </c>
      <c r="F84" s="35">
        <v>6.3</v>
      </c>
      <c r="G84" s="35">
        <v>72</v>
      </c>
      <c r="H84" s="35">
        <v>0.28000000000000003</v>
      </c>
      <c r="I84" s="36" t="s">
        <v>8</v>
      </c>
      <c r="J84" s="36" t="s">
        <v>9</v>
      </c>
      <c r="K84" s="39">
        <v>0</v>
      </c>
      <c r="L84" s="39">
        <v>80</v>
      </c>
      <c r="M84" s="39">
        <v>101</v>
      </c>
    </row>
    <row r="85" spans="2:13" x14ac:dyDescent="0.25">
      <c r="B85" s="37" t="s">
        <v>347</v>
      </c>
      <c r="C85" s="37">
        <v>18</v>
      </c>
      <c r="D85" s="37">
        <v>300</v>
      </c>
      <c r="E85" s="37">
        <v>3.5</v>
      </c>
      <c r="F85" s="37">
        <v>5.6</v>
      </c>
      <c r="G85" s="37">
        <v>77</v>
      </c>
      <c r="H85" s="37">
        <v>0.32</v>
      </c>
      <c r="I85" s="38" t="s">
        <v>8</v>
      </c>
      <c r="J85" s="38" t="s">
        <v>9</v>
      </c>
      <c r="K85" s="40">
        <v>0</v>
      </c>
      <c r="L85" s="40">
        <v>83</v>
      </c>
      <c r="M85" s="40">
        <v>129</v>
      </c>
    </row>
    <row r="86" spans="2:13" x14ac:dyDescent="0.25">
      <c r="B86" s="35" t="s">
        <v>352</v>
      </c>
      <c r="C86" s="35">
        <v>18</v>
      </c>
      <c r="D86" s="35">
        <v>300</v>
      </c>
      <c r="E86" s="35">
        <v>3.5</v>
      </c>
      <c r="F86" s="35">
        <v>6.3</v>
      </c>
      <c r="G86" s="35">
        <v>67</v>
      </c>
      <c r="H86" s="35">
        <v>0.28999999999999998</v>
      </c>
      <c r="I86" s="36" t="s">
        <v>8</v>
      </c>
      <c r="J86" s="36" t="s">
        <v>9</v>
      </c>
      <c r="K86" s="39">
        <v>0</v>
      </c>
      <c r="L86" s="39">
        <v>79</v>
      </c>
      <c r="M86" s="39">
        <v>99</v>
      </c>
    </row>
    <row r="87" spans="2:13" x14ac:dyDescent="0.25">
      <c r="B87" s="37" t="s">
        <v>355</v>
      </c>
      <c r="C87" s="37">
        <v>18</v>
      </c>
      <c r="D87" s="37">
        <v>300</v>
      </c>
      <c r="E87" s="37">
        <v>3.5</v>
      </c>
      <c r="F87" s="37">
        <v>3</v>
      </c>
      <c r="G87" s="37">
        <v>72</v>
      </c>
      <c r="H87" s="37">
        <v>0.33</v>
      </c>
      <c r="I87" s="38" t="s">
        <v>8</v>
      </c>
      <c r="J87" s="38" t="s">
        <v>9</v>
      </c>
      <c r="K87" s="40">
        <v>0</v>
      </c>
      <c r="L87" s="40">
        <v>79</v>
      </c>
      <c r="M87" s="40">
        <v>102</v>
      </c>
    </row>
    <row r="88" spans="2:13" x14ac:dyDescent="0.25">
      <c r="B88" s="35" t="s">
        <v>358</v>
      </c>
      <c r="C88" s="35">
        <v>18</v>
      </c>
      <c r="D88" s="35">
        <v>35</v>
      </c>
      <c r="E88" s="35">
        <v>3.5</v>
      </c>
      <c r="F88" s="35">
        <v>4.5</v>
      </c>
      <c r="G88" s="35">
        <v>77</v>
      </c>
      <c r="H88" s="35">
        <v>0.15</v>
      </c>
      <c r="I88" s="36" t="s">
        <v>8</v>
      </c>
      <c r="J88" s="36" t="s">
        <v>50</v>
      </c>
      <c r="K88" s="39">
        <v>0</v>
      </c>
      <c r="L88" s="39">
        <v>83</v>
      </c>
      <c r="M88" s="39">
        <v>83</v>
      </c>
    </row>
    <row r="89" spans="2:13" x14ac:dyDescent="0.25">
      <c r="B89" s="37" t="s">
        <v>362</v>
      </c>
      <c r="C89" s="37">
        <v>18</v>
      </c>
      <c r="D89" s="37">
        <v>35</v>
      </c>
      <c r="E89" s="37">
        <v>3.5</v>
      </c>
      <c r="F89" s="37">
        <v>4.5</v>
      </c>
      <c r="G89" s="37">
        <v>77</v>
      </c>
      <c r="H89" s="37">
        <v>0.2</v>
      </c>
      <c r="I89" s="38" t="s">
        <v>8</v>
      </c>
      <c r="J89" s="38" t="s">
        <v>50</v>
      </c>
      <c r="K89" s="40">
        <v>0</v>
      </c>
      <c r="L89" s="40">
        <v>83</v>
      </c>
      <c r="M89" s="40">
        <v>95</v>
      </c>
    </row>
    <row r="90" spans="2:13" x14ac:dyDescent="0.25">
      <c r="B90" s="35" t="s">
        <v>365</v>
      </c>
      <c r="C90" s="35">
        <v>18</v>
      </c>
      <c r="D90" s="35">
        <v>35</v>
      </c>
      <c r="E90" s="35">
        <v>1.8</v>
      </c>
      <c r="F90" s="35">
        <v>1.8</v>
      </c>
      <c r="G90" s="35">
        <v>72</v>
      </c>
      <c r="H90" s="35">
        <v>0.23</v>
      </c>
      <c r="I90" s="36" t="s">
        <v>8</v>
      </c>
      <c r="J90" s="36" t="s">
        <v>9</v>
      </c>
      <c r="K90" s="39">
        <v>0</v>
      </c>
      <c r="L90" s="39">
        <v>78</v>
      </c>
      <c r="M90" s="39">
        <v>121</v>
      </c>
    </row>
    <row r="91" spans="2:13" x14ac:dyDescent="0.25">
      <c r="B91" s="37" t="s">
        <v>368</v>
      </c>
      <c r="C91" s="37">
        <v>18</v>
      </c>
      <c r="D91" s="37">
        <v>400</v>
      </c>
      <c r="E91" s="37">
        <v>3.5</v>
      </c>
      <c r="F91" s="37">
        <v>6.3</v>
      </c>
      <c r="G91" s="37">
        <v>72</v>
      </c>
      <c r="H91" s="37">
        <v>0.34</v>
      </c>
      <c r="I91" s="38" t="s">
        <v>8</v>
      </c>
      <c r="J91" s="38" t="s">
        <v>9</v>
      </c>
      <c r="K91" s="40">
        <v>0</v>
      </c>
      <c r="L91" s="40">
        <v>79</v>
      </c>
      <c r="M91" s="40">
        <v>124</v>
      </c>
    </row>
    <row r="92" spans="2:13" x14ac:dyDescent="0.25">
      <c r="B92" s="35" t="s">
        <v>372</v>
      </c>
      <c r="C92" s="35">
        <v>18</v>
      </c>
      <c r="D92" s="35">
        <v>50</v>
      </c>
      <c r="E92" s="35">
        <v>2.8</v>
      </c>
      <c r="F92" s="35">
        <v>2.8</v>
      </c>
      <c r="G92" s="35">
        <v>72</v>
      </c>
      <c r="H92" s="35">
        <v>0.33</v>
      </c>
      <c r="I92" s="36" t="s">
        <v>8</v>
      </c>
      <c r="J92" s="36" t="s">
        <v>9</v>
      </c>
      <c r="K92" s="39">
        <v>0</v>
      </c>
      <c r="L92" s="39">
        <v>79</v>
      </c>
      <c r="M92" s="39">
        <v>86</v>
      </c>
    </row>
    <row r="93" spans="2:13" x14ac:dyDescent="0.25">
      <c r="B93" s="37" t="s">
        <v>375</v>
      </c>
      <c r="C93" s="37">
        <v>18</v>
      </c>
      <c r="D93" s="37">
        <v>50</v>
      </c>
      <c r="E93" s="37">
        <v>2.8</v>
      </c>
      <c r="F93" s="37">
        <v>4.5</v>
      </c>
      <c r="G93" s="37">
        <v>67</v>
      </c>
      <c r="H93" s="37">
        <v>0.24</v>
      </c>
      <c r="I93" s="38" t="s">
        <v>8</v>
      </c>
      <c r="J93" s="38" t="s">
        <v>9</v>
      </c>
      <c r="K93" s="40">
        <v>0</v>
      </c>
      <c r="L93" s="40">
        <v>74</v>
      </c>
      <c r="M93" s="40">
        <v>89</v>
      </c>
    </row>
    <row r="94" spans="2:13" x14ac:dyDescent="0.25">
      <c r="B94" s="35" t="s">
        <v>377</v>
      </c>
      <c r="C94" s="35">
        <v>18</v>
      </c>
      <c r="D94" s="35">
        <v>55</v>
      </c>
      <c r="E94" s="35">
        <v>3.5</v>
      </c>
      <c r="F94" s="35">
        <v>5.6</v>
      </c>
      <c r="G94" s="35">
        <v>55</v>
      </c>
      <c r="H94" s="35">
        <v>0.38</v>
      </c>
      <c r="I94" s="36" t="s">
        <v>8</v>
      </c>
      <c r="J94" s="36" t="s">
        <v>9</v>
      </c>
      <c r="K94" s="39">
        <v>0</v>
      </c>
      <c r="L94" s="39">
        <v>65</v>
      </c>
      <c r="M94" s="39">
        <v>63</v>
      </c>
    </row>
    <row r="95" spans="2:13" x14ac:dyDescent="0.25">
      <c r="B95" s="37" t="s">
        <v>382</v>
      </c>
      <c r="C95" s="37">
        <v>18</v>
      </c>
      <c r="D95" s="37">
        <v>55</v>
      </c>
      <c r="E95" s="37">
        <v>3.5</v>
      </c>
      <c r="F95" s="37">
        <v>5.6</v>
      </c>
      <c r="G95" s="37">
        <v>55</v>
      </c>
      <c r="H95" s="37">
        <v>0.38</v>
      </c>
      <c r="I95" s="38" t="s">
        <v>8</v>
      </c>
      <c r="J95" s="38" t="s">
        <v>9</v>
      </c>
      <c r="K95" s="40">
        <v>0</v>
      </c>
      <c r="L95" s="40">
        <v>65</v>
      </c>
      <c r="M95" s="40">
        <v>63</v>
      </c>
    </row>
    <row r="96" spans="2:13" x14ac:dyDescent="0.25">
      <c r="B96" s="35" t="s">
        <v>384</v>
      </c>
      <c r="C96" s="35">
        <v>18</v>
      </c>
      <c r="D96" s="35">
        <v>55</v>
      </c>
      <c r="E96" s="35">
        <v>3.5</v>
      </c>
      <c r="F96" s="35">
        <v>5.6</v>
      </c>
      <c r="G96" s="35">
        <v>52</v>
      </c>
      <c r="H96" s="35">
        <v>0.31</v>
      </c>
      <c r="I96" s="36" t="s">
        <v>8</v>
      </c>
      <c r="J96" s="36" t="s">
        <v>9</v>
      </c>
      <c r="K96" s="39">
        <v>0</v>
      </c>
      <c r="L96" s="39">
        <v>71</v>
      </c>
      <c r="M96" s="39">
        <v>74</v>
      </c>
    </row>
    <row r="97" spans="2:13" x14ac:dyDescent="0.25">
      <c r="B97" s="37" t="s">
        <v>387</v>
      </c>
      <c r="C97" s="37">
        <v>18</v>
      </c>
      <c r="D97" s="37">
        <v>55</v>
      </c>
      <c r="E97" s="37">
        <v>3.5</v>
      </c>
      <c r="F97" s="37">
        <v>5.6</v>
      </c>
      <c r="G97" s="37">
        <v>52</v>
      </c>
      <c r="H97" s="37">
        <v>0.31</v>
      </c>
      <c r="I97" s="38" t="s">
        <v>8</v>
      </c>
      <c r="J97" s="38" t="s">
        <v>9</v>
      </c>
      <c r="K97" s="40">
        <v>0</v>
      </c>
      <c r="L97" s="40">
        <v>73</v>
      </c>
      <c r="M97" s="40">
        <v>70</v>
      </c>
    </row>
    <row r="98" spans="2:13" x14ac:dyDescent="0.25">
      <c r="B98" s="35" t="s">
        <v>390</v>
      </c>
      <c r="C98" s="35">
        <v>18</v>
      </c>
      <c r="D98" s="35">
        <v>55</v>
      </c>
      <c r="E98" s="35">
        <v>3.5</v>
      </c>
      <c r="F98" s="35">
        <v>5.6</v>
      </c>
      <c r="G98" s="35">
        <v>52</v>
      </c>
      <c r="H98" s="35">
        <v>0.36</v>
      </c>
      <c r="I98" s="36" t="s">
        <v>8</v>
      </c>
      <c r="J98" s="36" t="s">
        <v>9</v>
      </c>
      <c r="K98" s="39">
        <v>0</v>
      </c>
      <c r="L98" s="39">
        <v>66</v>
      </c>
      <c r="M98" s="39">
        <v>60</v>
      </c>
    </row>
    <row r="99" spans="2:13" x14ac:dyDescent="0.25">
      <c r="B99" s="37" t="s">
        <v>393</v>
      </c>
      <c r="C99" s="37">
        <v>18</v>
      </c>
      <c r="D99" s="37">
        <v>70</v>
      </c>
      <c r="E99" s="37">
        <v>3.5</v>
      </c>
      <c r="F99" s="37">
        <v>4.5</v>
      </c>
      <c r="G99" s="37">
        <v>67</v>
      </c>
      <c r="H99" s="37">
        <v>0.16</v>
      </c>
      <c r="I99" s="38" t="s">
        <v>8</v>
      </c>
      <c r="J99" s="38" t="s">
        <v>9</v>
      </c>
      <c r="K99" s="40">
        <v>0</v>
      </c>
      <c r="L99" s="40">
        <v>73</v>
      </c>
      <c r="M99" s="40">
        <v>76</v>
      </c>
    </row>
    <row r="100" spans="2:13" x14ac:dyDescent="0.25">
      <c r="B100" s="35" t="s">
        <v>409</v>
      </c>
      <c r="C100" s="35">
        <v>18</v>
      </c>
      <c r="D100" s="35">
        <v>18</v>
      </c>
      <c r="E100" s="35">
        <v>2.8</v>
      </c>
      <c r="F100" s="35">
        <v>2.8</v>
      </c>
      <c r="G100" s="35">
        <v>77</v>
      </c>
      <c r="H100" s="35">
        <v>0.14000000000000001</v>
      </c>
      <c r="I100" s="36" t="s">
        <v>8</v>
      </c>
      <c r="J100" s="36" t="s">
        <v>50</v>
      </c>
      <c r="K100" s="39">
        <v>0</v>
      </c>
      <c r="L100" s="39">
        <v>90</v>
      </c>
      <c r="M100" s="39">
        <v>92</v>
      </c>
    </row>
    <row r="101" spans="2:13" x14ac:dyDescent="0.25">
      <c r="B101" s="37" t="s">
        <v>406</v>
      </c>
      <c r="C101" s="37">
        <v>18</v>
      </c>
      <c r="D101" s="37">
        <v>18</v>
      </c>
      <c r="E101" s="37">
        <v>3.5</v>
      </c>
      <c r="F101" s="37">
        <v>3.5</v>
      </c>
      <c r="G101" s="37">
        <v>82</v>
      </c>
      <c r="H101" s="37">
        <v>0.08</v>
      </c>
      <c r="I101" s="38" t="s">
        <v>8</v>
      </c>
      <c r="J101" s="38" t="s">
        <v>50</v>
      </c>
      <c r="K101" s="40">
        <v>0</v>
      </c>
      <c r="L101" s="40">
        <v>78</v>
      </c>
      <c r="M101" s="40">
        <v>72</v>
      </c>
    </row>
    <row r="102" spans="2:13" x14ac:dyDescent="0.25">
      <c r="B102" s="35" t="s">
        <v>412</v>
      </c>
      <c r="C102" s="35">
        <v>19</v>
      </c>
      <c r="D102" s="35">
        <v>19</v>
      </c>
      <c r="E102" s="35">
        <v>4</v>
      </c>
      <c r="F102" s="35">
        <v>4</v>
      </c>
      <c r="G102" s="35">
        <v>0</v>
      </c>
      <c r="H102" s="35">
        <v>0.18</v>
      </c>
      <c r="I102" s="36" t="s">
        <v>8</v>
      </c>
      <c r="J102" s="36" t="s">
        <v>50</v>
      </c>
      <c r="K102" s="39">
        <v>0</v>
      </c>
      <c r="L102" s="39">
        <v>89</v>
      </c>
      <c r="M102" s="39">
        <v>124</v>
      </c>
    </row>
    <row r="103" spans="2:13" x14ac:dyDescent="0.25">
      <c r="B103" s="37" t="s">
        <v>440</v>
      </c>
      <c r="C103" s="37">
        <v>20</v>
      </c>
      <c r="D103" s="37">
        <v>20</v>
      </c>
      <c r="E103" s="37">
        <v>2.8</v>
      </c>
      <c r="F103" s="37">
        <v>2.8</v>
      </c>
      <c r="G103" s="37">
        <v>62</v>
      </c>
      <c r="H103" s="37">
        <v>0.12</v>
      </c>
      <c r="I103" s="38" t="s">
        <v>8</v>
      </c>
      <c r="J103" s="38" t="s">
        <v>50</v>
      </c>
      <c r="K103" s="40">
        <v>0</v>
      </c>
      <c r="L103" s="40">
        <v>69</v>
      </c>
      <c r="M103" s="40">
        <v>43</v>
      </c>
    </row>
    <row r="104" spans="2:13" x14ac:dyDescent="0.25">
      <c r="B104" s="35" t="s">
        <v>444</v>
      </c>
      <c r="C104" s="35">
        <v>20</v>
      </c>
      <c r="D104" s="35">
        <v>20</v>
      </c>
      <c r="E104" s="35">
        <v>1.8</v>
      </c>
      <c r="F104" s="35">
        <v>1.8</v>
      </c>
      <c r="G104" s="35">
        <v>77</v>
      </c>
      <c r="H104" s="35">
        <v>0.23</v>
      </c>
      <c r="I104" s="36" t="s">
        <v>8</v>
      </c>
      <c r="J104" s="36" t="s">
        <v>50</v>
      </c>
      <c r="K104" s="39">
        <v>0</v>
      </c>
      <c r="L104" s="39">
        <v>83</v>
      </c>
      <c r="M104" s="39">
        <v>81</v>
      </c>
    </row>
    <row r="105" spans="2:13" x14ac:dyDescent="0.25">
      <c r="B105" s="37" t="s">
        <v>454</v>
      </c>
      <c r="C105" s="37">
        <v>20</v>
      </c>
      <c r="D105" s="37">
        <v>20</v>
      </c>
      <c r="E105" s="37">
        <v>1.8</v>
      </c>
      <c r="F105" s="37">
        <v>1.8</v>
      </c>
      <c r="G105" s="37">
        <v>82</v>
      </c>
      <c r="H105" s="37">
        <v>0.25</v>
      </c>
      <c r="I105" s="38" t="s">
        <v>8</v>
      </c>
      <c r="J105" s="38" t="s">
        <v>50</v>
      </c>
      <c r="K105" s="40">
        <v>0</v>
      </c>
      <c r="L105" s="40">
        <v>89</v>
      </c>
      <c r="M105" s="40">
        <v>87</v>
      </c>
    </row>
    <row r="106" spans="2:13" x14ac:dyDescent="0.25">
      <c r="B106" s="35" t="s">
        <v>456</v>
      </c>
      <c r="C106" s="35">
        <v>20</v>
      </c>
      <c r="D106" s="35">
        <v>20</v>
      </c>
      <c r="E106" s="35">
        <v>1.4</v>
      </c>
      <c r="F106" s="35">
        <v>1.4</v>
      </c>
      <c r="G106" s="35">
        <v>0</v>
      </c>
      <c r="H106" s="35">
        <v>0.14000000000000001</v>
      </c>
      <c r="I106" s="36" t="s">
        <v>8</v>
      </c>
      <c r="J106" s="36" t="s">
        <v>50</v>
      </c>
      <c r="K106" s="39">
        <v>0</v>
      </c>
      <c r="L106" s="39">
        <v>92</v>
      </c>
      <c r="M106" s="39">
        <v>130</v>
      </c>
    </row>
    <row r="107" spans="2:13" x14ac:dyDescent="0.25">
      <c r="B107" s="37" t="s">
        <v>447</v>
      </c>
      <c r="C107" s="37">
        <v>20</v>
      </c>
      <c r="D107" s="37">
        <v>20</v>
      </c>
      <c r="E107" s="37">
        <v>1.8</v>
      </c>
      <c r="F107" s="37">
        <v>1.8</v>
      </c>
      <c r="G107" s="37">
        <v>77</v>
      </c>
      <c r="H107" s="37">
        <v>0</v>
      </c>
      <c r="I107" s="38" t="s">
        <v>8</v>
      </c>
      <c r="J107" s="38" t="s">
        <v>50</v>
      </c>
      <c r="K107" s="40">
        <v>0</v>
      </c>
      <c r="L107" s="40">
        <v>94</v>
      </c>
      <c r="M107" s="40">
        <v>87</v>
      </c>
    </row>
    <row r="108" spans="2:13" x14ac:dyDescent="0.25">
      <c r="B108" s="35" t="s">
        <v>450</v>
      </c>
      <c r="C108" s="35">
        <v>20</v>
      </c>
      <c r="D108" s="35">
        <v>20</v>
      </c>
      <c r="E108" s="35">
        <v>1.9</v>
      </c>
      <c r="F108" s="35">
        <v>1.9</v>
      </c>
      <c r="G108" s="35">
        <v>77</v>
      </c>
      <c r="H108" s="35">
        <v>0</v>
      </c>
      <c r="I108" s="36" t="s">
        <v>8</v>
      </c>
      <c r="J108" s="36" t="s">
        <v>50</v>
      </c>
      <c r="K108" s="39">
        <v>0</v>
      </c>
      <c r="L108" s="39">
        <v>99</v>
      </c>
      <c r="M108" s="39">
        <v>143</v>
      </c>
    </row>
    <row r="109" spans="2:13" x14ac:dyDescent="0.25">
      <c r="B109" s="37" t="s">
        <v>461</v>
      </c>
      <c r="C109" s="37">
        <v>21</v>
      </c>
      <c r="D109" s="37">
        <v>21</v>
      </c>
      <c r="E109" s="37">
        <v>2.8</v>
      </c>
      <c r="F109" s="37">
        <v>2.8</v>
      </c>
      <c r="G109" s="37">
        <v>82</v>
      </c>
      <c r="H109" s="37">
        <v>0.2</v>
      </c>
      <c r="I109" s="38" t="s">
        <v>8</v>
      </c>
      <c r="J109" s="38" t="s">
        <v>50</v>
      </c>
      <c r="K109" s="40">
        <v>0</v>
      </c>
      <c r="L109" s="40">
        <v>96</v>
      </c>
      <c r="M109" s="40">
        <v>95</v>
      </c>
    </row>
    <row r="110" spans="2:13" x14ac:dyDescent="0.25">
      <c r="B110" s="35" t="s">
        <v>458</v>
      </c>
      <c r="C110" s="35">
        <v>21</v>
      </c>
      <c r="D110" s="35">
        <v>21</v>
      </c>
      <c r="E110" s="35">
        <v>2.8</v>
      </c>
      <c r="F110" s="35">
        <v>2.8</v>
      </c>
      <c r="G110" s="35">
        <v>82</v>
      </c>
      <c r="H110" s="35">
        <v>0</v>
      </c>
      <c r="I110" s="36" t="s">
        <v>8</v>
      </c>
      <c r="J110" s="36" t="s">
        <v>50</v>
      </c>
      <c r="K110" s="39">
        <v>0</v>
      </c>
      <c r="L110" s="39">
        <v>64</v>
      </c>
      <c r="M110" s="39">
        <v>97</v>
      </c>
    </row>
    <row r="111" spans="2:13" x14ac:dyDescent="0.25">
      <c r="B111" s="37" t="s">
        <v>464</v>
      </c>
      <c r="C111" s="37">
        <v>24</v>
      </c>
      <c r="D111" s="37">
        <v>105</v>
      </c>
      <c r="E111" s="37">
        <v>4</v>
      </c>
      <c r="F111" s="37">
        <v>4</v>
      </c>
      <c r="G111" s="37">
        <v>82</v>
      </c>
      <c r="H111" s="37">
        <v>0.21</v>
      </c>
      <c r="I111" s="38" t="s">
        <v>8</v>
      </c>
      <c r="J111" s="38" t="s">
        <v>50</v>
      </c>
      <c r="K111" s="40">
        <v>0</v>
      </c>
      <c r="L111" s="40">
        <v>89</v>
      </c>
      <c r="M111" s="40">
        <v>110</v>
      </c>
    </row>
    <row r="112" spans="2:13" x14ac:dyDescent="0.25">
      <c r="B112" s="35" t="s">
        <v>468</v>
      </c>
      <c r="C112" s="35">
        <v>24</v>
      </c>
      <c r="D112" s="35">
        <v>120</v>
      </c>
      <c r="E112" s="35">
        <v>4</v>
      </c>
      <c r="F112" s="35">
        <v>4</v>
      </c>
      <c r="G112" s="35">
        <v>77</v>
      </c>
      <c r="H112" s="35">
        <v>0.24</v>
      </c>
      <c r="I112" s="36" t="s">
        <v>8</v>
      </c>
      <c r="J112" s="36" t="s">
        <v>50</v>
      </c>
      <c r="K112" s="39">
        <v>0</v>
      </c>
      <c r="L112" s="39">
        <v>83</v>
      </c>
      <c r="M112" s="39">
        <v>103</v>
      </c>
    </row>
    <row r="113" spans="2:13" x14ac:dyDescent="0.25">
      <c r="B113" s="37" t="s">
        <v>471</v>
      </c>
      <c r="C113" s="37">
        <v>24</v>
      </c>
      <c r="D113" s="37">
        <v>120</v>
      </c>
      <c r="E113" s="37">
        <v>3.5</v>
      </c>
      <c r="F113" s="37">
        <v>5.6</v>
      </c>
      <c r="G113" s="37">
        <v>72</v>
      </c>
      <c r="H113" s="37">
        <v>0.21</v>
      </c>
      <c r="I113" s="38" t="s">
        <v>8</v>
      </c>
      <c r="J113" s="38" t="s">
        <v>50</v>
      </c>
      <c r="K113" s="40">
        <v>0</v>
      </c>
      <c r="L113" s="40">
        <v>77</v>
      </c>
      <c r="M113" s="40">
        <v>94</v>
      </c>
    </row>
    <row r="114" spans="2:13" x14ac:dyDescent="0.25">
      <c r="B114" s="35" t="s">
        <v>474</v>
      </c>
      <c r="C114" s="35">
        <v>24</v>
      </c>
      <c r="D114" s="35">
        <v>35</v>
      </c>
      <c r="E114" s="35">
        <v>2</v>
      </c>
      <c r="F114" s="35">
        <v>2</v>
      </c>
      <c r="G114" s="35">
        <v>82</v>
      </c>
      <c r="H114" s="35">
        <v>0.22</v>
      </c>
      <c r="I114" s="36" t="s">
        <v>8</v>
      </c>
      <c r="J114" s="36" t="s">
        <v>50</v>
      </c>
      <c r="K114" s="39">
        <v>0</v>
      </c>
      <c r="L114" s="39">
        <v>88</v>
      </c>
      <c r="M114" s="39">
        <v>123</v>
      </c>
    </row>
    <row r="115" spans="2:13" x14ac:dyDescent="0.25">
      <c r="B115" s="37" t="s">
        <v>478</v>
      </c>
      <c r="C115" s="37">
        <v>24</v>
      </c>
      <c r="D115" s="37">
        <v>70</v>
      </c>
      <c r="E115" s="37">
        <v>2.8</v>
      </c>
      <c r="F115" s="37">
        <v>2.8</v>
      </c>
      <c r="G115" s="37">
        <v>77</v>
      </c>
      <c r="H115" s="37">
        <v>0.27</v>
      </c>
      <c r="I115" s="38" t="s">
        <v>8</v>
      </c>
      <c r="J115" s="38" t="s">
        <v>50</v>
      </c>
      <c r="K115" s="40">
        <v>0</v>
      </c>
      <c r="L115" s="40">
        <v>83</v>
      </c>
      <c r="M115" s="40">
        <v>133</v>
      </c>
    </row>
    <row r="116" spans="2:13" x14ac:dyDescent="0.25">
      <c r="B116" s="35" t="s">
        <v>482</v>
      </c>
      <c r="C116" s="35">
        <v>24</v>
      </c>
      <c r="D116" s="35">
        <v>70</v>
      </c>
      <c r="E116" s="35">
        <v>2.8</v>
      </c>
      <c r="F116" s="35">
        <v>2.8</v>
      </c>
      <c r="G116" s="35">
        <v>82</v>
      </c>
      <c r="H116" s="35">
        <v>0.27</v>
      </c>
      <c r="I116" s="36" t="s">
        <v>8</v>
      </c>
      <c r="J116" s="36" t="s">
        <v>50</v>
      </c>
      <c r="K116" s="39">
        <v>0</v>
      </c>
      <c r="L116" s="39">
        <v>88</v>
      </c>
      <c r="M116" s="39">
        <v>155</v>
      </c>
    </row>
    <row r="117" spans="2:13" x14ac:dyDescent="0.25">
      <c r="B117" s="37" t="s">
        <v>485</v>
      </c>
      <c r="C117" s="37">
        <v>24</v>
      </c>
      <c r="D117" s="37">
        <v>70</v>
      </c>
      <c r="E117" s="37">
        <v>2.8</v>
      </c>
      <c r="F117" s="37">
        <v>2.8</v>
      </c>
      <c r="G117" s="37">
        <v>82</v>
      </c>
      <c r="H117" s="37">
        <v>0.26</v>
      </c>
      <c r="I117" s="38" t="s">
        <v>8</v>
      </c>
      <c r="J117" s="38" t="s">
        <v>50</v>
      </c>
      <c r="K117" s="40">
        <v>0</v>
      </c>
      <c r="L117" s="40">
        <v>89</v>
      </c>
      <c r="M117" s="40">
        <v>116</v>
      </c>
    </row>
    <row r="118" spans="2:13" x14ac:dyDescent="0.25">
      <c r="B118" s="35" t="s">
        <v>488</v>
      </c>
      <c r="C118" s="35">
        <v>24</v>
      </c>
      <c r="D118" s="35">
        <v>70</v>
      </c>
      <c r="E118" s="35">
        <v>2.8</v>
      </c>
      <c r="F118" s="35">
        <v>2.8</v>
      </c>
      <c r="G118" s="35">
        <v>82</v>
      </c>
      <c r="H118" s="35">
        <v>0.18</v>
      </c>
      <c r="I118" s="36" t="s">
        <v>8</v>
      </c>
      <c r="J118" s="36" t="s">
        <v>50</v>
      </c>
      <c r="K118" s="39">
        <v>0</v>
      </c>
      <c r="L118" s="39">
        <v>87</v>
      </c>
      <c r="M118" s="39">
        <v>95</v>
      </c>
    </row>
    <row r="119" spans="2:13" x14ac:dyDescent="0.25">
      <c r="B119" s="37" t="s">
        <v>490</v>
      </c>
      <c r="C119" s="37">
        <v>24</v>
      </c>
      <c r="D119" s="37">
        <v>70</v>
      </c>
      <c r="E119" s="37">
        <v>2.8</v>
      </c>
      <c r="F119" s="37">
        <v>2.8</v>
      </c>
      <c r="G119" s="37">
        <v>82</v>
      </c>
      <c r="H119" s="37">
        <v>0.2</v>
      </c>
      <c r="I119" s="38" t="s">
        <v>8</v>
      </c>
      <c r="J119" s="38" t="s">
        <v>50</v>
      </c>
      <c r="K119" s="40">
        <v>0</v>
      </c>
      <c r="L119" s="40">
        <v>89</v>
      </c>
      <c r="M119" s="40">
        <v>107</v>
      </c>
    </row>
    <row r="120" spans="2:13" x14ac:dyDescent="0.25">
      <c r="B120" s="35" t="s">
        <v>493</v>
      </c>
      <c r="C120" s="35">
        <v>24</v>
      </c>
      <c r="D120" s="35">
        <v>70</v>
      </c>
      <c r="E120" s="35">
        <v>2.8</v>
      </c>
      <c r="F120" s="35">
        <v>2.8</v>
      </c>
      <c r="G120" s="35">
        <v>82</v>
      </c>
      <c r="H120" s="35">
        <v>0.5</v>
      </c>
      <c r="I120" s="36" t="s">
        <v>8</v>
      </c>
      <c r="J120" s="36" t="s">
        <v>50</v>
      </c>
      <c r="K120" s="39">
        <v>0</v>
      </c>
      <c r="L120" s="39">
        <v>88</v>
      </c>
      <c r="M120" s="39">
        <v>117</v>
      </c>
    </row>
    <row r="121" spans="2:13" x14ac:dyDescent="0.25">
      <c r="B121" s="37" t="s">
        <v>496</v>
      </c>
      <c r="C121" s="37">
        <v>24</v>
      </c>
      <c r="D121" s="37">
        <v>70</v>
      </c>
      <c r="E121" s="37">
        <v>2.8</v>
      </c>
      <c r="F121" s="37">
        <v>2.8</v>
      </c>
      <c r="G121" s="37">
        <v>82</v>
      </c>
      <c r="H121" s="37">
        <v>0.21</v>
      </c>
      <c r="I121" s="38" t="s">
        <v>8</v>
      </c>
      <c r="J121" s="38" t="s">
        <v>50</v>
      </c>
      <c r="K121" s="40">
        <v>0</v>
      </c>
      <c r="L121" s="40">
        <v>90</v>
      </c>
      <c r="M121" s="40">
        <v>108</v>
      </c>
    </row>
    <row r="122" spans="2:13" x14ac:dyDescent="0.25">
      <c r="B122" s="35" t="s">
        <v>499</v>
      </c>
      <c r="C122" s="35">
        <v>24</v>
      </c>
      <c r="D122" s="35">
        <v>85</v>
      </c>
      <c r="E122" s="35">
        <v>2.8</v>
      </c>
      <c r="F122" s="35">
        <v>4</v>
      </c>
      <c r="G122" s="35">
        <v>72</v>
      </c>
      <c r="H122" s="35">
        <v>0.17</v>
      </c>
      <c r="I122" s="36" t="s">
        <v>8</v>
      </c>
      <c r="J122" s="36" t="s">
        <v>50</v>
      </c>
      <c r="K122" s="39">
        <v>0</v>
      </c>
      <c r="L122" s="39">
        <v>79</v>
      </c>
      <c r="M122" s="39">
        <v>83</v>
      </c>
    </row>
    <row r="123" spans="2:13" x14ac:dyDescent="0.25">
      <c r="B123" s="37" t="s">
        <v>502</v>
      </c>
      <c r="C123" s="37">
        <v>24</v>
      </c>
      <c r="D123" s="37">
        <v>85</v>
      </c>
      <c r="E123" s="37">
        <v>3.5</v>
      </c>
      <c r="F123" s="37">
        <v>4.5</v>
      </c>
      <c r="G123" s="37">
        <v>72</v>
      </c>
      <c r="H123" s="37">
        <v>0.22</v>
      </c>
      <c r="I123" s="38" t="s">
        <v>8</v>
      </c>
      <c r="J123" s="38" t="s">
        <v>50</v>
      </c>
      <c r="K123" s="40">
        <v>0</v>
      </c>
      <c r="L123" s="40">
        <v>78</v>
      </c>
      <c r="M123" s="40">
        <v>82</v>
      </c>
    </row>
    <row r="124" spans="2:13" x14ac:dyDescent="0.25">
      <c r="B124" s="35" t="s">
        <v>504</v>
      </c>
      <c r="C124" s="35">
        <v>24</v>
      </c>
      <c r="D124" s="35">
        <v>24</v>
      </c>
      <c r="E124" s="35">
        <v>2.8</v>
      </c>
      <c r="F124" s="35">
        <v>2.8</v>
      </c>
      <c r="G124" s="35">
        <v>52</v>
      </c>
      <c r="H124" s="35">
        <v>0.11</v>
      </c>
      <c r="I124" s="36" t="s">
        <v>8</v>
      </c>
      <c r="J124" s="36" t="s">
        <v>50</v>
      </c>
      <c r="K124" s="39">
        <v>0</v>
      </c>
      <c r="L124" s="39">
        <v>65</v>
      </c>
      <c r="M124" s="39">
        <v>46</v>
      </c>
    </row>
    <row r="125" spans="2:13" x14ac:dyDescent="0.25">
      <c r="B125" s="37" t="s">
        <v>507</v>
      </c>
      <c r="C125" s="37">
        <v>24</v>
      </c>
      <c r="D125" s="37">
        <v>24</v>
      </c>
      <c r="E125" s="37">
        <v>1.4</v>
      </c>
      <c r="F125" s="37">
        <v>1.4</v>
      </c>
      <c r="G125" s="37">
        <v>77</v>
      </c>
      <c r="H125" s="37">
        <v>0.18</v>
      </c>
      <c r="I125" s="38" t="s">
        <v>8</v>
      </c>
      <c r="J125" s="38" t="s">
        <v>50</v>
      </c>
      <c r="K125" s="40">
        <v>0</v>
      </c>
      <c r="L125" s="40">
        <v>83</v>
      </c>
      <c r="M125" s="40">
        <v>89</v>
      </c>
    </row>
    <row r="126" spans="2:13" x14ac:dyDescent="0.25">
      <c r="B126" s="35" t="s">
        <v>510</v>
      </c>
      <c r="C126" s="35">
        <v>24</v>
      </c>
      <c r="D126" s="35">
        <v>24</v>
      </c>
      <c r="E126" s="35">
        <v>1.8</v>
      </c>
      <c r="F126" s="35">
        <v>1.8</v>
      </c>
      <c r="G126" s="35">
        <v>72</v>
      </c>
      <c r="H126" s="35">
        <v>0.2</v>
      </c>
      <c r="I126" s="36" t="s">
        <v>8</v>
      </c>
      <c r="J126" s="36" t="s">
        <v>50</v>
      </c>
      <c r="K126" s="39">
        <v>0</v>
      </c>
      <c r="L126" s="39">
        <v>78</v>
      </c>
      <c r="M126" s="39">
        <v>83</v>
      </c>
    </row>
    <row r="127" spans="2:13" x14ac:dyDescent="0.25">
      <c r="B127" s="37" t="s">
        <v>512</v>
      </c>
      <c r="C127" s="37">
        <v>24</v>
      </c>
      <c r="D127" s="37">
        <v>24</v>
      </c>
      <c r="E127" s="37">
        <v>3.5</v>
      </c>
      <c r="F127" s="37">
        <v>3.5</v>
      </c>
      <c r="G127" s="37">
        <v>77</v>
      </c>
      <c r="H127" s="37">
        <v>0.37</v>
      </c>
      <c r="I127" s="38" t="s">
        <v>8</v>
      </c>
      <c r="J127" s="38" t="s">
        <v>50</v>
      </c>
      <c r="K127" s="40">
        <v>0</v>
      </c>
      <c r="L127" s="40">
        <v>83</v>
      </c>
      <c r="M127" s="40">
        <v>108</v>
      </c>
    </row>
    <row r="128" spans="2:13" x14ac:dyDescent="0.25">
      <c r="B128" s="35" t="s">
        <v>520</v>
      </c>
      <c r="C128" s="35">
        <v>24</v>
      </c>
      <c r="D128" s="35">
        <v>24</v>
      </c>
      <c r="E128" s="35">
        <v>1.8</v>
      </c>
      <c r="F128" s="35">
        <v>1.8</v>
      </c>
      <c r="G128" s="35">
        <v>77</v>
      </c>
      <c r="H128" s="35">
        <v>0.37</v>
      </c>
      <c r="I128" s="36" t="s">
        <v>8</v>
      </c>
      <c r="J128" s="36" t="s">
        <v>50</v>
      </c>
      <c r="K128" s="39">
        <v>0</v>
      </c>
      <c r="L128" s="39">
        <v>83</v>
      </c>
      <c r="M128" s="39">
        <v>80</v>
      </c>
    </row>
    <row r="129" spans="2:13" x14ac:dyDescent="0.25">
      <c r="B129" s="37" t="s">
        <v>522</v>
      </c>
      <c r="C129" s="37">
        <v>24</v>
      </c>
      <c r="D129" s="37">
        <v>24</v>
      </c>
      <c r="E129" s="37">
        <v>1.4</v>
      </c>
      <c r="F129" s="37">
        <v>1.4</v>
      </c>
      <c r="G129" s="37">
        <v>77</v>
      </c>
      <c r="H129" s="37">
        <v>0.18</v>
      </c>
      <c r="I129" s="38" t="s">
        <v>8</v>
      </c>
      <c r="J129" s="38" t="s">
        <v>50</v>
      </c>
      <c r="K129" s="40">
        <v>0</v>
      </c>
      <c r="L129" s="40">
        <v>85</v>
      </c>
      <c r="M129" s="40">
        <v>90</v>
      </c>
    </row>
    <row r="130" spans="2:13" x14ac:dyDescent="0.25">
      <c r="B130" s="35" t="s">
        <v>515</v>
      </c>
      <c r="C130" s="35">
        <v>24</v>
      </c>
      <c r="D130" s="35">
        <v>24</v>
      </c>
      <c r="E130" s="35">
        <v>3.5</v>
      </c>
      <c r="F130" s="35">
        <v>3.5</v>
      </c>
      <c r="G130" s="35">
        <v>82</v>
      </c>
      <c r="H130" s="35">
        <v>0</v>
      </c>
      <c r="I130" s="36" t="s">
        <v>8</v>
      </c>
      <c r="J130" s="36" t="s">
        <v>50</v>
      </c>
      <c r="K130" s="39">
        <v>0</v>
      </c>
      <c r="L130" s="39">
        <v>87</v>
      </c>
      <c r="M130" s="39">
        <v>110</v>
      </c>
    </row>
    <row r="131" spans="2:13" x14ac:dyDescent="0.25">
      <c r="B131" s="37" t="s">
        <v>517</v>
      </c>
      <c r="C131" s="37">
        <v>24</v>
      </c>
      <c r="D131" s="37">
        <v>24</v>
      </c>
      <c r="E131" s="37">
        <v>1.5</v>
      </c>
      <c r="F131" s="37">
        <v>1.5</v>
      </c>
      <c r="G131" s="37">
        <v>77</v>
      </c>
      <c r="H131" s="37">
        <v>0</v>
      </c>
      <c r="I131" s="38" t="s">
        <v>8</v>
      </c>
      <c r="J131" s="38" t="s">
        <v>50</v>
      </c>
      <c r="K131" s="40">
        <v>0</v>
      </c>
      <c r="L131" s="40">
        <v>64</v>
      </c>
      <c r="M131" s="40">
        <v>90</v>
      </c>
    </row>
    <row r="132" spans="2:13" x14ac:dyDescent="0.25">
      <c r="B132" s="35" t="s">
        <v>525</v>
      </c>
      <c r="C132" s="35">
        <v>25</v>
      </c>
      <c r="D132" s="35">
        <v>25</v>
      </c>
      <c r="E132" s="35">
        <v>2.8</v>
      </c>
      <c r="F132" s="35">
        <v>2.8</v>
      </c>
      <c r="G132" s="35">
        <v>58</v>
      </c>
      <c r="H132" s="35">
        <v>0</v>
      </c>
      <c r="I132" s="36" t="s">
        <v>8</v>
      </c>
      <c r="J132" s="36" t="s">
        <v>50</v>
      </c>
      <c r="K132" s="39">
        <v>0</v>
      </c>
      <c r="L132" s="39">
        <v>82</v>
      </c>
      <c r="M132" s="39">
        <v>72</v>
      </c>
    </row>
    <row r="133" spans="2:13" x14ac:dyDescent="0.25">
      <c r="B133" s="37" t="s">
        <v>528</v>
      </c>
      <c r="C133" s="37">
        <v>25</v>
      </c>
      <c r="D133" s="37">
        <v>25</v>
      </c>
      <c r="E133" s="37">
        <v>2</v>
      </c>
      <c r="F133" s="37">
        <v>2</v>
      </c>
      <c r="G133" s="37">
        <v>67</v>
      </c>
      <c r="H133" s="37">
        <v>0.17</v>
      </c>
      <c r="I133" s="38" t="s">
        <v>8</v>
      </c>
      <c r="J133" s="38" t="s">
        <v>50</v>
      </c>
      <c r="K133" s="40">
        <v>0</v>
      </c>
      <c r="L133" s="40">
        <v>82</v>
      </c>
      <c r="M133" s="40">
        <v>72</v>
      </c>
    </row>
    <row r="134" spans="2:13" x14ac:dyDescent="0.25">
      <c r="B134" s="35" t="s">
        <v>530</v>
      </c>
      <c r="C134" s="35">
        <v>28</v>
      </c>
      <c r="D134" s="35">
        <v>200</v>
      </c>
      <c r="E134" s="35">
        <v>3.8</v>
      </c>
      <c r="F134" s="35">
        <v>5.6</v>
      </c>
      <c r="G134" s="35">
        <v>62</v>
      </c>
      <c r="H134" s="35">
        <v>0.25</v>
      </c>
      <c r="I134" s="36" t="s">
        <v>8</v>
      </c>
      <c r="J134" s="36" t="s">
        <v>50</v>
      </c>
      <c r="K134" s="39">
        <v>0</v>
      </c>
      <c r="L134" s="39">
        <v>71</v>
      </c>
      <c r="M134" s="39">
        <v>75</v>
      </c>
    </row>
    <row r="135" spans="2:13" x14ac:dyDescent="0.25">
      <c r="B135" s="37" t="s">
        <v>534</v>
      </c>
      <c r="C135" s="37">
        <v>28</v>
      </c>
      <c r="D135" s="37">
        <v>300</v>
      </c>
      <c r="E135" s="37">
        <v>3.5</v>
      </c>
      <c r="F135" s="37">
        <v>5.6</v>
      </c>
      <c r="G135" s="37">
        <v>77</v>
      </c>
      <c r="H135" s="37">
        <v>0.32</v>
      </c>
      <c r="I135" s="38" t="s">
        <v>8</v>
      </c>
      <c r="J135" s="38" t="s">
        <v>50</v>
      </c>
      <c r="K135" s="40">
        <v>0</v>
      </c>
      <c r="L135" s="40">
        <v>83</v>
      </c>
      <c r="M135" s="40">
        <v>115</v>
      </c>
    </row>
    <row r="136" spans="2:13" x14ac:dyDescent="0.25">
      <c r="B136" s="35" t="s">
        <v>538</v>
      </c>
      <c r="C136" s="35">
        <v>28</v>
      </c>
      <c r="D136" s="35">
        <v>300</v>
      </c>
      <c r="E136" s="35">
        <v>3.5</v>
      </c>
      <c r="F136" s="35">
        <v>6.3</v>
      </c>
      <c r="G136" s="35">
        <v>62</v>
      </c>
      <c r="H136" s="35">
        <v>0.33</v>
      </c>
      <c r="I136" s="36" t="s">
        <v>8</v>
      </c>
      <c r="J136" s="36" t="s">
        <v>50</v>
      </c>
      <c r="K136" s="39">
        <v>0</v>
      </c>
      <c r="L136" s="39">
        <v>74</v>
      </c>
      <c r="M136" s="39">
        <v>84</v>
      </c>
    </row>
    <row r="137" spans="2:13" x14ac:dyDescent="0.25">
      <c r="B137" s="37" t="s">
        <v>540</v>
      </c>
      <c r="C137" s="37">
        <v>28</v>
      </c>
      <c r="D137" s="37">
        <v>300</v>
      </c>
      <c r="E137" s="37">
        <v>3.5</v>
      </c>
      <c r="F137" s="37">
        <v>6.3</v>
      </c>
      <c r="G137" s="37">
        <v>67</v>
      </c>
      <c r="H137" s="37">
        <v>0.28000000000000003</v>
      </c>
      <c r="I137" s="38" t="s">
        <v>8</v>
      </c>
      <c r="J137" s="38" t="s">
        <v>50</v>
      </c>
      <c r="K137" s="40">
        <v>0</v>
      </c>
      <c r="L137" s="40">
        <v>75</v>
      </c>
      <c r="M137" s="40">
        <v>96</v>
      </c>
    </row>
    <row r="138" spans="2:13" x14ac:dyDescent="0.25">
      <c r="B138" s="35" t="s">
        <v>542</v>
      </c>
      <c r="C138" s="35">
        <v>28</v>
      </c>
      <c r="D138" s="35">
        <v>300</v>
      </c>
      <c r="E138" s="35">
        <v>3.5</v>
      </c>
      <c r="F138" s="35">
        <v>6.3</v>
      </c>
      <c r="G138" s="35">
        <v>62</v>
      </c>
      <c r="H138" s="35">
        <v>0.34</v>
      </c>
      <c r="I138" s="36" t="s">
        <v>8</v>
      </c>
      <c r="J138" s="36" t="s">
        <v>50</v>
      </c>
      <c r="K138" s="39">
        <v>0</v>
      </c>
      <c r="L138" s="39">
        <v>73</v>
      </c>
      <c r="M138" s="39">
        <v>84</v>
      </c>
    </row>
    <row r="139" spans="2:13" x14ac:dyDescent="0.25">
      <c r="B139" s="37" t="s">
        <v>544</v>
      </c>
      <c r="C139" s="37">
        <v>28</v>
      </c>
      <c r="D139" s="37">
        <v>300</v>
      </c>
      <c r="E139" s="37">
        <v>3.5</v>
      </c>
      <c r="F139" s="37">
        <v>6.3</v>
      </c>
      <c r="G139" s="37">
        <v>67</v>
      </c>
      <c r="H139" s="37">
        <v>0.33</v>
      </c>
      <c r="I139" s="38" t="s">
        <v>8</v>
      </c>
      <c r="J139" s="38" t="s">
        <v>50</v>
      </c>
      <c r="K139" s="40">
        <v>0</v>
      </c>
      <c r="L139" s="40">
        <v>78</v>
      </c>
      <c r="M139" s="40">
        <v>99</v>
      </c>
    </row>
    <row r="140" spans="2:13" x14ac:dyDescent="0.25">
      <c r="B140" s="35" t="s">
        <v>547</v>
      </c>
      <c r="C140" s="35">
        <v>28</v>
      </c>
      <c r="D140" s="35">
        <v>75</v>
      </c>
      <c r="E140" s="35">
        <v>2.8</v>
      </c>
      <c r="F140" s="35">
        <v>2.8</v>
      </c>
      <c r="G140" s="35">
        <v>67</v>
      </c>
      <c r="H140" s="35">
        <v>0.25</v>
      </c>
      <c r="I140" s="36" t="s">
        <v>8</v>
      </c>
      <c r="J140" s="36" t="s">
        <v>50</v>
      </c>
      <c r="K140" s="39">
        <v>0</v>
      </c>
      <c r="L140" s="39">
        <v>73</v>
      </c>
      <c r="M140" s="39">
        <v>92</v>
      </c>
    </row>
    <row r="141" spans="2:13" x14ac:dyDescent="0.25">
      <c r="B141" s="37" t="s">
        <v>551</v>
      </c>
      <c r="C141" s="37">
        <v>28</v>
      </c>
      <c r="D141" s="37">
        <v>28</v>
      </c>
      <c r="E141" s="37">
        <v>2.8</v>
      </c>
      <c r="F141" s="37">
        <v>2.8</v>
      </c>
      <c r="G141" s="37">
        <v>52</v>
      </c>
      <c r="H141" s="37">
        <v>0.18</v>
      </c>
      <c r="I141" s="38" t="s">
        <v>8</v>
      </c>
      <c r="J141" s="38" t="s">
        <v>50</v>
      </c>
      <c r="K141" s="40">
        <v>0</v>
      </c>
      <c r="L141" s="40">
        <v>65</v>
      </c>
      <c r="M141" s="40">
        <v>45</v>
      </c>
    </row>
    <row r="142" spans="2:13" x14ac:dyDescent="0.25">
      <c r="B142" s="35" t="s">
        <v>554</v>
      </c>
      <c r="C142" s="35">
        <v>28</v>
      </c>
      <c r="D142" s="35">
        <v>28</v>
      </c>
      <c r="E142" s="35">
        <v>1.4</v>
      </c>
      <c r="F142" s="35">
        <v>1.4</v>
      </c>
      <c r="G142" s="35">
        <v>77</v>
      </c>
      <c r="H142" s="35">
        <v>0.17</v>
      </c>
      <c r="I142" s="36" t="s">
        <v>8</v>
      </c>
      <c r="J142" s="36" t="s">
        <v>50</v>
      </c>
      <c r="K142" s="39">
        <v>0</v>
      </c>
      <c r="L142" s="39">
        <v>83</v>
      </c>
      <c r="M142" s="39">
        <v>101</v>
      </c>
    </row>
    <row r="143" spans="2:13" x14ac:dyDescent="0.25">
      <c r="B143" s="37" t="s">
        <v>557</v>
      </c>
      <c r="C143" s="37">
        <v>28</v>
      </c>
      <c r="D143" s="37">
        <v>28</v>
      </c>
      <c r="E143" s="37">
        <v>1.8</v>
      </c>
      <c r="F143" s="37">
        <v>1.8</v>
      </c>
      <c r="G143" s="37">
        <v>67</v>
      </c>
      <c r="H143" s="37">
        <v>0.22</v>
      </c>
      <c r="I143" s="38" t="s">
        <v>8</v>
      </c>
      <c r="J143" s="38" t="s">
        <v>50</v>
      </c>
      <c r="K143" s="40">
        <v>0</v>
      </c>
      <c r="L143" s="40">
        <v>73</v>
      </c>
      <c r="M143" s="40">
        <v>81</v>
      </c>
    </row>
    <row r="144" spans="2:13" x14ac:dyDescent="0.25">
      <c r="B144" s="35" t="s">
        <v>559</v>
      </c>
      <c r="C144" s="35">
        <v>28</v>
      </c>
      <c r="D144" s="35">
        <v>28</v>
      </c>
      <c r="E144" s="35">
        <v>1.8</v>
      </c>
      <c r="F144" s="35">
        <v>1.8</v>
      </c>
      <c r="G144" s="35">
        <v>77</v>
      </c>
      <c r="H144" s="35">
        <v>0.34</v>
      </c>
      <c r="I144" s="36" t="s">
        <v>8</v>
      </c>
      <c r="J144" s="36" t="s">
        <v>50</v>
      </c>
      <c r="K144" s="39">
        <v>0</v>
      </c>
      <c r="L144" s="39">
        <v>84</v>
      </c>
      <c r="M144" s="39">
        <v>80</v>
      </c>
    </row>
    <row r="145" spans="2:13" x14ac:dyDescent="0.25">
      <c r="B145" s="37" t="s">
        <v>564</v>
      </c>
      <c r="C145" s="37">
        <v>28</v>
      </c>
      <c r="D145" s="37">
        <v>28</v>
      </c>
      <c r="E145" s="37">
        <v>1.4</v>
      </c>
      <c r="F145" s="37">
        <v>1.4</v>
      </c>
      <c r="G145" s="37">
        <v>95</v>
      </c>
      <c r="H145" s="37">
        <v>0.16</v>
      </c>
      <c r="I145" s="38" t="s">
        <v>8</v>
      </c>
      <c r="J145" s="38" t="s">
        <v>50</v>
      </c>
      <c r="K145" s="40">
        <v>0</v>
      </c>
      <c r="L145" s="40">
        <v>109</v>
      </c>
      <c r="M145" s="40">
        <v>135</v>
      </c>
    </row>
    <row r="146" spans="2:13" x14ac:dyDescent="0.25">
      <c r="B146" s="35" t="s">
        <v>561</v>
      </c>
      <c r="C146" s="35">
        <v>28</v>
      </c>
      <c r="D146" s="35">
        <v>28</v>
      </c>
      <c r="E146" s="35">
        <v>2</v>
      </c>
      <c r="F146" s="35">
        <v>2</v>
      </c>
      <c r="G146" s="35">
        <v>58</v>
      </c>
      <c r="H146" s="35">
        <v>0.25</v>
      </c>
      <c r="I146" s="36" t="s">
        <v>8</v>
      </c>
      <c r="J146" s="36" t="s">
        <v>50</v>
      </c>
      <c r="K146" s="39">
        <v>0</v>
      </c>
      <c r="L146" s="39">
        <v>69</v>
      </c>
      <c r="M146" s="39">
        <v>66</v>
      </c>
    </row>
    <row r="147" spans="2:13" x14ac:dyDescent="0.25">
      <c r="B147" s="37" t="s">
        <v>585</v>
      </c>
      <c r="C147" s="37">
        <v>30</v>
      </c>
      <c r="D147" s="37">
        <v>30</v>
      </c>
      <c r="E147" s="37">
        <v>1.4</v>
      </c>
      <c r="F147" s="37">
        <v>1.4</v>
      </c>
      <c r="G147" s="37">
        <v>62</v>
      </c>
      <c r="H147" s="37">
        <v>0.1</v>
      </c>
      <c r="I147" s="38" t="s">
        <v>8</v>
      </c>
      <c r="J147" s="38" t="s">
        <v>9</v>
      </c>
      <c r="K147" s="40">
        <v>0</v>
      </c>
      <c r="L147" s="40">
        <v>77</v>
      </c>
      <c r="M147" s="40">
        <v>59</v>
      </c>
    </row>
    <row r="148" spans="2:13" x14ac:dyDescent="0.25">
      <c r="B148" s="35" t="s">
        <v>588</v>
      </c>
      <c r="C148" s="35">
        <v>30</v>
      </c>
      <c r="D148" s="35">
        <v>30</v>
      </c>
      <c r="E148" s="35">
        <v>1.4</v>
      </c>
      <c r="F148" s="35">
        <v>1.4</v>
      </c>
      <c r="G148" s="35">
        <v>62</v>
      </c>
      <c r="H148" s="35">
        <v>0.14000000000000001</v>
      </c>
      <c r="I148" s="36" t="s">
        <v>8</v>
      </c>
      <c r="J148" s="36" t="s">
        <v>50</v>
      </c>
      <c r="K148" s="39">
        <v>0</v>
      </c>
      <c r="L148" s="39">
        <v>74</v>
      </c>
      <c r="M148" s="39">
        <v>64</v>
      </c>
    </row>
    <row r="149" spans="2:13" x14ac:dyDescent="0.25">
      <c r="B149" s="37" t="s">
        <v>591</v>
      </c>
      <c r="C149" s="37">
        <v>35</v>
      </c>
      <c r="D149" s="37">
        <v>35</v>
      </c>
      <c r="E149" s="37">
        <v>2</v>
      </c>
      <c r="F149" s="37">
        <v>2</v>
      </c>
      <c r="G149" s="37">
        <v>52</v>
      </c>
      <c r="H149" s="37">
        <v>0.24</v>
      </c>
      <c r="I149" s="38" t="s">
        <v>8</v>
      </c>
      <c r="J149" s="38" t="s">
        <v>50</v>
      </c>
      <c r="K149" s="40">
        <v>0</v>
      </c>
      <c r="L149" s="40">
        <v>65</v>
      </c>
      <c r="M149" s="40">
        <v>45</v>
      </c>
    </row>
    <row r="150" spans="2:13" x14ac:dyDescent="0.25">
      <c r="B150" s="35" t="s">
        <v>593</v>
      </c>
      <c r="C150" s="35">
        <v>35</v>
      </c>
      <c r="D150" s="35">
        <v>35</v>
      </c>
      <c r="E150" s="35">
        <v>1.4</v>
      </c>
      <c r="F150" s="35">
        <v>1.4</v>
      </c>
      <c r="G150" s="35">
        <v>67</v>
      </c>
      <c r="H150" s="35">
        <v>0.2</v>
      </c>
      <c r="I150" s="36" t="s">
        <v>8</v>
      </c>
      <c r="J150" s="36" t="s">
        <v>50</v>
      </c>
      <c r="K150" s="39">
        <v>0</v>
      </c>
      <c r="L150" s="39">
        <v>83</v>
      </c>
      <c r="M150" s="39">
        <v>90</v>
      </c>
    </row>
    <row r="151" spans="2:13" x14ac:dyDescent="0.25">
      <c r="B151" s="37" t="s">
        <v>594</v>
      </c>
      <c r="C151" s="37">
        <v>35</v>
      </c>
      <c r="D151" s="37">
        <v>35</v>
      </c>
      <c r="E151" s="37">
        <v>1.8</v>
      </c>
      <c r="F151" s="37">
        <v>1.8</v>
      </c>
      <c r="G151" s="37">
        <v>58</v>
      </c>
      <c r="H151" s="37">
        <v>0.24</v>
      </c>
      <c r="I151" s="38" t="s">
        <v>8</v>
      </c>
      <c r="J151" s="38" t="s">
        <v>50</v>
      </c>
      <c r="K151" s="40">
        <v>0</v>
      </c>
      <c r="L151" s="40">
        <v>72</v>
      </c>
      <c r="M151" s="40">
        <v>72</v>
      </c>
    </row>
    <row r="152" spans="2:13" x14ac:dyDescent="0.25">
      <c r="B152" s="35" t="s">
        <v>596</v>
      </c>
      <c r="C152" s="35">
        <v>35</v>
      </c>
      <c r="D152" s="35">
        <v>35</v>
      </c>
      <c r="E152" s="35">
        <v>1.8</v>
      </c>
      <c r="F152" s="35">
        <v>1.8</v>
      </c>
      <c r="G152" s="35">
        <v>52</v>
      </c>
      <c r="H152" s="35">
        <v>0.16</v>
      </c>
      <c r="I152" s="36" t="s">
        <v>8</v>
      </c>
      <c r="J152" s="36" t="s">
        <v>9</v>
      </c>
      <c r="K152" s="39">
        <v>0</v>
      </c>
      <c r="L152" s="39">
        <v>70</v>
      </c>
      <c r="M152" s="39">
        <v>53</v>
      </c>
    </row>
    <row r="153" spans="2:13" x14ac:dyDescent="0.25">
      <c r="B153" s="37" t="s">
        <v>602</v>
      </c>
      <c r="C153" s="37">
        <v>35</v>
      </c>
      <c r="D153" s="37">
        <v>35</v>
      </c>
      <c r="E153" s="37">
        <v>1.4</v>
      </c>
      <c r="F153" s="37">
        <v>1.4</v>
      </c>
      <c r="G153" s="37">
        <v>67</v>
      </c>
      <c r="H153" s="37">
        <v>0.19</v>
      </c>
      <c r="I153" s="38" t="s">
        <v>8</v>
      </c>
      <c r="J153" s="38" t="s">
        <v>50</v>
      </c>
      <c r="K153" s="40">
        <v>0</v>
      </c>
      <c r="L153" s="40">
        <v>77</v>
      </c>
      <c r="M153" s="40">
        <v>94</v>
      </c>
    </row>
    <row r="154" spans="2:13" x14ac:dyDescent="0.25">
      <c r="B154" s="35" t="s">
        <v>603</v>
      </c>
      <c r="C154" s="35">
        <v>35</v>
      </c>
      <c r="D154" s="35">
        <v>35</v>
      </c>
      <c r="E154" s="35">
        <v>1.8</v>
      </c>
      <c r="F154" s="35">
        <v>1.8</v>
      </c>
      <c r="G154" s="35">
        <v>67</v>
      </c>
      <c r="H154" s="35">
        <v>0.4</v>
      </c>
      <c r="I154" s="36" t="s">
        <v>8</v>
      </c>
      <c r="J154" s="36" t="s">
        <v>50</v>
      </c>
      <c r="K154" s="39">
        <v>0</v>
      </c>
      <c r="L154" s="39">
        <v>81</v>
      </c>
      <c r="M154" s="39">
        <v>81</v>
      </c>
    </row>
    <row r="155" spans="2:13" x14ac:dyDescent="0.25">
      <c r="B155" s="37" t="s">
        <v>606</v>
      </c>
      <c r="C155" s="37">
        <v>35</v>
      </c>
      <c r="D155" s="37">
        <v>35</v>
      </c>
      <c r="E155" s="37">
        <v>2.8</v>
      </c>
      <c r="F155" s="37">
        <v>2.8</v>
      </c>
      <c r="G155" s="37">
        <v>52</v>
      </c>
      <c r="H155" s="37">
        <v>1</v>
      </c>
      <c r="I155" s="38" t="s">
        <v>8</v>
      </c>
      <c r="J155" s="38" t="s">
        <v>9</v>
      </c>
      <c r="K155" s="40">
        <v>0</v>
      </c>
      <c r="L155" s="40">
        <v>73</v>
      </c>
      <c r="M155" s="40">
        <v>60</v>
      </c>
    </row>
    <row r="156" spans="2:13" x14ac:dyDescent="0.25">
      <c r="B156" s="35" t="s">
        <v>614</v>
      </c>
      <c r="C156" s="35">
        <v>35</v>
      </c>
      <c r="D156" s="35">
        <v>35</v>
      </c>
      <c r="E156" s="35">
        <v>1.4</v>
      </c>
      <c r="F156" s="35">
        <v>1.4</v>
      </c>
      <c r="G156" s="35">
        <v>72</v>
      </c>
      <c r="H156" s="35">
        <v>0.21</v>
      </c>
      <c r="I156" s="36" t="s">
        <v>8</v>
      </c>
      <c r="J156" s="36" t="s">
        <v>50</v>
      </c>
      <c r="K156" s="39">
        <v>0</v>
      </c>
      <c r="L156" s="39">
        <v>85</v>
      </c>
      <c r="M156" s="39">
        <v>144</v>
      </c>
    </row>
    <row r="157" spans="2:13" x14ac:dyDescent="0.25">
      <c r="B157" s="37" t="s">
        <v>617</v>
      </c>
      <c r="C157" s="37">
        <v>35</v>
      </c>
      <c r="D157" s="37">
        <v>35</v>
      </c>
      <c r="E157" s="37">
        <v>2</v>
      </c>
      <c r="F157" s="37">
        <v>2</v>
      </c>
      <c r="G157" s="37">
        <v>58</v>
      </c>
      <c r="H157" s="37">
        <v>0.18</v>
      </c>
      <c r="I157" s="38" t="s">
        <v>8</v>
      </c>
      <c r="J157" s="38" t="s">
        <v>50</v>
      </c>
      <c r="K157" s="40">
        <v>0</v>
      </c>
      <c r="L157" s="40">
        <v>77</v>
      </c>
      <c r="M157" s="40">
        <v>83</v>
      </c>
    </row>
    <row r="158" spans="2:13" x14ac:dyDescent="0.25">
      <c r="B158" s="35" t="s">
        <v>599</v>
      </c>
      <c r="C158" s="35">
        <v>35</v>
      </c>
      <c r="D158" s="35">
        <v>35</v>
      </c>
      <c r="E158" s="35">
        <v>1.4</v>
      </c>
      <c r="F158" s="35">
        <v>1.4</v>
      </c>
      <c r="G158" s="35">
        <v>77</v>
      </c>
      <c r="H158" s="35">
        <v>0</v>
      </c>
      <c r="I158" s="36" t="s">
        <v>8</v>
      </c>
      <c r="J158" s="36" t="s">
        <v>50</v>
      </c>
      <c r="K158" s="39">
        <v>0</v>
      </c>
      <c r="L158" s="39">
        <v>103</v>
      </c>
      <c r="M158" s="39">
        <v>135</v>
      </c>
    </row>
    <row r="159" spans="2:13" x14ac:dyDescent="0.25">
      <c r="B159" s="37" t="s">
        <v>601</v>
      </c>
      <c r="C159" s="37">
        <v>35</v>
      </c>
      <c r="D159" s="37">
        <v>35</v>
      </c>
      <c r="E159" s="37">
        <v>1.5</v>
      </c>
      <c r="F159" s="37">
        <v>1.5</v>
      </c>
      <c r="G159" s="37">
        <v>77</v>
      </c>
      <c r="H159" s="37">
        <v>0</v>
      </c>
      <c r="I159" s="38" t="s">
        <v>8</v>
      </c>
      <c r="J159" s="38" t="s">
        <v>50</v>
      </c>
      <c r="K159" s="40">
        <v>0</v>
      </c>
      <c r="L159" s="40">
        <v>71</v>
      </c>
      <c r="M159" s="40">
        <v>95</v>
      </c>
    </row>
    <row r="160" spans="2:13" x14ac:dyDescent="0.25">
      <c r="B160" s="35" t="s">
        <v>609</v>
      </c>
      <c r="C160" s="35">
        <v>35</v>
      </c>
      <c r="D160" s="35">
        <v>35</v>
      </c>
      <c r="E160" s="35">
        <v>1.4</v>
      </c>
      <c r="F160" s="35">
        <v>1.4</v>
      </c>
      <c r="G160" s="35">
        <v>72</v>
      </c>
      <c r="H160" s="35">
        <v>0.2</v>
      </c>
      <c r="I160" s="36" t="s">
        <v>8</v>
      </c>
      <c r="J160" s="36" t="s">
        <v>50</v>
      </c>
      <c r="K160" s="39">
        <v>0</v>
      </c>
      <c r="L160" s="39">
        <v>111</v>
      </c>
      <c r="M160" s="39">
        <v>83</v>
      </c>
    </row>
    <row r="161" spans="2:13" x14ac:dyDescent="0.25">
      <c r="B161" s="37" t="s">
        <v>611</v>
      </c>
      <c r="C161" s="37">
        <v>35</v>
      </c>
      <c r="D161" s="37">
        <v>35</v>
      </c>
      <c r="E161" s="37">
        <v>2</v>
      </c>
      <c r="F161" s="37">
        <v>2</v>
      </c>
      <c r="G161" s="37">
        <v>58</v>
      </c>
      <c r="H161" s="37">
        <v>0.19</v>
      </c>
      <c r="I161" s="38" t="s">
        <v>8</v>
      </c>
      <c r="J161" s="38" t="s">
        <v>50</v>
      </c>
      <c r="K161" s="40">
        <v>0</v>
      </c>
      <c r="L161" s="40">
        <v>83</v>
      </c>
      <c r="M161" s="40">
        <v>143</v>
      </c>
    </row>
    <row r="162" spans="2:13" x14ac:dyDescent="0.25">
      <c r="B162" s="35" t="s">
        <v>630</v>
      </c>
      <c r="C162" s="35">
        <v>40</v>
      </c>
      <c r="D162" s="35">
        <v>40</v>
      </c>
      <c r="E162" s="35">
        <v>2.8</v>
      </c>
      <c r="F162" s="35">
        <v>2.8</v>
      </c>
      <c r="G162" s="35">
        <v>52</v>
      </c>
      <c r="H162" s="35">
        <v>1</v>
      </c>
      <c r="I162" s="36" t="s">
        <v>8</v>
      </c>
      <c r="J162" s="36" t="s">
        <v>9</v>
      </c>
      <c r="K162" s="39">
        <v>0</v>
      </c>
      <c r="L162" s="39">
        <v>69</v>
      </c>
      <c r="M162" s="39">
        <v>65</v>
      </c>
    </row>
    <row r="163" spans="2:13" x14ac:dyDescent="0.25">
      <c r="B163" s="37" t="s">
        <v>634</v>
      </c>
      <c r="C163" s="37">
        <v>45</v>
      </c>
      <c r="D163" s="37">
        <v>45</v>
      </c>
      <c r="E163" s="37">
        <v>2.8</v>
      </c>
      <c r="F163" s="37">
        <v>2.8</v>
      </c>
      <c r="G163" s="37">
        <v>77</v>
      </c>
      <c r="H163" s="37">
        <v>0.5</v>
      </c>
      <c r="I163" s="38" t="s">
        <v>8</v>
      </c>
      <c r="J163" s="38" t="s">
        <v>50</v>
      </c>
      <c r="K163" s="40">
        <v>0</v>
      </c>
      <c r="L163" s="40">
        <v>83</v>
      </c>
      <c r="M163" s="40">
        <v>112</v>
      </c>
    </row>
    <row r="164" spans="2:13" x14ac:dyDescent="0.25">
      <c r="B164" s="35" t="s">
        <v>638</v>
      </c>
      <c r="C164" s="35">
        <v>45</v>
      </c>
      <c r="D164" s="35">
        <v>45</v>
      </c>
      <c r="E164" s="35">
        <v>1.8</v>
      </c>
      <c r="F164" s="35">
        <v>1.8</v>
      </c>
      <c r="G164" s="35">
        <v>67</v>
      </c>
      <c r="H164" s="35">
        <v>0.3</v>
      </c>
      <c r="I164" s="36" t="s">
        <v>8</v>
      </c>
      <c r="J164" s="36" t="s">
        <v>50</v>
      </c>
      <c r="K164" s="39">
        <v>0</v>
      </c>
      <c r="L164" s="39">
        <v>81</v>
      </c>
      <c r="M164" s="39">
        <v>92</v>
      </c>
    </row>
    <row r="165" spans="2:13" x14ac:dyDescent="0.25">
      <c r="B165" s="37" t="s">
        <v>640</v>
      </c>
      <c r="C165" s="37">
        <v>50</v>
      </c>
      <c r="D165" s="37">
        <v>100</v>
      </c>
      <c r="E165" s="37">
        <v>1.8</v>
      </c>
      <c r="F165" s="37">
        <v>1.8</v>
      </c>
      <c r="G165" s="37">
        <v>82</v>
      </c>
      <c r="H165" s="37">
        <v>0.15</v>
      </c>
      <c r="I165" s="38" t="s">
        <v>8</v>
      </c>
      <c r="J165" s="38" t="s">
        <v>9</v>
      </c>
      <c r="K165" s="40">
        <v>0</v>
      </c>
      <c r="L165" s="40">
        <v>94</v>
      </c>
      <c r="M165" s="40">
        <v>170</v>
      </c>
    </row>
    <row r="166" spans="2:13" x14ac:dyDescent="0.25">
      <c r="B166" s="35" t="s">
        <v>644</v>
      </c>
      <c r="C166" s="35">
        <v>50</v>
      </c>
      <c r="D166" s="35">
        <v>135</v>
      </c>
      <c r="E166" s="35">
        <v>2.8</v>
      </c>
      <c r="F166" s="35">
        <v>2.8</v>
      </c>
      <c r="G166" s="35">
        <v>67</v>
      </c>
      <c r="H166" s="35">
        <v>0.17</v>
      </c>
      <c r="I166" s="36" t="s">
        <v>8</v>
      </c>
      <c r="J166" s="36" t="s">
        <v>9</v>
      </c>
      <c r="K166" s="39">
        <v>0</v>
      </c>
      <c r="L166" s="39">
        <v>78</v>
      </c>
      <c r="M166" s="39">
        <v>135</v>
      </c>
    </row>
    <row r="167" spans="2:13" x14ac:dyDescent="0.25">
      <c r="B167" s="37" t="s">
        <v>648</v>
      </c>
      <c r="C167" s="37">
        <v>50</v>
      </c>
      <c r="D167" s="37">
        <v>150</v>
      </c>
      <c r="E167" s="37">
        <v>2.8</v>
      </c>
      <c r="F167" s="37">
        <v>2.8</v>
      </c>
      <c r="G167" s="37">
        <v>77</v>
      </c>
      <c r="H167" s="37">
        <v>0.15</v>
      </c>
      <c r="I167" s="38" t="s">
        <v>8</v>
      </c>
      <c r="J167" s="38" t="s">
        <v>9</v>
      </c>
      <c r="K167" s="40">
        <v>0</v>
      </c>
      <c r="L167" s="40">
        <v>87</v>
      </c>
      <c r="M167" s="40">
        <v>198</v>
      </c>
    </row>
    <row r="168" spans="2:13" x14ac:dyDescent="0.25">
      <c r="B168" s="35" t="s">
        <v>652</v>
      </c>
      <c r="C168" s="35">
        <v>50</v>
      </c>
      <c r="D168" s="35">
        <v>150</v>
      </c>
      <c r="E168" s="35">
        <v>2.8</v>
      </c>
      <c r="F168" s="35">
        <v>2.8</v>
      </c>
      <c r="G168" s="35">
        <v>67</v>
      </c>
      <c r="H168" s="35">
        <v>0.18</v>
      </c>
      <c r="I168" s="36" t="s">
        <v>8</v>
      </c>
      <c r="J168" s="36" t="s">
        <v>9</v>
      </c>
      <c r="K168" s="39">
        <v>0</v>
      </c>
      <c r="L168" s="39">
        <v>77</v>
      </c>
      <c r="M168" s="39">
        <v>140</v>
      </c>
    </row>
    <row r="169" spans="2:13" x14ac:dyDescent="0.25">
      <c r="B169" s="37" t="s">
        <v>654</v>
      </c>
      <c r="C169" s="37">
        <v>50</v>
      </c>
      <c r="D169" s="37">
        <v>200</v>
      </c>
      <c r="E169" s="37">
        <v>4</v>
      </c>
      <c r="F169" s="37">
        <v>5.6</v>
      </c>
      <c r="G169" s="37">
        <v>55</v>
      </c>
      <c r="H169" s="37">
        <v>0.22</v>
      </c>
      <c r="I169" s="38" t="s">
        <v>8</v>
      </c>
      <c r="J169" s="38" t="s">
        <v>9</v>
      </c>
      <c r="K169" s="40">
        <v>0</v>
      </c>
      <c r="L169" s="40">
        <v>75</v>
      </c>
      <c r="M169" s="40">
        <v>102</v>
      </c>
    </row>
    <row r="170" spans="2:13" x14ac:dyDescent="0.25">
      <c r="B170" s="35" t="s">
        <v>658</v>
      </c>
      <c r="C170" s="35">
        <v>50</v>
      </c>
      <c r="D170" s="35">
        <v>500</v>
      </c>
      <c r="E170" s="35">
        <v>4.5</v>
      </c>
      <c r="F170" s="35">
        <v>6.3</v>
      </c>
      <c r="G170" s="35">
        <v>95</v>
      </c>
      <c r="H170" s="35">
        <v>0.32</v>
      </c>
      <c r="I170" s="36" t="s">
        <v>8</v>
      </c>
      <c r="J170" s="36" t="s">
        <v>50</v>
      </c>
      <c r="K170" s="39">
        <v>0</v>
      </c>
      <c r="L170" s="39">
        <v>105</v>
      </c>
      <c r="M170" s="39">
        <v>219</v>
      </c>
    </row>
    <row r="171" spans="2:13" x14ac:dyDescent="0.25">
      <c r="B171" s="37" t="s">
        <v>677</v>
      </c>
      <c r="C171" s="37">
        <v>50</v>
      </c>
      <c r="D171" s="37">
        <v>50</v>
      </c>
      <c r="E171" s="37">
        <v>1.4</v>
      </c>
      <c r="F171" s="37">
        <v>1.4</v>
      </c>
      <c r="G171" s="37">
        <v>52</v>
      </c>
      <c r="H171" s="37">
        <v>0.15</v>
      </c>
      <c r="I171" s="38" t="s">
        <v>8</v>
      </c>
      <c r="J171" s="38" t="s">
        <v>50</v>
      </c>
      <c r="K171" s="40">
        <v>0</v>
      </c>
      <c r="L171" s="40">
        <v>64</v>
      </c>
      <c r="M171" s="40">
        <v>43</v>
      </c>
    </row>
    <row r="172" spans="2:13" x14ac:dyDescent="0.25">
      <c r="B172" s="35" t="s">
        <v>680</v>
      </c>
      <c r="C172" s="35">
        <v>50</v>
      </c>
      <c r="D172" s="35">
        <v>50</v>
      </c>
      <c r="E172" s="35">
        <v>1.8</v>
      </c>
      <c r="F172" s="35">
        <v>1.8</v>
      </c>
      <c r="G172" s="35">
        <v>52</v>
      </c>
      <c r="H172" s="35">
        <v>0.15</v>
      </c>
      <c r="I172" s="36" t="s">
        <v>8</v>
      </c>
      <c r="J172" s="36" t="s">
        <v>50</v>
      </c>
      <c r="K172" s="39">
        <v>0</v>
      </c>
      <c r="L172" s="39">
        <v>64</v>
      </c>
      <c r="M172" s="39">
        <v>39</v>
      </c>
    </row>
    <row r="173" spans="2:13" x14ac:dyDescent="0.25">
      <c r="B173" s="37" t="s">
        <v>683</v>
      </c>
      <c r="C173" s="37">
        <v>50</v>
      </c>
      <c r="D173" s="37">
        <v>50</v>
      </c>
      <c r="E173" s="37">
        <v>1.4</v>
      </c>
      <c r="F173" s="37">
        <v>1.4</v>
      </c>
      <c r="G173" s="37">
        <v>58</v>
      </c>
      <c r="H173" s="37">
        <v>0.15</v>
      </c>
      <c r="I173" s="38" t="s">
        <v>8</v>
      </c>
      <c r="J173" s="38" t="s">
        <v>50</v>
      </c>
      <c r="K173" s="40">
        <v>0</v>
      </c>
      <c r="L173" s="40">
        <v>74</v>
      </c>
      <c r="M173" s="40">
        <v>54</v>
      </c>
    </row>
    <row r="174" spans="2:13" x14ac:dyDescent="0.25">
      <c r="B174" s="35" t="s">
        <v>685</v>
      </c>
      <c r="C174" s="35">
        <v>50</v>
      </c>
      <c r="D174" s="35">
        <v>50</v>
      </c>
      <c r="E174" s="35">
        <v>1.8</v>
      </c>
      <c r="F174" s="35">
        <v>1.8</v>
      </c>
      <c r="G174" s="35">
        <v>58</v>
      </c>
      <c r="H174" s="35">
        <v>0.15</v>
      </c>
      <c r="I174" s="36" t="s">
        <v>8</v>
      </c>
      <c r="J174" s="36" t="s">
        <v>50</v>
      </c>
      <c r="K174" s="39">
        <v>0</v>
      </c>
      <c r="L174" s="39">
        <v>72</v>
      </c>
      <c r="M174" s="39">
        <v>52</v>
      </c>
    </row>
    <row r="175" spans="2:13" x14ac:dyDescent="0.25">
      <c r="B175" s="37" t="s">
        <v>688</v>
      </c>
      <c r="C175" s="37">
        <v>50</v>
      </c>
      <c r="D175" s="37">
        <v>50</v>
      </c>
      <c r="E175" s="37">
        <v>1.8</v>
      </c>
      <c r="F175" s="37">
        <v>1.8</v>
      </c>
      <c r="G175" s="37">
        <v>58</v>
      </c>
      <c r="H175" s="37">
        <v>0.15</v>
      </c>
      <c r="I175" s="38" t="s">
        <v>8</v>
      </c>
      <c r="J175" s="38" t="s">
        <v>50</v>
      </c>
      <c r="K175" s="40">
        <v>0</v>
      </c>
      <c r="L175" s="40">
        <v>73</v>
      </c>
      <c r="M175" s="40">
        <v>53</v>
      </c>
    </row>
    <row r="176" spans="2:13" x14ac:dyDescent="0.25">
      <c r="B176" s="35" t="s">
        <v>694</v>
      </c>
      <c r="C176" s="35">
        <v>50</v>
      </c>
      <c r="D176" s="35">
        <v>50</v>
      </c>
      <c r="E176" s="35">
        <v>1.4</v>
      </c>
      <c r="F176" s="35">
        <v>1.4</v>
      </c>
      <c r="G176" s="35">
        <v>77</v>
      </c>
      <c r="H176" s="35">
        <v>0.13</v>
      </c>
      <c r="I176" s="36" t="s">
        <v>8</v>
      </c>
      <c r="J176" s="36" t="s">
        <v>50</v>
      </c>
      <c r="K176" s="39">
        <v>0</v>
      </c>
      <c r="L176" s="39">
        <v>85</v>
      </c>
      <c r="M176" s="39">
        <v>68</v>
      </c>
    </row>
    <row r="177" spans="2:13" x14ac:dyDescent="0.25">
      <c r="B177" s="37" t="s">
        <v>696</v>
      </c>
      <c r="C177" s="37">
        <v>50</v>
      </c>
      <c r="D177" s="37">
        <v>50</v>
      </c>
      <c r="E177" s="37">
        <v>2.8</v>
      </c>
      <c r="F177" s="37">
        <v>2.8</v>
      </c>
      <c r="G177" s="37">
        <v>55</v>
      </c>
      <c r="H177" s="37">
        <v>1</v>
      </c>
      <c r="I177" s="38" t="s">
        <v>8</v>
      </c>
      <c r="J177" s="38" t="s">
        <v>50</v>
      </c>
      <c r="K177" s="40">
        <v>0</v>
      </c>
      <c r="L177" s="40">
        <v>72</v>
      </c>
      <c r="M177" s="40">
        <v>64</v>
      </c>
    </row>
    <row r="178" spans="2:13" x14ac:dyDescent="0.25">
      <c r="B178" s="35" t="s">
        <v>699</v>
      </c>
      <c r="C178" s="35">
        <v>50</v>
      </c>
      <c r="D178" s="35">
        <v>50</v>
      </c>
      <c r="E178" s="35">
        <v>1.4</v>
      </c>
      <c r="F178" s="35">
        <v>1.4</v>
      </c>
      <c r="G178" s="35">
        <v>77</v>
      </c>
      <c r="H178" s="35">
        <v>0.17</v>
      </c>
      <c r="I178" s="36" t="s">
        <v>8</v>
      </c>
      <c r="J178" s="36" t="s">
        <v>50</v>
      </c>
      <c r="K178" s="39">
        <v>0</v>
      </c>
      <c r="L178" s="39">
        <v>86</v>
      </c>
      <c r="M178" s="39">
        <v>100</v>
      </c>
    </row>
    <row r="179" spans="2:13" x14ac:dyDescent="0.25">
      <c r="B179" s="37" t="s">
        <v>701</v>
      </c>
      <c r="C179" s="37">
        <v>50</v>
      </c>
      <c r="D179" s="37">
        <v>50</v>
      </c>
      <c r="E179" s="37">
        <v>2</v>
      </c>
      <c r="F179" s="37">
        <v>2</v>
      </c>
      <c r="G179" s="37">
        <v>67</v>
      </c>
      <c r="H179" s="37">
        <v>0.5</v>
      </c>
      <c r="I179" s="38" t="s">
        <v>8</v>
      </c>
      <c r="J179" s="38" t="s">
        <v>50</v>
      </c>
      <c r="K179" s="40">
        <v>0</v>
      </c>
      <c r="L179" s="40">
        <v>72</v>
      </c>
      <c r="M179" s="40">
        <v>91</v>
      </c>
    </row>
    <row r="180" spans="2:13" x14ac:dyDescent="0.25">
      <c r="B180" s="35" t="s">
        <v>703</v>
      </c>
      <c r="C180" s="35">
        <v>50</v>
      </c>
      <c r="D180" s="35">
        <v>50</v>
      </c>
      <c r="E180" s="35">
        <v>1.4</v>
      </c>
      <c r="F180" s="35">
        <v>1.4</v>
      </c>
      <c r="G180" s="35">
        <v>67</v>
      </c>
      <c r="H180" s="35">
        <v>0.15</v>
      </c>
      <c r="I180" s="36" t="s">
        <v>8</v>
      </c>
      <c r="J180" s="36" t="s">
        <v>50</v>
      </c>
      <c r="K180" s="39">
        <v>0</v>
      </c>
      <c r="L180" s="39">
        <v>83</v>
      </c>
      <c r="M180" s="39">
        <v>94</v>
      </c>
    </row>
    <row r="181" spans="2:13" x14ac:dyDescent="0.25">
      <c r="B181" s="37" t="s">
        <v>706</v>
      </c>
      <c r="C181" s="37">
        <v>50</v>
      </c>
      <c r="D181" s="37">
        <v>50</v>
      </c>
      <c r="E181" s="37">
        <v>2</v>
      </c>
      <c r="F181" s="37">
        <v>2</v>
      </c>
      <c r="G181" s="37">
        <v>67</v>
      </c>
      <c r="H181" s="37">
        <v>0.5</v>
      </c>
      <c r="I181" s="38" t="s">
        <v>8</v>
      </c>
      <c r="J181" s="38" t="s">
        <v>50</v>
      </c>
      <c r="K181" s="40">
        <v>0</v>
      </c>
      <c r="L181" s="40">
        <v>81</v>
      </c>
      <c r="M181" s="40">
        <v>76</v>
      </c>
    </row>
    <row r="182" spans="2:13" x14ac:dyDescent="0.25">
      <c r="B182" s="35" t="s">
        <v>691</v>
      </c>
      <c r="C182" s="35">
        <v>50</v>
      </c>
      <c r="D182" s="35">
        <v>50</v>
      </c>
      <c r="E182" s="35">
        <v>1.4</v>
      </c>
      <c r="F182" s="35">
        <v>1.4</v>
      </c>
      <c r="G182" s="35">
        <v>77</v>
      </c>
      <c r="H182" s="35">
        <v>0</v>
      </c>
      <c r="I182" s="36" t="s">
        <v>8</v>
      </c>
      <c r="J182" s="36" t="s">
        <v>50</v>
      </c>
      <c r="K182" s="39">
        <v>0</v>
      </c>
      <c r="L182" s="39">
        <v>86</v>
      </c>
      <c r="M182" s="39">
        <v>116</v>
      </c>
    </row>
    <row r="183" spans="2:13" x14ac:dyDescent="0.25">
      <c r="B183" s="37" t="s">
        <v>693</v>
      </c>
      <c r="C183" s="37">
        <v>50</v>
      </c>
      <c r="D183" s="37">
        <v>50</v>
      </c>
      <c r="E183" s="37">
        <v>1.5</v>
      </c>
      <c r="F183" s="37">
        <v>1.5</v>
      </c>
      <c r="G183" s="37">
        <v>77</v>
      </c>
      <c r="H183" s="37">
        <v>0</v>
      </c>
      <c r="I183" s="38" t="s">
        <v>8</v>
      </c>
      <c r="J183" s="38" t="s">
        <v>50</v>
      </c>
      <c r="K183" s="40">
        <v>0</v>
      </c>
      <c r="L183" s="40">
        <v>87</v>
      </c>
      <c r="M183" s="40">
        <v>84</v>
      </c>
    </row>
    <row r="184" spans="2:13" x14ac:dyDescent="0.25">
      <c r="B184" s="35" t="s">
        <v>708</v>
      </c>
      <c r="C184" s="35">
        <v>50</v>
      </c>
      <c r="D184" s="35">
        <v>50</v>
      </c>
      <c r="E184" s="35">
        <v>1.4</v>
      </c>
      <c r="F184" s="35">
        <v>1.4</v>
      </c>
      <c r="G184" s="35">
        <v>58</v>
      </c>
      <c r="H184" s="35">
        <v>0</v>
      </c>
      <c r="I184" s="36" t="s">
        <v>8</v>
      </c>
      <c r="J184" s="36" t="s">
        <v>50</v>
      </c>
      <c r="K184" s="39">
        <v>0</v>
      </c>
      <c r="L184" s="39">
        <v>75</v>
      </c>
      <c r="M184" s="39">
        <v>75</v>
      </c>
    </row>
    <row r="185" spans="2:13" x14ac:dyDescent="0.25">
      <c r="B185" s="37" t="s">
        <v>710</v>
      </c>
      <c r="C185" s="37">
        <v>55</v>
      </c>
      <c r="D185" s="37">
        <v>200</v>
      </c>
      <c r="E185" s="37">
        <v>4</v>
      </c>
      <c r="F185" s="37">
        <v>5.6</v>
      </c>
      <c r="G185" s="37">
        <v>52</v>
      </c>
      <c r="H185" s="37">
        <v>0.22</v>
      </c>
      <c r="I185" s="38" t="s">
        <v>8</v>
      </c>
      <c r="J185" s="38" t="s">
        <v>9</v>
      </c>
      <c r="K185" s="40">
        <v>0</v>
      </c>
      <c r="L185" s="40">
        <v>68</v>
      </c>
      <c r="M185" s="40">
        <v>79</v>
      </c>
    </row>
    <row r="186" spans="2:13" x14ac:dyDescent="0.25">
      <c r="B186" s="35" t="s">
        <v>714</v>
      </c>
      <c r="C186" s="35">
        <v>55</v>
      </c>
      <c r="D186" s="35">
        <v>200</v>
      </c>
      <c r="E186" s="35">
        <v>4</v>
      </c>
      <c r="F186" s="35">
        <v>2</v>
      </c>
      <c r="G186" s="35">
        <v>52</v>
      </c>
      <c r="H186" s="35">
        <v>0.23</v>
      </c>
      <c r="I186" s="36" t="s">
        <v>8</v>
      </c>
      <c r="J186" s="36" t="s">
        <v>9</v>
      </c>
      <c r="K186" s="39">
        <v>0</v>
      </c>
      <c r="L186" s="39">
        <v>71</v>
      </c>
      <c r="M186" s="39">
        <v>83</v>
      </c>
    </row>
    <row r="187" spans="2:13" x14ac:dyDescent="0.25">
      <c r="B187" s="37" t="s">
        <v>718</v>
      </c>
      <c r="C187" s="37">
        <v>55</v>
      </c>
      <c r="D187" s="37">
        <v>200</v>
      </c>
      <c r="E187" s="37">
        <v>4</v>
      </c>
      <c r="F187" s="37">
        <v>5.6</v>
      </c>
      <c r="G187" s="37">
        <v>52</v>
      </c>
      <c r="H187" s="37">
        <v>0.28999999999999998</v>
      </c>
      <c r="I187" s="38" t="s">
        <v>8</v>
      </c>
      <c r="J187" s="38" t="s">
        <v>9</v>
      </c>
      <c r="K187" s="40">
        <v>0</v>
      </c>
      <c r="L187" s="40">
        <v>74</v>
      </c>
      <c r="M187" s="40">
        <v>100</v>
      </c>
    </row>
    <row r="188" spans="2:13" x14ac:dyDescent="0.25">
      <c r="B188" s="35" t="s">
        <v>721</v>
      </c>
      <c r="C188" s="35">
        <v>55</v>
      </c>
      <c r="D188" s="35">
        <v>200</v>
      </c>
      <c r="E188" s="35">
        <v>4</v>
      </c>
      <c r="F188" s="35">
        <v>5.6</v>
      </c>
      <c r="G188" s="35">
        <v>52</v>
      </c>
      <c r="H188" s="35">
        <v>0.28000000000000003</v>
      </c>
      <c r="I188" s="36" t="s">
        <v>8</v>
      </c>
      <c r="J188" s="36" t="s">
        <v>9</v>
      </c>
      <c r="K188" s="39">
        <v>0</v>
      </c>
      <c r="L188" s="39">
        <v>72</v>
      </c>
      <c r="M188" s="39">
        <v>83</v>
      </c>
    </row>
    <row r="189" spans="2:13" x14ac:dyDescent="0.25">
      <c r="B189" s="37" t="s">
        <v>724</v>
      </c>
      <c r="C189" s="37">
        <v>55</v>
      </c>
      <c r="D189" s="37">
        <v>300</v>
      </c>
      <c r="E189" s="37">
        <v>4.5</v>
      </c>
      <c r="F189" s="37">
        <v>5.6</v>
      </c>
      <c r="G189" s="37">
        <v>58</v>
      </c>
      <c r="H189" s="37">
        <v>0.28000000000000003</v>
      </c>
      <c r="I189" s="38" t="s">
        <v>8</v>
      </c>
      <c r="J189" s="38" t="s">
        <v>9</v>
      </c>
      <c r="K189" s="40">
        <v>0</v>
      </c>
      <c r="L189" s="40">
        <v>77</v>
      </c>
      <c r="M189" s="40">
        <v>123</v>
      </c>
    </row>
    <row r="190" spans="2:13" x14ac:dyDescent="0.25">
      <c r="B190" s="35" t="s">
        <v>728</v>
      </c>
      <c r="C190" s="35">
        <v>55</v>
      </c>
      <c r="D190" s="35">
        <v>55</v>
      </c>
      <c r="E190" s="35">
        <v>1.4</v>
      </c>
      <c r="F190" s="35">
        <v>1.4</v>
      </c>
      <c r="G190" s="35">
        <v>77</v>
      </c>
      <c r="H190" s="35">
        <v>0.15</v>
      </c>
      <c r="I190" s="36" t="s">
        <v>8</v>
      </c>
      <c r="J190" s="36" t="s">
        <v>50</v>
      </c>
      <c r="K190" s="39">
        <v>0</v>
      </c>
      <c r="L190" s="39">
        <v>77</v>
      </c>
      <c r="M190" s="39">
        <v>88</v>
      </c>
    </row>
    <row r="191" spans="2:13" x14ac:dyDescent="0.25">
      <c r="B191" s="37" t="s">
        <v>731</v>
      </c>
      <c r="C191" s="37">
        <v>58</v>
      </c>
      <c r="D191" s="37">
        <v>58</v>
      </c>
      <c r="E191" s="37">
        <v>1.4</v>
      </c>
      <c r="F191" s="37">
        <v>1.4</v>
      </c>
      <c r="G191" s="37">
        <v>72</v>
      </c>
      <c r="H191" s="37">
        <v>0.13</v>
      </c>
      <c r="I191" s="38" t="s">
        <v>8</v>
      </c>
      <c r="J191" s="38" t="s">
        <v>50</v>
      </c>
      <c r="K191" s="40">
        <v>0</v>
      </c>
      <c r="L191" s="40">
        <v>85</v>
      </c>
      <c r="M191" s="40">
        <v>70</v>
      </c>
    </row>
    <row r="192" spans="2:13" x14ac:dyDescent="0.25">
      <c r="B192" s="35" t="s">
        <v>740</v>
      </c>
      <c r="C192" s="35">
        <v>60</v>
      </c>
      <c r="D192" s="35">
        <v>60</v>
      </c>
      <c r="E192" s="35">
        <v>2.8</v>
      </c>
      <c r="F192" s="35">
        <v>2.8</v>
      </c>
      <c r="G192" s="35">
        <v>62</v>
      </c>
      <c r="H192" s="35">
        <v>1</v>
      </c>
      <c r="I192" s="36" t="s">
        <v>8</v>
      </c>
      <c r="J192" s="36" t="s">
        <v>50</v>
      </c>
      <c r="K192" s="39">
        <v>0</v>
      </c>
      <c r="L192" s="39">
        <v>70</v>
      </c>
      <c r="M192" s="39">
        <v>75</v>
      </c>
    </row>
    <row r="193" spans="2:13" x14ac:dyDescent="0.25">
      <c r="B193" s="37" t="s">
        <v>743</v>
      </c>
      <c r="C193" s="37">
        <v>60</v>
      </c>
      <c r="D193" s="37">
        <v>60</v>
      </c>
      <c r="E193" s="37">
        <v>2.8</v>
      </c>
      <c r="F193" s="37">
        <v>2.8</v>
      </c>
      <c r="G193" s="37">
        <v>62</v>
      </c>
      <c r="H193" s="37">
        <v>1</v>
      </c>
      <c r="I193" s="38" t="s">
        <v>8</v>
      </c>
      <c r="J193" s="38" t="s">
        <v>50</v>
      </c>
      <c r="K193" s="40">
        <v>0</v>
      </c>
      <c r="L193" s="40">
        <v>73</v>
      </c>
      <c r="M193" s="40">
        <v>89</v>
      </c>
    </row>
    <row r="194" spans="2:13" x14ac:dyDescent="0.25">
      <c r="B194" s="35" t="s">
        <v>746</v>
      </c>
      <c r="C194" s="35">
        <v>60</v>
      </c>
      <c r="D194" s="35">
        <v>60</v>
      </c>
      <c r="E194" s="35">
        <v>2</v>
      </c>
      <c r="F194" s="35">
        <v>2</v>
      </c>
      <c r="G194" s="35">
        <v>55</v>
      </c>
      <c r="H194" s="35">
        <v>1</v>
      </c>
      <c r="I194" s="36" t="s">
        <v>8</v>
      </c>
      <c r="J194" s="36" t="s">
        <v>9</v>
      </c>
      <c r="K194" s="39">
        <v>0</v>
      </c>
      <c r="L194" s="39">
        <v>73</v>
      </c>
      <c r="M194" s="39">
        <v>80</v>
      </c>
    </row>
    <row r="195" spans="2:13" x14ac:dyDescent="0.25">
      <c r="B195" s="37" t="s">
        <v>748</v>
      </c>
      <c r="C195" s="37">
        <v>70</v>
      </c>
      <c r="D195" s="37">
        <v>200</v>
      </c>
      <c r="E195" s="37">
        <v>2.8</v>
      </c>
      <c r="F195" s="37">
        <v>2.8</v>
      </c>
      <c r="G195" s="37">
        <v>77</v>
      </c>
      <c r="H195" s="37">
        <v>0.21</v>
      </c>
      <c r="I195" s="38" t="s">
        <v>8</v>
      </c>
      <c r="J195" s="38" t="s">
        <v>50</v>
      </c>
      <c r="K195" s="40">
        <v>0</v>
      </c>
      <c r="L195" s="40">
        <v>89</v>
      </c>
      <c r="M195" s="40">
        <v>203</v>
      </c>
    </row>
    <row r="196" spans="2:13" x14ac:dyDescent="0.25">
      <c r="B196" s="35" t="s">
        <v>752</v>
      </c>
      <c r="C196" s="35">
        <v>70</v>
      </c>
      <c r="D196" s="35">
        <v>200</v>
      </c>
      <c r="E196" s="35">
        <v>2.8</v>
      </c>
      <c r="F196" s="35">
        <v>2.8</v>
      </c>
      <c r="G196" s="35">
        <v>77</v>
      </c>
      <c r="H196" s="35">
        <v>0.12</v>
      </c>
      <c r="I196" s="36" t="s">
        <v>8</v>
      </c>
      <c r="J196" s="36" t="s">
        <v>50</v>
      </c>
      <c r="K196" s="39">
        <v>0</v>
      </c>
      <c r="L196" s="39">
        <v>87</v>
      </c>
      <c r="M196" s="39">
        <v>206</v>
      </c>
    </row>
    <row r="197" spans="2:13" x14ac:dyDescent="0.25">
      <c r="B197" s="37" t="s">
        <v>755</v>
      </c>
      <c r="C197" s="37">
        <v>70</v>
      </c>
      <c r="D197" s="37">
        <v>200</v>
      </c>
      <c r="E197" s="37">
        <v>2.8</v>
      </c>
      <c r="F197" s="37">
        <v>2.8</v>
      </c>
      <c r="G197" s="37">
        <v>77</v>
      </c>
      <c r="H197" s="37">
        <v>0.12</v>
      </c>
      <c r="I197" s="38" t="s">
        <v>8</v>
      </c>
      <c r="J197" s="38" t="s">
        <v>50</v>
      </c>
      <c r="K197" s="40">
        <v>0</v>
      </c>
      <c r="L197" s="40">
        <v>87</v>
      </c>
      <c r="M197" s="40">
        <v>200</v>
      </c>
    </row>
    <row r="198" spans="2:13" x14ac:dyDescent="0.25">
      <c r="B198" s="35" t="s">
        <v>757</v>
      </c>
      <c r="C198" s="35">
        <v>70</v>
      </c>
      <c r="D198" s="35">
        <v>200</v>
      </c>
      <c r="E198" s="35">
        <v>4</v>
      </c>
      <c r="F198" s="35">
        <v>4</v>
      </c>
      <c r="G198" s="35">
        <v>67</v>
      </c>
      <c r="H198" s="35">
        <v>0.27400000000000002</v>
      </c>
      <c r="I198" s="36" t="s">
        <v>8</v>
      </c>
      <c r="J198" s="36" t="s">
        <v>50</v>
      </c>
      <c r="K198" s="39">
        <v>0</v>
      </c>
      <c r="L198" s="39">
        <v>78</v>
      </c>
      <c r="M198" s="39">
        <v>179</v>
      </c>
    </row>
    <row r="199" spans="2:13" x14ac:dyDescent="0.25">
      <c r="B199" s="37" t="s">
        <v>761</v>
      </c>
      <c r="C199" s="37">
        <v>70</v>
      </c>
      <c r="D199" s="37">
        <v>200</v>
      </c>
      <c r="E199" s="37">
        <v>2.8</v>
      </c>
      <c r="F199" s="37">
        <v>2.8</v>
      </c>
      <c r="G199" s="37">
        <v>77</v>
      </c>
      <c r="H199" s="37">
        <v>0.28000000000000003</v>
      </c>
      <c r="I199" s="38" t="s">
        <v>8</v>
      </c>
      <c r="J199" s="38" t="s">
        <v>50</v>
      </c>
      <c r="K199" s="40">
        <v>0</v>
      </c>
      <c r="L199" s="40">
        <v>87</v>
      </c>
      <c r="M199" s="40">
        <v>185</v>
      </c>
    </row>
    <row r="200" spans="2:13" x14ac:dyDescent="0.25">
      <c r="B200" s="35" t="s">
        <v>764</v>
      </c>
      <c r="C200" s="35">
        <v>70</v>
      </c>
      <c r="D200" s="35">
        <v>200</v>
      </c>
      <c r="E200" s="35">
        <v>2.8</v>
      </c>
      <c r="F200" s="35">
        <v>2.8</v>
      </c>
      <c r="G200" s="35">
        <v>77</v>
      </c>
      <c r="H200" s="35">
        <v>0.16</v>
      </c>
      <c r="I200" s="36" t="s">
        <v>8</v>
      </c>
      <c r="J200" s="36" t="s">
        <v>50</v>
      </c>
      <c r="K200" s="39">
        <v>0</v>
      </c>
      <c r="L200" s="39">
        <v>88</v>
      </c>
      <c r="M200" s="39">
        <v>194</v>
      </c>
    </row>
    <row r="201" spans="2:13" x14ac:dyDescent="0.25">
      <c r="B201" s="37" t="s">
        <v>767</v>
      </c>
      <c r="C201" s="37">
        <v>70</v>
      </c>
      <c r="D201" s="37">
        <v>200</v>
      </c>
      <c r="E201" s="37">
        <v>2.8</v>
      </c>
      <c r="F201" s="37">
        <v>2.8</v>
      </c>
      <c r="G201" s="37">
        <v>77</v>
      </c>
      <c r="H201" s="37">
        <v>0.33</v>
      </c>
      <c r="I201" s="38" t="s">
        <v>8</v>
      </c>
      <c r="J201" s="38" t="s">
        <v>50</v>
      </c>
      <c r="K201" s="40">
        <v>0</v>
      </c>
      <c r="L201" s="40">
        <v>90</v>
      </c>
      <c r="M201" s="40">
        <v>194</v>
      </c>
    </row>
    <row r="202" spans="2:13" x14ac:dyDescent="0.25">
      <c r="B202" s="35" t="s">
        <v>769</v>
      </c>
      <c r="C202" s="35">
        <v>70</v>
      </c>
      <c r="D202" s="35">
        <v>200</v>
      </c>
      <c r="E202" s="35">
        <v>4</v>
      </c>
      <c r="F202" s="35">
        <v>4</v>
      </c>
      <c r="G202" s="35">
        <v>67</v>
      </c>
      <c r="H202" s="35">
        <v>0.28000000000000003</v>
      </c>
      <c r="I202" s="36" t="s">
        <v>8</v>
      </c>
      <c r="J202" s="36" t="s">
        <v>50</v>
      </c>
      <c r="K202" s="39">
        <v>0</v>
      </c>
      <c r="L202" s="39">
        <v>82</v>
      </c>
      <c r="M202" s="39">
        <v>168</v>
      </c>
    </row>
    <row r="203" spans="2:13" x14ac:dyDescent="0.25">
      <c r="B203" s="37" t="s">
        <v>772</v>
      </c>
      <c r="C203" s="37">
        <v>70</v>
      </c>
      <c r="D203" s="37">
        <v>300</v>
      </c>
      <c r="E203" s="37">
        <v>4</v>
      </c>
      <c r="F203" s="37">
        <v>5.6</v>
      </c>
      <c r="G203" s="37">
        <v>62</v>
      </c>
      <c r="H203" s="37">
        <v>0.25</v>
      </c>
      <c r="I203" s="38" t="s">
        <v>8</v>
      </c>
      <c r="J203" s="38" t="s">
        <v>50</v>
      </c>
      <c r="K203" s="40">
        <v>0</v>
      </c>
      <c r="L203" s="40">
        <v>74</v>
      </c>
      <c r="M203" s="40">
        <v>117</v>
      </c>
    </row>
    <row r="204" spans="2:13" x14ac:dyDescent="0.25">
      <c r="B204" s="35" t="s">
        <v>775</v>
      </c>
      <c r="C204" s="35">
        <v>70</v>
      </c>
      <c r="D204" s="35">
        <v>300</v>
      </c>
      <c r="E204" s="35">
        <v>4.5</v>
      </c>
      <c r="F204" s="35">
        <v>6.3</v>
      </c>
      <c r="G204" s="35">
        <v>58</v>
      </c>
      <c r="H204" s="35">
        <v>0.22</v>
      </c>
      <c r="I204" s="36" t="s">
        <v>8</v>
      </c>
      <c r="J204" s="36" t="s">
        <v>9</v>
      </c>
      <c r="K204" s="39">
        <v>0</v>
      </c>
      <c r="L204" s="39">
        <v>72</v>
      </c>
      <c r="M204" s="39">
        <v>125</v>
      </c>
    </row>
    <row r="205" spans="2:13" x14ac:dyDescent="0.25">
      <c r="B205" s="37" t="s">
        <v>777</v>
      </c>
      <c r="C205" s="37">
        <v>70</v>
      </c>
      <c r="D205" s="37">
        <v>300</v>
      </c>
      <c r="E205" s="37">
        <v>4.5</v>
      </c>
      <c r="F205" s="37">
        <v>6.3</v>
      </c>
      <c r="G205" s="37">
        <v>58</v>
      </c>
      <c r="H205" s="37">
        <v>0.22</v>
      </c>
      <c r="I205" s="38" t="s">
        <v>8</v>
      </c>
      <c r="J205" s="38" t="s">
        <v>9</v>
      </c>
      <c r="K205" s="40">
        <v>0</v>
      </c>
      <c r="L205" s="40">
        <v>72</v>
      </c>
      <c r="M205" s="40">
        <v>125</v>
      </c>
    </row>
    <row r="206" spans="2:13" x14ac:dyDescent="0.25">
      <c r="B206" s="35" t="s">
        <v>779</v>
      </c>
      <c r="C206" s="35">
        <v>70</v>
      </c>
      <c r="D206" s="35">
        <v>300</v>
      </c>
      <c r="E206" s="35">
        <v>4.5</v>
      </c>
      <c r="F206" s="35">
        <v>5.6</v>
      </c>
      <c r="G206" s="35">
        <v>67</v>
      </c>
      <c r="H206" s="35">
        <v>0.25</v>
      </c>
      <c r="I206" s="36" t="s">
        <v>8</v>
      </c>
      <c r="J206" s="36" t="s">
        <v>50</v>
      </c>
      <c r="K206" s="39">
        <v>0</v>
      </c>
      <c r="L206" s="39">
        <v>80</v>
      </c>
      <c r="M206" s="39">
        <v>144</v>
      </c>
    </row>
    <row r="207" spans="2:13" x14ac:dyDescent="0.25">
      <c r="B207" s="37" t="s">
        <v>781</v>
      </c>
      <c r="C207" s="37">
        <v>70</v>
      </c>
      <c r="D207" s="37">
        <v>300</v>
      </c>
      <c r="E207" s="37">
        <v>4</v>
      </c>
      <c r="F207" s="37">
        <v>5.6</v>
      </c>
      <c r="G207" s="37">
        <v>58</v>
      </c>
      <c r="H207" s="37">
        <v>0.5</v>
      </c>
      <c r="I207" s="38" t="s">
        <v>8</v>
      </c>
      <c r="J207" s="38" t="s">
        <v>50</v>
      </c>
      <c r="K207" s="40">
        <v>0</v>
      </c>
      <c r="L207" s="40">
        <v>77</v>
      </c>
      <c r="M207" s="40">
        <v>120</v>
      </c>
    </row>
    <row r="208" spans="2:13" x14ac:dyDescent="0.25">
      <c r="B208" s="35" t="s">
        <v>783</v>
      </c>
      <c r="C208" s="35">
        <v>70</v>
      </c>
      <c r="D208" s="35">
        <v>300</v>
      </c>
      <c r="E208" s="35">
        <v>4</v>
      </c>
      <c r="F208" s="35">
        <v>5.6</v>
      </c>
      <c r="G208" s="35">
        <v>58</v>
      </c>
      <c r="H208" s="35">
        <v>0.5</v>
      </c>
      <c r="I208" s="36" t="s">
        <v>8</v>
      </c>
      <c r="J208" s="36" t="s">
        <v>50</v>
      </c>
      <c r="K208" s="39">
        <v>0</v>
      </c>
      <c r="L208" s="39">
        <v>77</v>
      </c>
      <c r="M208" s="39">
        <v>120</v>
      </c>
    </row>
    <row r="209" spans="2:13" x14ac:dyDescent="0.25">
      <c r="B209" s="37" t="s">
        <v>784</v>
      </c>
      <c r="C209" s="37">
        <v>70</v>
      </c>
      <c r="D209" s="37">
        <v>300</v>
      </c>
      <c r="E209" s="37">
        <v>4</v>
      </c>
      <c r="F209" s="37">
        <v>5.6</v>
      </c>
      <c r="G209" s="37">
        <v>62</v>
      </c>
      <c r="H209" s="37">
        <v>0.25</v>
      </c>
      <c r="I209" s="38" t="s">
        <v>8</v>
      </c>
      <c r="J209" s="38" t="s">
        <v>50</v>
      </c>
      <c r="K209" s="40">
        <v>0</v>
      </c>
      <c r="L209" s="40">
        <v>77</v>
      </c>
      <c r="M209" s="40">
        <v>127</v>
      </c>
    </row>
    <row r="210" spans="2:13" x14ac:dyDescent="0.25">
      <c r="B210" s="35" t="s">
        <v>786</v>
      </c>
      <c r="C210" s="35">
        <v>70</v>
      </c>
      <c r="D210" s="35">
        <v>300</v>
      </c>
      <c r="E210" s="35">
        <v>4</v>
      </c>
      <c r="F210" s="35">
        <v>5.6</v>
      </c>
      <c r="G210" s="35">
        <v>62</v>
      </c>
      <c r="H210" s="35">
        <v>0.5</v>
      </c>
      <c r="I210" s="36" t="s">
        <v>8</v>
      </c>
      <c r="J210" s="36" t="s">
        <v>50</v>
      </c>
      <c r="K210" s="39">
        <v>0</v>
      </c>
      <c r="L210" s="39">
        <v>77</v>
      </c>
      <c r="M210" s="39">
        <v>117</v>
      </c>
    </row>
    <row r="211" spans="2:13" x14ac:dyDescent="0.25">
      <c r="B211" s="37" t="s">
        <v>789</v>
      </c>
      <c r="C211" s="37">
        <v>70</v>
      </c>
      <c r="D211" s="37">
        <v>300</v>
      </c>
      <c r="E211" s="37">
        <v>4</v>
      </c>
      <c r="F211" s="37">
        <v>5.6</v>
      </c>
      <c r="G211" s="37">
        <v>62</v>
      </c>
      <c r="H211" s="37">
        <v>0.25</v>
      </c>
      <c r="I211" s="38" t="s">
        <v>8</v>
      </c>
      <c r="J211" s="38" t="s">
        <v>50</v>
      </c>
      <c r="K211" s="40">
        <v>0</v>
      </c>
      <c r="L211" s="40">
        <v>82</v>
      </c>
      <c r="M211" s="40">
        <v>151</v>
      </c>
    </row>
    <row r="212" spans="2:13" x14ac:dyDescent="0.25">
      <c r="B212" s="35" t="s">
        <v>792</v>
      </c>
      <c r="C212" s="35">
        <v>70</v>
      </c>
      <c r="D212" s="35">
        <v>70</v>
      </c>
      <c r="E212" s="35">
        <v>2.8</v>
      </c>
      <c r="F212" s="35">
        <v>2.8</v>
      </c>
      <c r="G212" s="35">
        <v>62</v>
      </c>
      <c r="H212" s="35">
        <v>1</v>
      </c>
      <c r="I212" s="36" t="s">
        <v>8</v>
      </c>
      <c r="J212" s="36" t="s">
        <v>50</v>
      </c>
      <c r="K212" s="39">
        <v>0</v>
      </c>
      <c r="L212" s="39">
        <v>76</v>
      </c>
      <c r="M212" s="39">
        <v>95</v>
      </c>
    </row>
    <row r="213" spans="2:13" x14ac:dyDescent="0.25">
      <c r="B213" s="37" t="s">
        <v>801</v>
      </c>
      <c r="C213" s="37">
        <v>80</v>
      </c>
      <c r="D213" s="37">
        <v>200</v>
      </c>
      <c r="E213" s="37">
        <v>2.8</v>
      </c>
      <c r="F213" s="37">
        <v>2.8</v>
      </c>
      <c r="G213" s="37">
        <v>77</v>
      </c>
      <c r="H213" s="37">
        <v>0.24</v>
      </c>
      <c r="I213" s="38" t="s">
        <v>8</v>
      </c>
      <c r="J213" s="38" t="s">
        <v>50</v>
      </c>
      <c r="K213" s="40">
        <v>0</v>
      </c>
      <c r="L213" s="40">
        <v>87</v>
      </c>
      <c r="M213" s="40">
        <v>187</v>
      </c>
    </row>
    <row r="214" spans="2:13" x14ac:dyDescent="0.25">
      <c r="B214" s="35" t="s">
        <v>805</v>
      </c>
      <c r="C214" s="35">
        <v>80</v>
      </c>
      <c r="D214" s="35">
        <v>400</v>
      </c>
      <c r="E214" s="35">
        <v>4.5</v>
      </c>
      <c r="F214" s="35">
        <v>5.6</v>
      </c>
      <c r="G214" s="35">
        <v>77</v>
      </c>
      <c r="H214" s="35">
        <v>0.2</v>
      </c>
      <c r="I214" s="36" t="s">
        <v>8</v>
      </c>
      <c r="J214" s="36" t="s">
        <v>50</v>
      </c>
      <c r="K214" s="39">
        <v>0</v>
      </c>
      <c r="L214" s="39">
        <v>91</v>
      </c>
      <c r="M214" s="39">
        <v>171</v>
      </c>
    </row>
    <row r="215" spans="2:13" x14ac:dyDescent="0.25">
      <c r="B215" s="37" t="s">
        <v>809</v>
      </c>
      <c r="C215" s="37">
        <v>80</v>
      </c>
      <c r="D215" s="37">
        <v>400</v>
      </c>
      <c r="E215" s="37">
        <v>4.5</v>
      </c>
      <c r="F215" s="37">
        <v>5.6</v>
      </c>
      <c r="G215" s="37">
        <v>77</v>
      </c>
      <c r="H215" s="37">
        <v>0.2</v>
      </c>
      <c r="I215" s="38" t="s">
        <v>8</v>
      </c>
      <c r="J215" s="38" t="s">
        <v>50</v>
      </c>
      <c r="K215" s="40">
        <v>0</v>
      </c>
      <c r="L215" s="40">
        <v>96</v>
      </c>
      <c r="M215" s="40">
        <v>203</v>
      </c>
    </row>
    <row r="216" spans="2:13" x14ac:dyDescent="0.25">
      <c r="B216" s="35" t="s">
        <v>812</v>
      </c>
      <c r="C216" s="35">
        <v>80</v>
      </c>
      <c r="D216" s="35">
        <v>400</v>
      </c>
      <c r="E216" s="35">
        <v>4.5</v>
      </c>
      <c r="F216" s="35">
        <v>5.6</v>
      </c>
      <c r="G216" s="35">
        <v>72</v>
      </c>
      <c r="H216" s="35">
        <v>0.18</v>
      </c>
      <c r="I216" s="36" t="s">
        <v>8</v>
      </c>
      <c r="J216" s="36" t="s">
        <v>9</v>
      </c>
      <c r="K216" s="39">
        <v>0</v>
      </c>
      <c r="L216" s="39">
        <v>79</v>
      </c>
      <c r="M216" s="39">
        <v>137</v>
      </c>
    </row>
    <row r="217" spans="2:13" x14ac:dyDescent="0.25">
      <c r="B217" s="37" t="s">
        <v>821</v>
      </c>
      <c r="C217" s="37">
        <v>85</v>
      </c>
      <c r="D217" s="37">
        <v>85</v>
      </c>
      <c r="E217" s="37">
        <v>1.4</v>
      </c>
      <c r="F217" s="37">
        <v>1.4</v>
      </c>
      <c r="G217" s="37">
        <v>77</v>
      </c>
      <c r="H217" s="37">
        <v>0.11</v>
      </c>
      <c r="I217" s="38" t="s">
        <v>8</v>
      </c>
      <c r="J217" s="38" t="s">
        <v>50</v>
      </c>
      <c r="K217" s="40">
        <v>0</v>
      </c>
      <c r="L217" s="40">
        <v>80</v>
      </c>
      <c r="M217" s="40">
        <v>73</v>
      </c>
    </row>
    <row r="218" spans="2:13" x14ac:dyDescent="0.25">
      <c r="B218" s="35" t="s">
        <v>824</v>
      </c>
      <c r="C218" s="35">
        <v>85</v>
      </c>
      <c r="D218" s="35">
        <v>85</v>
      </c>
      <c r="E218" s="35">
        <v>1.8</v>
      </c>
      <c r="F218" s="35">
        <v>1.8</v>
      </c>
      <c r="G218" s="35">
        <v>62</v>
      </c>
      <c r="H218" s="35">
        <v>0.11</v>
      </c>
      <c r="I218" s="36" t="s">
        <v>8</v>
      </c>
      <c r="J218" s="36" t="s">
        <v>50</v>
      </c>
      <c r="K218" s="39">
        <v>0</v>
      </c>
      <c r="L218" s="39">
        <v>72</v>
      </c>
      <c r="M218" s="39">
        <v>59</v>
      </c>
    </row>
    <row r="219" spans="2:13" x14ac:dyDescent="0.25">
      <c r="B219" s="37" t="s">
        <v>827</v>
      </c>
      <c r="C219" s="37">
        <v>85</v>
      </c>
      <c r="D219" s="37">
        <v>85</v>
      </c>
      <c r="E219" s="37">
        <v>1.4</v>
      </c>
      <c r="F219" s="37">
        <v>1.4</v>
      </c>
      <c r="G219" s="37">
        <v>77</v>
      </c>
      <c r="H219" s="37">
        <v>0.12</v>
      </c>
      <c r="I219" s="38" t="s">
        <v>8</v>
      </c>
      <c r="J219" s="38" t="s">
        <v>50</v>
      </c>
      <c r="K219" s="40">
        <v>0</v>
      </c>
      <c r="L219" s="40">
        <v>86</v>
      </c>
      <c r="M219" s="40">
        <v>84</v>
      </c>
    </row>
    <row r="220" spans="2:13" x14ac:dyDescent="0.25">
      <c r="B220" s="35" t="s">
        <v>829</v>
      </c>
      <c r="C220" s="35">
        <v>85</v>
      </c>
      <c r="D220" s="35">
        <v>85</v>
      </c>
      <c r="E220" s="35">
        <v>1.8</v>
      </c>
      <c r="F220" s="35">
        <v>1.8</v>
      </c>
      <c r="G220" s="35">
        <v>67</v>
      </c>
      <c r="H220" s="35">
        <v>0.124</v>
      </c>
      <c r="I220" s="36" t="s">
        <v>8</v>
      </c>
      <c r="J220" s="36" t="s">
        <v>50</v>
      </c>
      <c r="K220" s="39">
        <v>0</v>
      </c>
      <c r="L220" s="39">
        <v>80</v>
      </c>
      <c r="M220" s="39">
        <v>73</v>
      </c>
    </row>
    <row r="221" spans="2:13" x14ac:dyDescent="0.25">
      <c r="B221" s="37" t="s">
        <v>831</v>
      </c>
      <c r="C221" s="37">
        <v>85</v>
      </c>
      <c r="D221" s="37">
        <v>85</v>
      </c>
      <c r="E221" s="37">
        <v>3.5</v>
      </c>
      <c r="F221" s="37">
        <v>3.5</v>
      </c>
      <c r="G221" s="37">
        <v>52</v>
      </c>
      <c r="H221" s="37">
        <v>1</v>
      </c>
      <c r="I221" s="38" t="s">
        <v>8</v>
      </c>
      <c r="J221" s="38" t="s">
        <v>9</v>
      </c>
      <c r="K221" s="40">
        <v>0</v>
      </c>
      <c r="L221" s="40">
        <v>73</v>
      </c>
      <c r="M221" s="40">
        <v>99</v>
      </c>
    </row>
    <row r="222" spans="2:13" x14ac:dyDescent="0.25">
      <c r="B222" s="35" t="s">
        <v>833</v>
      </c>
      <c r="C222" s="35">
        <v>85</v>
      </c>
      <c r="D222" s="35">
        <v>85</v>
      </c>
      <c r="E222" s="35">
        <v>2.8</v>
      </c>
      <c r="F222" s="35">
        <v>2.8</v>
      </c>
      <c r="G222" s="35">
        <v>77</v>
      </c>
      <c r="H222" s="35">
        <v>0.5</v>
      </c>
      <c r="I222" s="36" t="s">
        <v>8</v>
      </c>
      <c r="J222" s="36" t="s">
        <v>50</v>
      </c>
      <c r="K222" s="39">
        <v>0</v>
      </c>
      <c r="L222" s="39">
        <v>85</v>
      </c>
      <c r="M222" s="39">
        <v>107</v>
      </c>
    </row>
    <row r="223" spans="2:13" x14ac:dyDescent="0.25">
      <c r="B223" s="37" t="s">
        <v>839</v>
      </c>
      <c r="C223" s="37">
        <v>85</v>
      </c>
      <c r="D223" s="37">
        <v>85</v>
      </c>
      <c r="E223" s="37">
        <v>1.4</v>
      </c>
      <c r="F223" s="37">
        <v>1.4</v>
      </c>
      <c r="G223" s="37">
        <v>77</v>
      </c>
      <c r="H223" s="37">
        <v>0.12</v>
      </c>
      <c r="I223" s="38" t="s">
        <v>8</v>
      </c>
      <c r="J223" s="38" t="s">
        <v>50</v>
      </c>
      <c r="K223" s="40">
        <v>0</v>
      </c>
      <c r="L223" s="40">
        <v>87</v>
      </c>
      <c r="M223" s="40">
        <v>88</v>
      </c>
    </row>
    <row r="224" spans="2:13" x14ac:dyDescent="0.25">
      <c r="B224" s="35" t="s">
        <v>841</v>
      </c>
      <c r="C224" s="35">
        <v>85</v>
      </c>
      <c r="D224" s="35">
        <v>85</v>
      </c>
      <c r="E224" s="35">
        <v>1.4</v>
      </c>
      <c r="F224" s="35">
        <v>1.4</v>
      </c>
      <c r="G224" s="35">
        <v>86</v>
      </c>
      <c r="H224" s="35">
        <v>0.12</v>
      </c>
      <c r="I224" s="36" t="s">
        <v>8</v>
      </c>
      <c r="J224" s="36" t="s">
        <v>50</v>
      </c>
      <c r="K224" s="39">
        <v>0</v>
      </c>
      <c r="L224" s="39">
        <v>95</v>
      </c>
      <c r="M224" s="39">
        <v>126</v>
      </c>
    </row>
    <row r="225" spans="2:13" x14ac:dyDescent="0.25">
      <c r="B225" s="37" t="s">
        <v>844</v>
      </c>
      <c r="C225" s="37">
        <v>85</v>
      </c>
      <c r="D225" s="37">
        <v>85</v>
      </c>
      <c r="E225" s="37">
        <v>1.8</v>
      </c>
      <c r="F225" s="37">
        <v>1.8</v>
      </c>
      <c r="G225" s="37">
        <v>67</v>
      </c>
      <c r="H225" s="37">
        <v>0.14000000000000001</v>
      </c>
      <c r="I225" s="38" t="s">
        <v>8</v>
      </c>
      <c r="J225" s="38" t="s">
        <v>50</v>
      </c>
      <c r="K225" s="40">
        <v>0</v>
      </c>
      <c r="L225" s="40">
        <v>85</v>
      </c>
      <c r="M225" s="40">
        <v>92</v>
      </c>
    </row>
    <row r="226" spans="2:13" x14ac:dyDescent="0.25">
      <c r="B226" s="35" t="s">
        <v>846</v>
      </c>
      <c r="C226" s="35">
        <v>85</v>
      </c>
      <c r="D226" s="35">
        <v>85</v>
      </c>
      <c r="E226" s="35">
        <v>1.4</v>
      </c>
      <c r="F226" s="35">
        <v>1.4</v>
      </c>
      <c r="G226" s="35">
        <v>77</v>
      </c>
      <c r="H226" s="35">
        <v>0.12</v>
      </c>
      <c r="I226" s="36" t="s">
        <v>8</v>
      </c>
      <c r="J226" s="36" t="s">
        <v>50</v>
      </c>
      <c r="K226" s="39">
        <v>0</v>
      </c>
      <c r="L226" s="39">
        <v>90</v>
      </c>
      <c r="M226" s="39">
        <v>110</v>
      </c>
    </row>
    <row r="227" spans="2:13" x14ac:dyDescent="0.25">
      <c r="B227" s="37" t="s">
        <v>849</v>
      </c>
      <c r="C227" s="37">
        <v>85</v>
      </c>
      <c r="D227" s="37">
        <v>85</v>
      </c>
      <c r="E227" s="37">
        <v>1.4</v>
      </c>
      <c r="F227" s="37">
        <v>1.4</v>
      </c>
      <c r="G227" s="37">
        <v>86</v>
      </c>
      <c r="H227" s="37">
        <v>0.12</v>
      </c>
      <c r="I227" s="38" t="s">
        <v>8</v>
      </c>
      <c r="J227" s="38" t="s">
        <v>50</v>
      </c>
      <c r="K227" s="40">
        <v>0</v>
      </c>
      <c r="L227" s="40">
        <v>102</v>
      </c>
      <c r="M227" s="40">
        <v>141</v>
      </c>
    </row>
    <row r="228" spans="2:13" x14ac:dyDescent="0.25">
      <c r="B228" s="35" t="s">
        <v>849</v>
      </c>
      <c r="C228" s="35">
        <v>85</v>
      </c>
      <c r="D228" s="35">
        <v>85</v>
      </c>
      <c r="E228" s="35">
        <v>1.4</v>
      </c>
      <c r="F228" s="35">
        <v>1.4</v>
      </c>
      <c r="G228" s="35">
        <v>86</v>
      </c>
      <c r="H228" s="35">
        <v>0.12</v>
      </c>
      <c r="I228" s="36" t="s">
        <v>8</v>
      </c>
      <c r="J228" s="36" t="s">
        <v>50</v>
      </c>
      <c r="K228" s="39">
        <v>0</v>
      </c>
      <c r="L228" s="39">
        <v>101</v>
      </c>
      <c r="M228" s="39">
        <v>124</v>
      </c>
    </row>
    <row r="229" spans="2:13" x14ac:dyDescent="0.25">
      <c r="B229" s="37" t="s">
        <v>836</v>
      </c>
      <c r="C229" s="37">
        <v>85</v>
      </c>
      <c r="D229" s="37">
        <v>85</v>
      </c>
      <c r="E229" s="37">
        <v>1.4</v>
      </c>
      <c r="F229" s="37">
        <v>1.4</v>
      </c>
      <c r="G229" s="37">
        <v>72</v>
      </c>
      <c r="H229" s="37">
        <v>0</v>
      </c>
      <c r="I229" s="38" t="s">
        <v>8</v>
      </c>
      <c r="J229" s="38" t="s">
        <v>50</v>
      </c>
      <c r="K229" s="40">
        <v>0</v>
      </c>
      <c r="L229" s="40">
        <v>83</v>
      </c>
      <c r="M229" s="40">
        <v>859</v>
      </c>
    </row>
    <row r="230" spans="2:13" x14ac:dyDescent="0.25">
      <c r="B230" s="35" t="s">
        <v>853</v>
      </c>
      <c r="C230" s="35">
        <v>85</v>
      </c>
      <c r="D230" s="35">
        <v>85</v>
      </c>
      <c r="E230" s="35">
        <v>1.4</v>
      </c>
      <c r="F230" s="35">
        <v>1.4</v>
      </c>
      <c r="G230" s="35">
        <v>72</v>
      </c>
      <c r="H230" s="35">
        <v>0</v>
      </c>
      <c r="I230" s="36" t="s">
        <v>8</v>
      </c>
      <c r="J230" s="36" t="s">
        <v>50</v>
      </c>
      <c r="K230" s="39">
        <v>0</v>
      </c>
      <c r="L230" s="39">
        <v>75</v>
      </c>
      <c r="M230" s="39">
        <v>75</v>
      </c>
    </row>
    <row r="231" spans="2:13" x14ac:dyDescent="0.25">
      <c r="B231" s="37" t="s">
        <v>862</v>
      </c>
      <c r="C231" s="37">
        <v>90</v>
      </c>
      <c r="D231" s="37">
        <v>90</v>
      </c>
      <c r="E231" s="37">
        <v>2.8</v>
      </c>
      <c r="F231" s="37">
        <v>2.8</v>
      </c>
      <c r="G231" s="37">
        <v>62</v>
      </c>
      <c r="H231" s="37">
        <v>1</v>
      </c>
      <c r="I231" s="38" t="s">
        <v>8</v>
      </c>
      <c r="J231" s="38" t="s">
        <v>50</v>
      </c>
      <c r="K231" s="40">
        <v>0</v>
      </c>
      <c r="L231" s="40">
        <v>79</v>
      </c>
      <c r="M231" s="40">
        <v>117</v>
      </c>
    </row>
    <row r="232" spans="2:13" x14ac:dyDescent="0.25">
      <c r="B232" s="35" t="s">
        <v>865</v>
      </c>
      <c r="C232" s="35">
        <v>90</v>
      </c>
      <c r="D232" s="35">
        <v>90</v>
      </c>
      <c r="E232" s="35">
        <v>2.8</v>
      </c>
      <c r="F232" s="35">
        <v>2.8</v>
      </c>
      <c r="G232" s="35">
        <v>55</v>
      </c>
      <c r="H232" s="35">
        <v>1</v>
      </c>
      <c r="I232" s="36" t="s">
        <v>8</v>
      </c>
      <c r="J232" s="36" t="s">
        <v>50</v>
      </c>
      <c r="K232" s="39">
        <v>0</v>
      </c>
      <c r="L232" s="39">
        <v>72</v>
      </c>
      <c r="M232" s="39">
        <v>97</v>
      </c>
    </row>
    <row r="233" spans="2:13" x14ac:dyDescent="0.25">
      <c r="B233" s="37" t="s">
        <v>47</v>
      </c>
      <c r="C233" s="37">
        <v>100</v>
      </c>
      <c r="D233" s="37">
        <v>300</v>
      </c>
      <c r="E233" s="37">
        <v>4</v>
      </c>
      <c r="F233" s="37">
        <v>4</v>
      </c>
      <c r="G233" s="37">
        <v>82</v>
      </c>
      <c r="H233" s="37">
        <v>0.2</v>
      </c>
      <c r="I233" s="38" t="s">
        <v>8</v>
      </c>
      <c r="J233" s="38" t="s">
        <v>50</v>
      </c>
      <c r="K233" s="40">
        <v>0</v>
      </c>
      <c r="L233" s="40">
        <v>93</v>
      </c>
      <c r="M233" s="40">
        <v>224</v>
      </c>
    </row>
    <row r="234" spans="2:13" x14ac:dyDescent="0.25">
      <c r="B234" s="35" t="s">
        <v>53</v>
      </c>
      <c r="C234" s="35">
        <v>100</v>
      </c>
      <c r="D234" s="35">
        <v>400</v>
      </c>
      <c r="E234" s="35">
        <v>5</v>
      </c>
      <c r="F234" s="35">
        <v>6.3</v>
      </c>
      <c r="G234" s="35">
        <v>67</v>
      </c>
      <c r="H234" s="35">
        <v>0.26</v>
      </c>
      <c r="I234" s="36" t="s">
        <v>8</v>
      </c>
      <c r="J234" s="36" t="s">
        <v>50</v>
      </c>
      <c r="K234" s="39">
        <v>0</v>
      </c>
      <c r="L234" s="39">
        <v>87</v>
      </c>
      <c r="M234" s="39">
        <v>183</v>
      </c>
    </row>
    <row r="235" spans="2:13" x14ac:dyDescent="0.25">
      <c r="B235" s="37" t="s">
        <v>60</v>
      </c>
      <c r="C235" s="37">
        <v>100</v>
      </c>
      <c r="D235" s="37">
        <v>100</v>
      </c>
      <c r="E235" s="37">
        <v>2.8</v>
      </c>
      <c r="F235" s="37">
        <v>2.8</v>
      </c>
      <c r="G235" s="37">
        <v>55</v>
      </c>
      <c r="H235" s="37">
        <v>1</v>
      </c>
      <c r="I235" s="38" t="s">
        <v>8</v>
      </c>
      <c r="J235" s="38" t="s">
        <v>9</v>
      </c>
      <c r="K235" s="40">
        <v>0</v>
      </c>
      <c r="L235" s="40">
        <v>73</v>
      </c>
      <c r="M235" s="40">
        <v>95</v>
      </c>
    </row>
    <row r="236" spans="2:13" x14ac:dyDescent="0.25">
      <c r="B236" s="35" t="s">
        <v>66</v>
      </c>
      <c r="C236" s="35">
        <v>100</v>
      </c>
      <c r="D236" s="35">
        <v>100</v>
      </c>
      <c r="E236" s="35">
        <v>2</v>
      </c>
      <c r="F236" s="35">
        <v>2</v>
      </c>
      <c r="G236" s="35">
        <v>67</v>
      </c>
      <c r="H236" s="35">
        <v>0.5</v>
      </c>
      <c r="I236" s="36" t="s">
        <v>8</v>
      </c>
      <c r="J236" s="36" t="s">
        <v>50</v>
      </c>
      <c r="K236" s="39">
        <v>0</v>
      </c>
      <c r="L236" s="39">
        <v>76</v>
      </c>
      <c r="M236" s="39">
        <v>115</v>
      </c>
    </row>
    <row r="237" spans="2:13" x14ac:dyDescent="0.25">
      <c r="B237" s="37" t="s">
        <v>71</v>
      </c>
      <c r="C237" s="37">
        <v>100</v>
      </c>
      <c r="D237" s="37">
        <v>100</v>
      </c>
      <c r="E237" s="37">
        <v>2</v>
      </c>
      <c r="F237" s="37">
        <v>2</v>
      </c>
      <c r="G237" s="37">
        <v>67</v>
      </c>
      <c r="H237" s="37">
        <v>0.5</v>
      </c>
      <c r="I237" s="38" t="s">
        <v>8</v>
      </c>
      <c r="J237" s="38" t="s">
        <v>50</v>
      </c>
      <c r="K237" s="40">
        <v>0</v>
      </c>
      <c r="L237" s="40">
        <v>81</v>
      </c>
      <c r="M237" s="40">
        <v>103</v>
      </c>
    </row>
    <row r="238" spans="2:13" x14ac:dyDescent="0.25">
      <c r="B238" s="35" t="s">
        <v>74</v>
      </c>
      <c r="C238" s="35">
        <v>105</v>
      </c>
      <c r="D238" s="35">
        <v>105</v>
      </c>
      <c r="E238" s="35">
        <v>2</v>
      </c>
      <c r="F238" s="35">
        <v>2</v>
      </c>
      <c r="G238" s="35">
        <v>72</v>
      </c>
      <c r="H238" s="35">
        <v>0.13</v>
      </c>
      <c r="I238" s="36" t="s">
        <v>8</v>
      </c>
      <c r="J238" s="36" t="s">
        <v>50</v>
      </c>
      <c r="K238" s="39">
        <v>0</v>
      </c>
      <c r="L238" s="39">
        <v>79</v>
      </c>
      <c r="M238" s="39">
        <v>111</v>
      </c>
    </row>
    <row r="239" spans="2:13" x14ac:dyDescent="0.25">
      <c r="B239" s="37" t="s">
        <v>79</v>
      </c>
      <c r="C239" s="37">
        <v>105</v>
      </c>
      <c r="D239" s="37">
        <v>105</v>
      </c>
      <c r="E239" s="37">
        <v>1.4</v>
      </c>
      <c r="F239" s="37">
        <v>1.4</v>
      </c>
      <c r="G239" s="37">
        <v>82</v>
      </c>
      <c r="H239" s="37">
        <v>0.13</v>
      </c>
      <c r="I239" s="38" t="s">
        <v>8</v>
      </c>
      <c r="J239" s="38" t="s">
        <v>50</v>
      </c>
      <c r="K239" s="40">
        <v>0</v>
      </c>
      <c r="L239" s="40">
        <v>95</v>
      </c>
      <c r="M239" s="40">
        <v>106</v>
      </c>
    </row>
    <row r="240" spans="2:13" x14ac:dyDescent="0.25">
      <c r="B240" s="35" t="s">
        <v>83</v>
      </c>
      <c r="C240" s="35">
        <v>105</v>
      </c>
      <c r="D240" s="35">
        <v>105</v>
      </c>
      <c r="E240" s="35">
        <v>2.8</v>
      </c>
      <c r="F240" s="35">
        <v>2.8</v>
      </c>
      <c r="G240" s="35">
        <v>62</v>
      </c>
      <c r="H240" s="35">
        <v>1</v>
      </c>
      <c r="I240" s="36" t="s">
        <v>8</v>
      </c>
      <c r="J240" s="36" t="s">
        <v>50</v>
      </c>
      <c r="K240" s="39">
        <v>0</v>
      </c>
      <c r="L240" s="39">
        <v>83</v>
      </c>
      <c r="M240" s="39">
        <v>116</v>
      </c>
    </row>
    <row r="241" spans="2:13" x14ac:dyDescent="0.25">
      <c r="B241" s="37" t="s">
        <v>87</v>
      </c>
      <c r="C241" s="37">
        <v>105</v>
      </c>
      <c r="D241" s="37">
        <v>105</v>
      </c>
      <c r="E241" s="37">
        <v>2.8</v>
      </c>
      <c r="F241" s="37">
        <v>2.8</v>
      </c>
      <c r="G241" s="37">
        <v>62</v>
      </c>
      <c r="H241" s="37">
        <v>1</v>
      </c>
      <c r="I241" s="38" t="s">
        <v>8</v>
      </c>
      <c r="J241" s="38" t="s">
        <v>50</v>
      </c>
      <c r="K241" s="40">
        <v>0</v>
      </c>
      <c r="L241" s="40">
        <v>79</v>
      </c>
      <c r="M241" s="40">
        <v>127</v>
      </c>
    </row>
    <row r="242" spans="2:13" x14ac:dyDescent="0.25">
      <c r="B242" s="35" t="s">
        <v>90</v>
      </c>
      <c r="C242" s="35">
        <v>105</v>
      </c>
      <c r="D242" s="35">
        <v>105</v>
      </c>
      <c r="E242" s="35">
        <v>2.8</v>
      </c>
      <c r="F242" s="35">
        <v>2.8</v>
      </c>
      <c r="G242" s="35">
        <v>58</v>
      </c>
      <c r="H242" s="35">
        <v>1</v>
      </c>
      <c r="I242" s="36" t="s">
        <v>8</v>
      </c>
      <c r="J242" s="36" t="s">
        <v>50</v>
      </c>
      <c r="K242" s="39">
        <v>0</v>
      </c>
      <c r="L242" s="39">
        <v>74</v>
      </c>
      <c r="M242" s="39">
        <v>95</v>
      </c>
    </row>
    <row r="243" spans="2:13" x14ac:dyDescent="0.25">
      <c r="B243" s="37" t="s">
        <v>131</v>
      </c>
      <c r="C243" s="37">
        <v>120</v>
      </c>
      <c r="D243" s="37">
        <v>300</v>
      </c>
      <c r="E243" s="37">
        <v>2.8</v>
      </c>
      <c r="F243" s="37">
        <v>2.8</v>
      </c>
      <c r="G243" s="37">
        <v>105</v>
      </c>
      <c r="H243" s="37">
        <v>0.125</v>
      </c>
      <c r="I243" s="38" t="s">
        <v>8</v>
      </c>
      <c r="J243" s="38" t="s">
        <v>50</v>
      </c>
      <c r="K243" s="40">
        <v>0</v>
      </c>
      <c r="L243" s="40">
        <v>115</v>
      </c>
      <c r="M243" s="40">
        <v>289</v>
      </c>
    </row>
    <row r="244" spans="2:13" x14ac:dyDescent="0.25">
      <c r="B244" s="35" t="s">
        <v>136</v>
      </c>
      <c r="C244" s="35">
        <v>120</v>
      </c>
      <c r="D244" s="35">
        <v>300</v>
      </c>
      <c r="E244" s="35">
        <v>2.8</v>
      </c>
      <c r="F244" s="35">
        <v>2.8</v>
      </c>
      <c r="G244" s="35">
        <v>105</v>
      </c>
      <c r="H244" s="35">
        <v>0.12</v>
      </c>
      <c r="I244" s="36" t="s">
        <v>8</v>
      </c>
      <c r="J244" s="36" t="s">
        <v>50</v>
      </c>
      <c r="K244" s="39">
        <v>0</v>
      </c>
      <c r="L244" s="39">
        <v>113</v>
      </c>
      <c r="M244" s="39">
        <v>269</v>
      </c>
    </row>
    <row r="245" spans="2:13" x14ac:dyDescent="0.25">
      <c r="B245" s="37" t="s">
        <v>139</v>
      </c>
      <c r="C245" s="37">
        <v>120</v>
      </c>
      <c r="D245" s="37">
        <v>300</v>
      </c>
      <c r="E245" s="37">
        <v>2.8</v>
      </c>
      <c r="F245" s="37">
        <v>2.8</v>
      </c>
      <c r="G245" s="37">
        <v>0</v>
      </c>
      <c r="H245" s="37">
        <v>0.125</v>
      </c>
      <c r="I245" s="38" t="s">
        <v>8</v>
      </c>
      <c r="J245" s="38" t="s">
        <v>50</v>
      </c>
      <c r="K245" s="40">
        <v>0</v>
      </c>
      <c r="L245" s="40">
        <v>122</v>
      </c>
      <c r="M245" s="40">
        <v>291</v>
      </c>
    </row>
    <row r="246" spans="2:13" x14ac:dyDescent="0.25">
      <c r="B246" s="35" t="s">
        <v>142</v>
      </c>
      <c r="C246" s="35">
        <v>120</v>
      </c>
      <c r="D246" s="35">
        <v>400</v>
      </c>
      <c r="E246" s="35">
        <v>4.5</v>
      </c>
      <c r="F246" s="35">
        <v>5.6</v>
      </c>
      <c r="G246" s="35">
        <v>77</v>
      </c>
      <c r="H246" s="35">
        <v>0.24</v>
      </c>
      <c r="I246" s="36" t="s">
        <v>8</v>
      </c>
      <c r="J246" s="36" t="s">
        <v>50</v>
      </c>
      <c r="K246" s="39">
        <v>0</v>
      </c>
      <c r="L246" s="39">
        <v>93</v>
      </c>
      <c r="M246" s="39">
        <v>204</v>
      </c>
    </row>
    <row r="247" spans="2:13" x14ac:dyDescent="0.25">
      <c r="B247" s="37" t="s">
        <v>147</v>
      </c>
      <c r="C247" s="37">
        <v>135</v>
      </c>
      <c r="D247" s="37">
        <v>135</v>
      </c>
      <c r="E247" s="37">
        <v>2</v>
      </c>
      <c r="F247" s="37">
        <v>2</v>
      </c>
      <c r="G247" s="37">
        <v>72</v>
      </c>
      <c r="H247" s="37">
        <v>0.48</v>
      </c>
      <c r="I247" s="38" t="s">
        <v>8</v>
      </c>
      <c r="J247" s="38" t="s">
        <v>50</v>
      </c>
      <c r="K247" s="40">
        <v>0</v>
      </c>
      <c r="L247" s="40">
        <v>79</v>
      </c>
      <c r="M247" s="40">
        <v>120</v>
      </c>
    </row>
    <row r="248" spans="2:13" x14ac:dyDescent="0.25">
      <c r="B248" s="35" t="s">
        <v>156</v>
      </c>
      <c r="C248" s="35">
        <v>135</v>
      </c>
      <c r="D248" s="35">
        <v>135</v>
      </c>
      <c r="E248" s="35">
        <v>1.8</v>
      </c>
      <c r="F248" s="35">
        <v>1.8</v>
      </c>
      <c r="G248" s="35">
        <v>82</v>
      </c>
      <c r="H248" s="35">
        <v>0.23</v>
      </c>
      <c r="I248" s="36" t="s">
        <v>8</v>
      </c>
      <c r="J248" s="36" t="s">
        <v>50</v>
      </c>
      <c r="K248" s="39">
        <v>0</v>
      </c>
      <c r="L248" s="39">
        <v>92</v>
      </c>
      <c r="M248" s="39">
        <v>115</v>
      </c>
    </row>
    <row r="249" spans="2:13" x14ac:dyDescent="0.25">
      <c r="B249" s="37" t="s">
        <v>161</v>
      </c>
      <c r="C249" s="37">
        <v>135</v>
      </c>
      <c r="D249" s="37">
        <v>135</v>
      </c>
      <c r="E249" s="37">
        <v>2</v>
      </c>
      <c r="F249" s="37">
        <v>2</v>
      </c>
      <c r="G249" s="37">
        <v>77</v>
      </c>
      <c r="H249" s="37">
        <v>0.25</v>
      </c>
      <c r="I249" s="38" t="s">
        <v>8</v>
      </c>
      <c r="J249" s="38" t="s">
        <v>50</v>
      </c>
      <c r="K249" s="40">
        <v>0</v>
      </c>
      <c r="L249" s="40">
        <v>128</v>
      </c>
      <c r="M249" s="40">
        <v>79</v>
      </c>
    </row>
    <row r="250" spans="2:13" x14ac:dyDescent="0.25">
      <c r="B250" s="35" t="s">
        <v>165</v>
      </c>
      <c r="C250" s="35">
        <v>135</v>
      </c>
      <c r="D250" s="35">
        <v>135</v>
      </c>
      <c r="E250" s="35">
        <v>2</v>
      </c>
      <c r="F250" s="35">
        <v>2</v>
      </c>
      <c r="G250" s="35">
        <v>77</v>
      </c>
      <c r="H250" s="35">
        <v>0.25</v>
      </c>
      <c r="I250" s="36" t="s">
        <v>8</v>
      </c>
      <c r="J250" s="36" t="s">
        <v>50</v>
      </c>
      <c r="K250" s="39">
        <v>0</v>
      </c>
      <c r="L250" s="39">
        <v>90</v>
      </c>
      <c r="M250" s="39">
        <v>114</v>
      </c>
    </row>
    <row r="251" spans="2:13" x14ac:dyDescent="0.25">
      <c r="B251" s="37" t="s">
        <v>152</v>
      </c>
      <c r="C251" s="37">
        <v>135</v>
      </c>
      <c r="D251" s="37">
        <v>135</v>
      </c>
      <c r="E251" s="37">
        <v>2</v>
      </c>
      <c r="F251" s="37">
        <v>2</v>
      </c>
      <c r="G251" s="37">
        <v>77</v>
      </c>
      <c r="H251" s="37">
        <v>0</v>
      </c>
      <c r="I251" s="38" t="s">
        <v>8</v>
      </c>
      <c r="J251" s="38" t="s">
        <v>50</v>
      </c>
      <c r="K251" s="40">
        <v>0</v>
      </c>
      <c r="L251" s="40">
        <v>82</v>
      </c>
      <c r="M251" s="40">
        <v>148</v>
      </c>
    </row>
    <row r="252" spans="2:13" x14ac:dyDescent="0.25">
      <c r="B252" s="35" t="s">
        <v>155</v>
      </c>
      <c r="C252" s="35">
        <v>135</v>
      </c>
      <c r="D252" s="35">
        <v>135</v>
      </c>
      <c r="E252" s="35">
        <v>2</v>
      </c>
      <c r="F252" s="35">
        <v>2</v>
      </c>
      <c r="G252" s="35">
        <v>77</v>
      </c>
      <c r="H252" s="35">
        <v>0</v>
      </c>
      <c r="I252" s="36" t="s">
        <v>8</v>
      </c>
      <c r="J252" s="36" t="s">
        <v>50</v>
      </c>
      <c r="K252" s="39">
        <v>0</v>
      </c>
      <c r="L252" s="39">
        <v>113</v>
      </c>
      <c r="M252" s="39">
        <v>86</v>
      </c>
    </row>
    <row r="253" spans="2:13" x14ac:dyDescent="0.25">
      <c r="B253" s="37" t="s">
        <v>195</v>
      </c>
      <c r="C253" s="37">
        <v>150</v>
      </c>
      <c r="D253" s="37">
        <v>500</v>
      </c>
      <c r="E253" s="37">
        <v>5</v>
      </c>
      <c r="F253" s="37">
        <v>6.3</v>
      </c>
      <c r="G253" s="37">
        <v>86</v>
      </c>
      <c r="H253" s="37">
        <v>0.19</v>
      </c>
      <c r="I253" s="38" t="s">
        <v>8</v>
      </c>
      <c r="J253" s="38" t="s">
        <v>50</v>
      </c>
      <c r="K253" s="40">
        <v>0</v>
      </c>
      <c r="L253" s="40">
        <v>96</v>
      </c>
      <c r="M253" s="40">
        <v>252</v>
      </c>
    </row>
    <row r="254" spans="2:13" x14ac:dyDescent="0.25">
      <c r="B254" s="35" t="s">
        <v>201</v>
      </c>
      <c r="C254" s="35">
        <v>150</v>
      </c>
      <c r="D254" s="35">
        <v>600</v>
      </c>
      <c r="E254" s="35">
        <v>5</v>
      </c>
      <c r="F254" s="35">
        <v>6.3</v>
      </c>
      <c r="G254" s="35">
        <v>95</v>
      </c>
      <c r="H254" s="35">
        <v>0.2</v>
      </c>
      <c r="I254" s="36" t="s">
        <v>8</v>
      </c>
      <c r="J254" s="36" t="s">
        <v>50</v>
      </c>
      <c r="K254" s="39">
        <v>0</v>
      </c>
      <c r="L254" s="39">
        <v>105</v>
      </c>
      <c r="M254" s="39">
        <v>260</v>
      </c>
    </row>
    <row r="255" spans="2:13" x14ac:dyDescent="0.25">
      <c r="B255" s="37" t="s">
        <v>206</v>
      </c>
      <c r="C255" s="37">
        <v>150</v>
      </c>
      <c r="D255" s="37">
        <v>600</v>
      </c>
      <c r="E255" s="37">
        <v>5</v>
      </c>
      <c r="F255" s="37">
        <v>6.3</v>
      </c>
      <c r="G255" s="37">
        <v>105</v>
      </c>
      <c r="H255" s="37">
        <v>0.2</v>
      </c>
      <c r="I255" s="38" t="s">
        <v>8</v>
      </c>
      <c r="J255" s="38" t="s">
        <v>50</v>
      </c>
      <c r="K255" s="40">
        <v>0</v>
      </c>
      <c r="L255" s="40">
        <v>105</v>
      </c>
      <c r="M255" s="40">
        <v>260</v>
      </c>
    </row>
    <row r="256" spans="2:13" x14ac:dyDescent="0.25">
      <c r="B256" s="35" t="s">
        <v>206</v>
      </c>
      <c r="C256" s="35">
        <v>150</v>
      </c>
      <c r="D256" s="35">
        <v>600</v>
      </c>
      <c r="E256" s="35">
        <v>5</v>
      </c>
      <c r="F256" s="35">
        <v>6.3</v>
      </c>
      <c r="G256" s="35">
        <v>105</v>
      </c>
      <c r="H256" s="35">
        <v>0.2</v>
      </c>
      <c r="I256" s="36" t="s">
        <v>8</v>
      </c>
      <c r="J256" s="36" t="s">
        <v>50</v>
      </c>
      <c r="K256" s="39">
        <v>0</v>
      </c>
      <c r="L256" s="39">
        <v>121</v>
      </c>
      <c r="M256" s="39">
        <v>290</v>
      </c>
    </row>
    <row r="257" spans="2:13" x14ac:dyDescent="0.25">
      <c r="B257" s="37" t="s">
        <v>212</v>
      </c>
      <c r="C257" s="37">
        <v>150</v>
      </c>
      <c r="D257" s="37">
        <v>600</v>
      </c>
      <c r="E257" s="37">
        <v>5</v>
      </c>
      <c r="F257" s="37">
        <v>6.3</v>
      </c>
      <c r="G257" s="37">
        <v>95</v>
      </c>
      <c r="H257" s="37">
        <v>0.25</v>
      </c>
      <c r="I257" s="38" t="s">
        <v>8</v>
      </c>
      <c r="J257" s="38" t="s">
        <v>50</v>
      </c>
      <c r="K257" s="40">
        <v>0</v>
      </c>
      <c r="L257" s="40">
        <v>109</v>
      </c>
      <c r="M257" s="40">
        <v>260</v>
      </c>
    </row>
    <row r="258" spans="2:13" x14ac:dyDescent="0.25">
      <c r="B258" s="35" t="s">
        <v>215</v>
      </c>
      <c r="C258" s="35">
        <v>150</v>
      </c>
      <c r="D258" s="35">
        <v>150</v>
      </c>
      <c r="E258" s="35">
        <v>2.8</v>
      </c>
      <c r="F258" s="35">
        <v>2.8</v>
      </c>
      <c r="G258" s="35">
        <v>72</v>
      </c>
      <c r="H258" s="35">
        <v>1</v>
      </c>
      <c r="I258" s="36" t="s">
        <v>8</v>
      </c>
      <c r="J258" s="36" t="s">
        <v>50</v>
      </c>
      <c r="K258" s="39">
        <v>0</v>
      </c>
      <c r="L258" s="39">
        <v>80</v>
      </c>
      <c r="M258" s="39">
        <v>150</v>
      </c>
    </row>
    <row r="259" spans="2:13" x14ac:dyDescent="0.25">
      <c r="B259" s="37" t="s">
        <v>219</v>
      </c>
      <c r="C259" s="37">
        <v>150</v>
      </c>
      <c r="D259" s="37">
        <v>150</v>
      </c>
      <c r="E259" s="37">
        <v>2.8</v>
      </c>
      <c r="F259" s="37">
        <v>2.8</v>
      </c>
      <c r="G259" s="37">
        <v>72</v>
      </c>
      <c r="H259" s="37">
        <v>1</v>
      </c>
      <c r="I259" s="38" t="s">
        <v>8</v>
      </c>
      <c r="J259" s="38" t="s">
        <v>50</v>
      </c>
      <c r="K259" s="40">
        <v>0</v>
      </c>
      <c r="L259" s="40">
        <v>80</v>
      </c>
      <c r="M259" s="40">
        <v>137</v>
      </c>
    </row>
    <row r="260" spans="2:13" x14ac:dyDescent="0.25">
      <c r="B260" s="35" t="s">
        <v>209</v>
      </c>
      <c r="C260" s="35">
        <v>150</v>
      </c>
      <c r="D260" s="35">
        <v>600</v>
      </c>
      <c r="E260" s="35">
        <v>5</v>
      </c>
      <c r="F260" s="35">
        <v>6.3</v>
      </c>
      <c r="G260" s="35">
        <v>95</v>
      </c>
      <c r="H260" s="35">
        <v>0.26</v>
      </c>
      <c r="I260" s="36" t="s">
        <v>8</v>
      </c>
      <c r="J260" s="36" t="s">
        <v>50</v>
      </c>
      <c r="K260" s="39">
        <v>0</v>
      </c>
      <c r="L260" s="39">
        <v>65</v>
      </c>
      <c r="M260" s="39">
        <v>74</v>
      </c>
    </row>
    <row r="261" spans="2:13" x14ac:dyDescent="0.25">
      <c r="B261" s="37" t="s">
        <v>397</v>
      </c>
      <c r="C261" s="37">
        <v>180</v>
      </c>
      <c r="D261" s="37">
        <v>180</v>
      </c>
      <c r="E261" s="37">
        <v>2.8</v>
      </c>
      <c r="F261" s="37">
        <v>2.8</v>
      </c>
      <c r="G261" s="37">
        <v>72</v>
      </c>
      <c r="H261" s="37">
        <v>0.15</v>
      </c>
      <c r="I261" s="38" t="s">
        <v>8</v>
      </c>
      <c r="J261" s="38" t="s">
        <v>50</v>
      </c>
      <c r="K261" s="40">
        <v>0</v>
      </c>
      <c r="L261" s="40">
        <v>79</v>
      </c>
      <c r="M261" s="40">
        <v>144</v>
      </c>
    </row>
    <row r="262" spans="2:13" x14ac:dyDescent="0.25">
      <c r="B262" s="35" t="s">
        <v>401</v>
      </c>
      <c r="C262" s="35">
        <v>180</v>
      </c>
      <c r="D262" s="35">
        <v>180</v>
      </c>
      <c r="E262" s="35">
        <v>2.8</v>
      </c>
      <c r="F262" s="35">
        <v>2.8</v>
      </c>
      <c r="G262" s="35">
        <v>86</v>
      </c>
      <c r="H262" s="35">
        <v>1</v>
      </c>
      <c r="I262" s="36" t="s">
        <v>8</v>
      </c>
      <c r="J262" s="36" t="s">
        <v>50</v>
      </c>
      <c r="K262" s="39">
        <v>0</v>
      </c>
      <c r="L262" s="39">
        <v>95</v>
      </c>
      <c r="M262" s="39">
        <v>204</v>
      </c>
    </row>
    <row r="263" spans="2:13" x14ac:dyDescent="0.25">
      <c r="B263" s="37" t="s">
        <v>404</v>
      </c>
      <c r="C263" s="37">
        <v>180</v>
      </c>
      <c r="D263" s="37">
        <v>180</v>
      </c>
      <c r="E263" s="37">
        <v>3.5</v>
      </c>
      <c r="F263" s="37">
        <v>3.5</v>
      </c>
      <c r="G263" s="37">
        <v>72</v>
      </c>
      <c r="H263" s="37">
        <v>1</v>
      </c>
      <c r="I263" s="38" t="s">
        <v>8</v>
      </c>
      <c r="J263" s="38" t="s">
        <v>50</v>
      </c>
      <c r="K263" s="40">
        <v>0</v>
      </c>
      <c r="L263" s="40">
        <v>85</v>
      </c>
      <c r="M263" s="40">
        <v>166</v>
      </c>
    </row>
    <row r="264" spans="2:13" x14ac:dyDescent="0.25">
      <c r="B264" s="35" t="s">
        <v>416</v>
      </c>
      <c r="C264" s="35">
        <v>200</v>
      </c>
      <c r="D264" s="35">
        <v>400</v>
      </c>
      <c r="E264" s="35">
        <v>4</v>
      </c>
      <c r="F264" s="35">
        <v>4</v>
      </c>
      <c r="G264" s="35">
        <v>52</v>
      </c>
      <c r="H264" s="35">
        <v>0.27</v>
      </c>
      <c r="I264" s="36" t="s">
        <v>8</v>
      </c>
      <c r="J264" s="36" t="s">
        <v>50</v>
      </c>
      <c r="K264" s="39">
        <v>0</v>
      </c>
      <c r="L264" s="39">
        <v>124</v>
      </c>
      <c r="M264" s="39">
        <v>365</v>
      </c>
    </row>
    <row r="265" spans="2:13" x14ac:dyDescent="0.25">
      <c r="B265" s="37" t="s">
        <v>420</v>
      </c>
      <c r="C265" s="37">
        <v>200</v>
      </c>
      <c r="D265" s="37">
        <v>500</v>
      </c>
      <c r="E265" s="37">
        <v>5.6</v>
      </c>
      <c r="F265" s="37">
        <v>5.6</v>
      </c>
      <c r="G265" s="37">
        <v>95</v>
      </c>
      <c r="H265" s="37">
        <v>0.22</v>
      </c>
      <c r="I265" s="38" t="s">
        <v>8</v>
      </c>
      <c r="J265" s="38" t="s">
        <v>50</v>
      </c>
      <c r="K265" s="40">
        <v>0</v>
      </c>
      <c r="L265" s="40">
        <v>108</v>
      </c>
      <c r="M265" s="40">
        <v>268</v>
      </c>
    </row>
    <row r="266" spans="2:13" x14ac:dyDescent="0.25">
      <c r="B266" s="35" t="s">
        <v>425</v>
      </c>
      <c r="C266" s="35">
        <v>200</v>
      </c>
      <c r="D266" s="35">
        <v>500</v>
      </c>
      <c r="E266" s="35">
        <v>2.8</v>
      </c>
      <c r="F266" s="35">
        <v>2.8</v>
      </c>
      <c r="G266" s="35">
        <v>72</v>
      </c>
      <c r="H266" s="35">
        <v>0.13</v>
      </c>
      <c r="I266" s="36" t="s">
        <v>8</v>
      </c>
      <c r="J266" s="36" t="s">
        <v>50</v>
      </c>
      <c r="K266" s="39">
        <v>0</v>
      </c>
      <c r="L266" s="39">
        <v>237</v>
      </c>
      <c r="M266" s="39">
        <v>726</v>
      </c>
    </row>
    <row r="267" spans="2:13" x14ac:dyDescent="0.25">
      <c r="B267" s="37" t="s">
        <v>428</v>
      </c>
      <c r="C267" s="37">
        <v>200</v>
      </c>
      <c r="D267" s="37">
        <v>500</v>
      </c>
      <c r="E267" s="37">
        <v>5</v>
      </c>
      <c r="F267" s="37">
        <v>6.3</v>
      </c>
      <c r="G267" s="37">
        <v>0</v>
      </c>
      <c r="H267" s="37">
        <v>0.2</v>
      </c>
      <c r="I267" s="38" t="s">
        <v>8</v>
      </c>
      <c r="J267" s="38" t="s">
        <v>50</v>
      </c>
      <c r="K267" s="40">
        <v>0</v>
      </c>
      <c r="L267" s="40">
        <v>94</v>
      </c>
      <c r="M267" s="40">
        <v>227</v>
      </c>
    </row>
    <row r="268" spans="2:13" x14ac:dyDescent="0.25">
      <c r="B268" s="35" t="s">
        <v>431</v>
      </c>
      <c r="C268" s="35">
        <v>200</v>
      </c>
      <c r="D268" s="35">
        <v>200</v>
      </c>
      <c r="E268" s="35">
        <v>4</v>
      </c>
      <c r="F268" s="35">
        <v>4</v>
      </c>
      <c r="G268" s="35">
        <v>62</v>
      </c>
      <c r="H268" s="35">
        <v>1</v>
      </c>
      <c r="I268" s="36" t="s">
        <v>8</v>
      </c>
      <c r="J268" s="36" t="s">
        <v>50</v>
      </c>
      <c r="K268" s="39">
        <v>0</v>
      </c>
      <c r="L268" s="39">
        <v>76</v>
      </c>
      <c r="M268" s="39">
        <v>193</v>
      </c>
    </row>
    <row r="269" spans="2:13" x14ac:dyDescent="0.25">
      <c r="B269" s="37" t="s">
        <v>435</v>
      </c>
      <c r="C269" s="37">
        <v>200</v>
      </c>
      <c r="D269" s="37">
        <v>200</v>
      </c>
      <c r="E269" s="37">
        <v>2</v>
      </c>
      <c r="F269" s="37">
        <v>2</v>
      </c>
      <c r="G269" s="37">
        <v>0</v>
      </c>
      <c r="H269" s="37">
        <v>0.12</v>
      </c>
      <c r="I269" s="38" t="s">
        <v>8</v>
      </c>
      <c r="J269" s="38" t="s">
        <v>50</v>
      </c>
      <c r="K269" s="40">
        <v>0</v>
      </c>
      <c r="L269" s="40">
        <v>124</v>
      </c>
      <c r="M269" s="40">
        <v>203</v>
      </c>
    </row>
    <row r="270" spans="2:13" x14ac:dyDescent="0.25">
      <c r="B270" s="35" t="s">
        <v>438</v>
      </c>
      <c r="C270" s="35">
        <v>200</v>
      </c>
      <c r="D270" s="35">
        <v>200</v>
      </c>
      <c r="E270" s="35">
        <v>2</v>
      </c>
      <c r="F270" s="35">
        <v>2</v>
      </c>
      <c r="G270" s="35">
        <v>52</v>
      </c>
      <c r="H270" s="35">
        <v>0.12</v>
      </c>
      <c r="I270" s="36" t="s">
        <v>8</v>
      </c>
      <c r="J270" s="36" t="s">
        <v>50</v>
      </c>
      <c r="K270" s="39">
        <v>0</v>
      </c>
      <c r="L270" s="39">
        <v>124</v>
      </c>
      <c r="M270" s="39">
        <v>203</v>
      </c>
    </row>
    <row r="271" spans="2:13" x14ac:dyDescent="0.25">
      <c r="B271" s="37" t="s">
        <v>567</v>
      </c>
      <c r="C271" s="37">
        <v>300</v>
      </c>
      <c r="D271" s="37">
        <v>800</v>
      </c>
      <c r="E271" s="37">
        <v>5.6</v>
      </c>
      <c r="F271" s="37">
        <v>5.6</v>
      </c>
      <c r="G271" s="37">
        <v>0</v>
      </c>
      <c r="H271" s="37">
        <v>0.14000000000000001</v>
      </c>
      <c r="I271" s="38" t="s">
        <v>8</v>
      </c>
      <c r="J271" s="38" t="s">
        <v>50</v>
      </c>
      <c r="K271" s="40">
        <v>0</v>
      </c>
      <c r="L271" s="40">
        <v>157</v>
      </c>
      <c r="M271" s="40">
        <v>542</v>
      </c>
    </row>
    <row r="272" spans="2:13" x14ac:dyDescent="0.25">
      <c r="B272" s="35" t="s">
        <v>571</v>
      </c>
      <c r="C272" s="35">
        <v>300</v>
      </c>
      <c r="D272" s="35">
        <v>300</v>
      </c>
      <c r="E272" s="35">
        <v>2.8</v>
      </c>
      <c r="F272" s="35">
        <v>2.8</v>
      </c>
      <c r="G272" s="35">
        <v>52</v>
      </c>
      <c r="H272" s="35">
        <v>0.16</v>
      </c>
      <c r="I272" s="36" t="s">
        <v>8</v>
      </c>
      <c r="J272" s="36" t="s">
        <v>50</v>
      </c>
      <c r="K272" s="39">
        <v>0</v>
      </c>
      <c r="L272" s="39">
        <v>124</v>
      </c>
      <c r="M272" s="39">
        <v>268</v>
      </c>
    </row>
    <row r="273" spans="2:13" x14ac:dyDescent="0.25">
      <c r="B273" s="37" t="s">
        <v>574</v>
      </c>
      <c r="C273" s="37">
        <v>300</v>
      </c>
      <c r="D273" s="37">
        <v>300</v>
      </c>
      <c r="E273" s="37">
        <v>4</v>
      </c>
      <c r="F273" s="37">
        <v>4</v>
      </c>
      <c r="G273" s="37">
        <v>77</v>
      </c>
      <c r="H273" s="37">
        <v>0.27</v>
      </c>
      <c r="I273" s="38" t="s">
        <v>8</v>
      </c>
      <c r="J273" s="38" t="s">
        <v>50</v>
      </c>
      <c r="K273" s="40">
        <v>0</v>
      </c>
      <c r="L273" s="40">
        <v>90</v>
      </c>
      <c r="M273" s="40">
        <v>223</v>
      </c>
    </row>
    <row r="274" spans="2:13" x14ac:dyDescent="0.25">
      <c r="B274" s="35" t="s">
        <v>577</v>
      </c>
      <c r="C274" s="35">
        <v>300</v>
      </c>
      <c r="D274" s="35">
        <v>300</v>
      </c>
      <c r="E274" s="35">
        <v>4</v>
      </c>
      <c r="F274" s="35">
        <v>4</v>
      </c>
      <c r="G274" s="35">
        <v>77</v>
      </c>
      <c r="H274" s="35">
        <v>0.24</v>
      </c>
      <c r="I274" s="36" t="s">
        <v>8</v>
      </c>
      <c r="J274" s="36" t="s">
        <v>50</v>
      </c>
      <c r="K274" s="39">
        <v>0</v>
      </c>
      <c r="L274" s="39">
        <v>89</v>
      </c>
      <c r="M274" s="39">
        <v>148</v>
      </c>
    </row>
    <row r="275" spans="2:13" x14ac:dyDescent="0.25">
      <c r="B275" s="37" t="s">
        <v>582</v>
      </c>
      <c r="C275" s="37">
        <v>300</v>
      </c>
      <c r="D275" s="37">
        <v>300</v>
      </c>
      <c r="E275" s="37">
        <v>2.8</v>
      </c>
      <c r="F275" s="37">
        <v>2.8</v>
      </c>
      <c r="G275" s="37">
        <v>0</v>
      </c>
      <c r="H275" s="37">
        <v>0.13</v>
      </c>
      <c r="I275" s="38" t="s">
        <v>8</v>
      </c>
      <c r="J275" s="38" t="s">
        <v>50</v>
      </c>
      <c r="K275" s="40">
        <v>0</v>
      </c>
      <c r="L275" s="40">
        <v>119</v>
      </c>
      <c r="M275" s="40">
        <v>214</v>
      </c>
    </row>
    <row r="276" spans="2:13" x14ac:dyDescent="0.25">
      <c r="B276" s="35" t="s">
        <v>579</v>
      </c>
      <c r="C276" s="35">
        <v>300</v>
      </c>
      <c r="D276" s="35">
        <v>300</v>
      </c>
      <c r="E276" s="35">
        <v>6.3</v>
      </c>
      <c r="F276" s="35">
        <v>6.3</v>
      </c>
      <c r="G276" s="35">
        <v>58</v>
      </c>
      <c r="H276" s="35">
        <v>0</v>
      </c>
      <c r="I276" s="36" t="s">
        <v>8</v>
      </c>
      <c r="J276" s="36" t="s">
        <v>9</v>
      </c>
      <c r="K276" s="39">
        <v>0</v>
      </c>
      <c r="L276" s="39">
        <v>106</v>
      </c>
      <c r="M276" s="39">
        <v>258</v>
      </c>
    </row>
    <row r="277" spans="2:13" x14ac:dyDescent="0.25">
      <c r="B277" s="37" t="s">
        <v>623</v>
      </c>
      <c r="C277" s="37">
        <v>400</v>
      </c>
      <c r="D277" s="37">
        <v>400</v>
      </c>
      <c r="E277" s="37">
        <v>2.8</v>
      </c>
      <c r="F277" s="37">
        <v>2.8</v>
      </c>
      <c r="G277" s="37">
        <v>0</v>
      </c>
      <c r="H277" s="37">
        <v>0.16</v>
      </c>
      <c r="I277" s="38" t="s">
        <v>8</v>
      </c>
      <c r="J277" s="38" t="s">
        <v>50</v>
      </c>
      <c r="K277" s="40">
        <v>0</v>
      </c>
      <c r="L277" s="40">
        <v>160</v>
      </c>
      <c r="M277" s="40">
        <v>358</v>
      </c>
    </row>
    <row r="278" spans="2:13" x14ac:dyDescent="0.25">
      <c r="B278" s="35" t="s">
        <v>627</v>
      </c>
      <c r="C278" s="35">
        <v>400</v>
      </c>
      <c r="D278" s="35">
        <v>400</v>
      </c>
      <c r="E278" s="35">
        <v>2.8</v>
      </c>
      <c r="F278" s="35">
        <v>2.8</v>
      </c>
      <c r="G278" s="35">
        <v>52</v>
      </c>
      <c r="H278" s="35">
        <v>0.16</v>
      </c>
      <c r="I278" s="36" t="s">
        <v>8</v>
      </c>
      <c r="J278" s="36" t="s">
        <v>50</v>
      </c>
      <c r="K278" s="39">
        <v>0</v>
      </c>
      <c r="L278" s="39">
        <v>160</v>
      </c>
      <c r="M278" s="39">
        <v>368</v>
      </c>
    </row>
    <row r="279" spans="2:13" x14ac:dyDescent="0.25">
      <c r="B279" s="37" t="s">
        <v>663</v>
      </c>
      <c r="C279" s="37">
        <v>500</v>
      </c>
      <c r="D279" s="37">
        <v>500</v>
      </c>
      <c r="E279" s="37">
        <v>4</v>
      </c>
      <c r="F279" s="37">
        <v>4</v>
      </c>
      <c r="G279" s="37">
        <v>0</v>
      </c>
      <c r="H279" s="37">
        <v>0.14000000000000001</v>
      </c>
      <c r="I279" s="38" t="s">
        <v>8</v>
      </c>
      <c r="J279" s="38" t="s">
        <v>50</v>
      </c>
      <c r="K279" s="40">
        <v>0</v>
      </c>
      <c r="L279" s="40">
        <v>140</v>
      </c>
      <c r="M279" s="40">
        <v>387</v>
      </c>
    </row>
    <row r="280" spans="2:13" x14ac:dyDescent="0.25">
      <c r="B280" s="35" t="s">
        <v>667</v>
      </c>
      <c r="C280" s="35">
        <v>500</v>
      </c>
      <c r="D280" s="35">
        <v>500</v>
      </c>
      <c r="E280" s="35">
        <v>4</v>
      </c>
      <c r="F280" s="35">
        <v>4</v>
      </c>
      <c r="G280" s="35">
        <v>52</v>
      </c>
      <c r="H280" s="35">
        <v>0.14000000000000001</v>
      </c>
      <c r="I280" s="36" t="s">
        <v>8</v>
      </c>
      <c r="J280" s="36" t="s">
        <v>50</v>
      </c>
      <c r="K280" s="39">
        <v>0</v>
      </c>
      <c r="L280" s="39">
        <v>140</v>
      </c>
      <c r="M280" s="39">
        <v>391</v>
      </c>
    </row>
    <row r="281" spans="2:13" x14ac:dyDescent="0.25">
      <c r="B281" s="37" t="s">
        <v>670</v>
      </c>
      <c r="C281" s="37">
        <v>500</v>
      </c>
      <c r="D281" s="37">
        <v>500</v>
      </c>
      <c r="E281" s="37">
        <v>4.5</v>
      </c>
      <c r="F281" s="37">
        <v>4.5</v>
      </c>
      <c r="G281" s="37">
        <v>0</v>
      </c>
      <c r="H281" s="37">
        <v>0.13</v>
      </c>
      <c r="I281" s="38" t="s">
        <v>8</v>
      </c>
      <c r="J281" s="38" t="s">
        <v>50</v>
      </c>
      <c r="K281" s="40">
        <v>0</v>
      </c>
      <c r="L281" s="40">
        <v>123</v>
      </c>
      <c r="M281" s="40">
        <v>350</v>
      </c>
    </row>
    <row r="282" spans="2:13" x14ac:dyDescent="0.25">
      <c r="B282" s="35" t="s">
        <v>674</v>
      </c>
      <c r="C282" s="35">
        <v>500</v>
      </c>
      <c r="D282" s="35">
        <v>500</v>
      </c>
      <c r="E282" s="35">
        <v>4</v>
      </c>
      <c r="F282" s="35">
        <v>4</v>
      </c>
      <c r="G282" s="35">
        <v>0</v>
      </c>
      <c r="H282" s="35">
        <v>0.15</v>
      </c>
      <c r="I282" s="36" t="s">
        <v>8</v>
      </c>
      <c r="J282" s="36" t="s">
        <v>50</v>
      </c>
      <c r="K282" s="39">
        <v>0</v>
      </c>
      <c r="L282" s="39">
        <v>145</v>
      </c>
      <c r="M282" s="39">
        <v>381</v>
      </c>
    </row>
    <row r="283" spans="2:13" x14ac:dyDescent="0.25">
      <c r="B283" s="37" t="s">
        <v>733</v>
      </c>
      <c r="C283" s="37">
        <v>600</v>
      </c>
      <c r="D283" s="37">
        <v>600</v>
      </c>
      <c r="E283" s="37">
        <v>4</v>
      </c>
      <c r="F283" s="37">
        <v>4</v>
      </c>
      <c r="G283" s="37">
        <v>0</v>
      </c>
      <c r="H283" s="37">
        <v>0.14000000000000001</v>
      </c>
      <c r="I283" s="38" t="s">
        <v>8</v>
      </c>
      <c r="J283" s="38" t="s">
        <v>50</v>
      </c>
      <c r="K283" s="40">
        <v>0</v>
      </c>
      <c r="L283" s="40">
        <v>166</v>
      </c>
      <c r="M283" s="40">
        <v>432</v>
      </c>
    </row>
    <row r="284" spans="2:13" x14ac:dyDescent="0.25">
      <c r="B284" s="35" t="s">
        <v>737</v>
      </c>
      <c r="C284" s="35">
        <v>600</v>
      </c>
      <c r="D284" s="35">
        <v>600</v>
      </c>
      <c r="E284" s="35">
        <v>4</v>
      </c>
      <c r="F284" s="35">
        <v>4</v>
      </c>
      <c r="G284" s="35">
        <v>52</v>
      </c>
      <c r="H284" s="35">
        <v>0.14000000000000001</v>
      </c>
      <c r="I284" s="36" t="s">
        <v>8</v>
      </c>
      <c r="J284" s="36" t="s">
        <v>50</v>
      </c>
      <c r="K284" s="39">
        <v>0</v>
      </c>
      <c r="L284" s="39">
        <v>166</v>
      </c>
      <c r="M284" s="39">
        <v>445</v>
      </c>
    </row>
    <row r="285" spans="2:13" x14ac:dyDescent="0.25">
      <c r="B285" s="37" t="s">
        <v>814</v>
      </c>
      <c r="C285" s="37">
        <v>800</v>
      </c>
      <c r="D285" s="37">
        <v>800</v>
      </c>
      <c r="E285" s="37">
        <v>5.6</v>
      </c>
      <c r="F285" s="37">
        <v>5.6</v>
      </c>
      <c r="G285" s="37">
        <v>0</v>
      </c>
      <c r="H285" s="37">
        <v>0.15</v>
      </c>
      <c r="I285" s="38" t="s">
        <v>8</v>
      </c>
      <c r="J285" s="38" t="s">
        <v>50</v>
      </c>
      <c r="K285" s="40">
        <v>0</v>
      </c>
      <c r="L285" s="40">
        <v>160</v>
      </c>
      <c r="M285" s="40">
        <v>461</v>
      </c>
    </row>
    <row r="286" spans="2:13" x14ac:dyDescent="0.25">
      <c r="B286" s="35" t="s">
        <v>818</v>
      </c>
      <c r="C286" s="35">
        <v>800</v>
      </c>
      <c r="D286" s="35">
        <v>800</v>
      </c>
      <c r="E286" s="35">
        <v>5.6</v>
      </c>
      <c r="F286" s="35">
        <v>5.6</v>
      </c>
      <c r="G286" s="35">
        <v>0</v>
      </c>
      <c r="H286" s="35">
        <v>0.11</v>
      </c>
      <c r="I286" s="36" t="s">
        <v>8</v>
      </c>
      <c r="J286" s="36" t="s">
        <v>50</v>
      </c>
      <c r="K286" s="39">
        <v>0</v>
      </c>
      <c r="L286" s="39">
        <v>157</v>
      </c>
      <c r="M286" s="39">
        <v>520</v>
      </c>
    </row>
    <row r="287" spans="2:13" x14ac:dyDescent="0.25">
      <c r="B287" s="37" t="s">
        <v>905</v>
      </c>
      <c r="C287" s="37">
        <v>18</v>
      </c>
      <c r="D287" s="37">
        <v>400</v>
      </c>
      <c r="E287" s="37">
        <v>3.5</v>
      </c>
      <c r="F287" s="37">
        <v>6.3</v>
      </c>
      <c r="G287" s="37">
        <v>72</v>
      </c>
      <c r="H287" s="37">
        <v>0.35</v>
      </c>
      <c r="I287" s="38" t="s">
        <v>8</v>
      </c>
      <c r="J287" s="38" t="s">
        <v>9</v>
      </c>
      <c r="K287" s="40">
        <v>0</v>
      </c>
      <c r="L287" s="40">
        <v>79</v>
      </c>
      <c r="M287" s="40">
        <v>121</v>
      </c>
    </row>
    <row r="288" spans="2:13" x14ac:dyDescent="0.25">
      <c r="B288" s="35" t="s">
        <v>910</v>
      </c>
      <c r="C288" s="35">
        <v>650</v>
      </c>
      <c r="D288" s="35">
        <v>1300</v>
      </c>
      <c r="E288" s="35">
        <v>8</v>
      </c>
      <c r="F288" s="35">
        <v>16</v>
      </c>
      <c r="G288" s="35">
        <v>95</v>
      </c>
      <c r="H288" s="35">
        <v>0</v>
      </c>
      <c r="I288" s="36" t="s">
        <v>8</v>
      </c>
      <c r="J288" s="36" t="s">
        <v>9</v>
      </c>
      <c r="K288" s="39">
        <v>0</v>
      </c>
      <c r="L288" s="39">
        <v>105</v>
      </c>
      <c r="M288" s="39">
        <v>463</v>
      </c>
    </row>
    <row r="289" spans="2:13" x14ac:dyDescent="0.25">
      <c r="B289" s="37"/>
      <c r="C289" s="37"/>
      <c r="D289" s="37"/>
      <c r="E289" s="37"/>
      <c r="F289" s="37"/>
      <c r="G289" s="37"/>
      <c r="H289" s="37"/>
      <c r="I289" s="38"/>
      <c r="J289" s="38"/>
      <c r="K289" s="40"/>
      <c r="L289" s="40"/>
      <c r="M289" s="40"/>
    </row>
    <row r="290" spans="2:13" x14ac:dyDescent="0.25">
      <c r="B290" s="35"/>
      <c r="C290" s="35"/>
      <c r="D290" s="35"/>
      <c r="E290" s="35"/>
      <c r="F290" s="35"/>
      <c r="G290" s="35"/>
      <c r="H290" s="35"/>
      <c r="I290" s="36"/>
      <c r="J290" s="36"/>
      <c r="K290" s="39"/>
      <c r="L290" s="39"/>
      <c r="M290" s="39"/>
    </row>
    <row r="291" spans="2:13" x14ac:dyDescent="0.25">
      <c r="B291" s="37"/>
      <c r="C291" s="37"/>
      <c r="D291" s="37"/>
      <c r="E291" s="37"/>
      <c r="F291" s="37"/>
      <c r="G291" s="37"/>
      <c r="H291" s="37"/>
      <c r="I291" s="38"/>
      <c r="J291" s="38"/>
      <c r="K291" s="40"/>
      <c r="L291" s="40"/>
      <c r="M291" s="40"/>
    </row>
    <row r="292" spans="2:13" x14ac:dyDescent="0.25">
      <c r="B292" s="35"/>
      <c r="C292" s="35"/>
      <c r="D292" s="35"/>
      <c r="E292" s="35"/>
      <c r="F292" s="35"/>
      <c r="G292" s="35"/>
      <c r="H292" s="35"/>
      <c r="I292" s="36"/>
      <c r="J292" s="36"/>
      <c r="K292" s="39"/>
      <c r="L292" s="39"/>
      <c r="M292" s="39"/>
    </row>
    <row r="293" spans="2:13" x14ac:dyDescent="0.25">
      <c r="B293" s="37"/>
      <c r="C293" s="37"/>
      <c r="D293" s="37"/>
      <c r="E293" s="37"/>
      <c r="F293" s="37"/>
      <c r="G293" s="37"/>
      <c r="H293" s="37"/>
      <c r="I293" s="38"/>
      <c r="J293" s="38"/>
      <c r="K293" s="40"/>
      <c r="L293" s="40"/>
      <c r="M293" s="40"/>
    </row>
    <row r="294" spans="2:13" x14ac:dyDescent="0.25">
      <c r="B294" s="35"/>
      <c r="C294" s="35"/>
      <c r="D294" s="35"/>
      <c r="E294" s="35"/>
      <c r="F294" s="35"/>
      <c r="G294" s="35"/>
      <c r="H294" s="35"/>
      <c r="I294" s="36"/>
      <c r="J294" s="36"/>
      <c r="K294" s="39"/>
      <c r="L294" s="39"/>
      <c r="M294" s="39"/>
    </row>
    <row r="295" spans="2:13" x14ac:dyDescent="0.25">
      <c r="B295" s="37"/>
      <c r="C295" s="37"/>
      <c r="D295" s="37"/>
      <c r="E295" s="37"/>
      <c r="F295" s="37"/>
      <c r="G295" s="37"/>
      <c r="H295" s="37"/>
      <c r="I295" s="38"/>
      <c r="J295" s="38"/>
      <c r="K295" s="40"/>
      <c r="L295" s="40"/>
      <c r="M295" s="40"/>
    </row>
    <row r="296" spans="2:13" x14ac:dyDescent="0.25">
      <c r="B296" s="35"/>
      <c r="C296" s="35"/>
      <c r="D296" s="35"/>
      <c r="E296" s="35"/>
      <c r="F296" s="35"/>
      <c r="G296" s="35"/>
      <c r="H296" s="35"/>
      <c r="I296" s="36"/>
      <c r="J296" s="36"/>
      <c r="K296" s="39"/>
      <c r="L296" s="39"/>
      <c r="M296" s="39"/>
    </row>
    <row r="297" spans="2:13" x14ac:dyDescent="0.25">
      <c r="B297" s="37"/>
      <c r="C297" s="37"/>
      <c r="D297" s="37"/>
      <c r="E297" s="37"/>
      <c r="F297" s="37"/>
      <c r="G297" s="37"/>
      <c r="H297" s="37"/>
      <c r="I297" s="38"/>
      <c r="J297" s="38"/>
      <c r="K297" s="40"/>
      <c r="L297" s="40"/>
      <c r="M297" s="40"/>
    </row>
    <row r="298" spans="2:13" x14ac:dyDescent="0.25">
      <c r="B298" s="35"/>
      <c r="C298" s="35"/>
      <c r="D298" s="35"/>
      <c r="E298" s="35"/>
      <c r="F298" s="35"/>
      <c r="G298" s="35"/>
      <c r="H298" s="35"/>
      <c r="I298" s="36"/>
      <c r="J298" s="36"/>
      <c r="K298" s="39"/>
      <c r="L298" s="39"/>
      <c r="M298" s="39"/>
    </row>
    <row r="299" spans="2:13" x14ac:dyDescent="0.25">
      <c r="B299" s="37"/>
      <c r="C299" s="37"/>
      <c r="D299" s="37"/>
      <c r="E299" s="37"/>
      <c r="F299" s="37"/>
      <c r="G299" s="37"/>
      <c r="H299" s="37"/>
      <c r="I299" s="38"/>
      <c r="J299" s="38"/>
      <c r="K299" s="40"/>
      <c r="L299" s="40"/>
      <c r="M299" s="40"/>
    </row>
    <row r="300" spans="2:13" x14ac:dyDescent="0.25">
      <c r="B300" s="35"/>
      <c r="C300" s="35"/>
      <c r="D300" s="35"/>
      <c r="E300" s="35"/>
      <c r="F300" s="35"/>
      <c r="G300" s="35"/>
      <c r="H300" s="35"/>
      <c r="I300" s="36"/>
      <c r="J300" s="36"/>
      <c r="K300" s="39"/>
      <c r="L300" s="39"/>
      <c r="M300" s="39"/>
    </row>
    <row r="301" spans="2:13" x14ac:dyDescent="0.25">
      <c r="B301" s="37"/>
      <c r="C301" s="37"/>
      <c r="D301" s="37"/>
      <c r="E301" s="37"/>
      <c r="F301" s="37"/>
      <c r="G301" s="37"/>
      <c r="H301" s="37"/>
      <c r="I301" s="38"/>
      <c r="J301" s="38"/>
      <c r="K301" s="40"/>
      <c r="L301" s="40"/>
      <c r="M301" s="40"/>
    </row>
    <row r="302" spans="2:13" x14ac:dyDescent="0.25">
      <c r="B302" s="35"/>
      <c r="C302" s="35"/>
      <c r="D302" s="35"/>
      <c r="E302" s="35"/>
      <c r="F302" s="35"/>
      <c r="G302" s="35"/>
      <c r="H302" s="35"/>
      <c r="I302" s="36"/>
      <c r="J302" s="36"/>
      <c r="K302" s="39"/>
      <c r="L302" s="39"/>
      <c r="M302" s="39"/>
    </row>
    <row r="303" spans="2:13" x14ac:dyDescent="0.25">
      <c r="B303" s="37"/>
      <c r="C303" s="37"/>
      <c r="D303" s="37"/>
      <c r="E303" s="37"/>
      <c r="F303" s="37"/>
      <c r="G303" s="37"/>
      <c r="H303" s="37"/>
      <c r="I303" s="38"/>
      <c r="J303" s="38"/>
      <c r="K303" s="40"/>
      <c r="L303" s="40"/>
      <c r="M303" s="40"/>
    </row>
    <row r="304" spans="2:13" x14ac:dyDescent="0.25">
      <c r="B304" s="35"/>
      <c r="C304" s="35"/>
      <c r="D304" s="35"/>
      <c r="E304" s="35"/>
      <c r="F304" s="35"/>
      <c r="G304" s="35"/>
      <c r="H304" s="35"/>
      <c r="I304" s="36"/>
      <c r="J304" s="36"/>
      <c r="K304" s="39"/>
      <c r="L304" s="39"/>
      <c r="M304" s="39"/>
    </row>
    <row r="305" spans="2:13" x14ac:dyDescent="0.25">
      <c r="B305" s="37"/>
      <c r="C305" s="37"/>
      <c r="D305" s="37"/>
      <c r="E305" s="37"/>
      <c r="F305" s="37"/>
      <c r="G305" s="37"/>
      <c r="H305" s="37"/>
      <c r="I305" s="38"/>
      <c r="J305" s="38"/>
      <c r="K305" s="40"/>
      <c r="L305" s="40"/>
      <c r="M305" s="40"/>
    </row>
    <row r="306" spans="2:13" x14ac:dyDescent="0.25">
      <c r="B306" s="35"/>
      <c r="C306" s="35"/>
      <c r="D306" s="35"/>
      <c r="E306" s="35"/>
      <c r="F306" s="35"/>
      <c r="G306" s="35"/>
      <c r="H306" s="35"/>
      <c r="I306" s="36"/>
      <c r="J306" s="36"/>
      <c r="K306" s="39"/>
      <c r="L306" s="39"/>
      <c r="M306" s="39"/>
    </row>
    <row r="307" spans="2:13" x14ac:dyDescent="0.25">
      <c r="B307" s="37"/>
      <c r="C307" s="37"/>
      <c r="D307" s="37"/>
      <c r="E307" s="37"/>
      <c r="F307" s="37"/>
      <c r="G307" s="37"/>
      <c r="H307" s="37"/>
      <c r="I307" s="38"/>
      <c r="J307" s="38"/>
      <c r="K307" s="40"/>
      <c r="L307" s="40"/>
      <c r="M307" s="40"/>
    </row>
    <row r="308" spans="2:13" x14ac:dyDescent="0.25">
      <c r="B308" s="35"/>
      <c r="C308" s="35"/>
      <c r="D308" s="35"/>
      <c r="E308" s="35"/>
      <c r="F308" s="35"/>
      <c r="G308" s="35"/>
      <c r="H308" s="35"/>
      <c r="I308" s="36"/>
      <c r="J308" s="36"/>
      <c r="K308" s="39"/>
      <c r="L308" s="39"/>
      <c r="M308" s="39"/>
    </row>
    <row r="309" spans="2:13" x14ac:dyDescent="0.25">
      <c r="B309" s="37"/>
      <c r="C309" s="37"/>
      <c r="D309" s="37"/>
      <c r="E309" s="37"/>
      <c r="F309" s="37"/>
      <c r="G309" s="37"/>
      <c r="H309" s="37"/>
      <c r="I309" s="38"/>
      <c r="J309" s="38"/>
      <c r="K309" s="40"/>
      <c r="L309" s="40"/>
      <c r="M309" s="40"/>
    </row>
    <row r="310" spans="2:13" x14ac:dyDescent="0.25">
      <c r="B310" s="35"/>
      <c r="C310" s="35"/>
      <c r="D310" s="35"/>
      <c r="E310" s="35"/>
      <c r="F310" s="35"/>
      <c r="G310" s="35"/>
      <c r="H310" s="35"/>
      <c r="I310" s="36"/>
      <c r="J310" s="36"/>
      <c r="K310" s="39"/>
      <c r="L310" s="39"/>
      <c r="M310" s="39"/>
    </row>
    <row r="311" spans="2:13" x14ac:dyDescent="0.25">
      <c r="B311" s="37"/>
      <c r="C311" s="37"/>
      <c r="D311" s="37"/>
      <c r="E311" s="37"/>
      <c r="F311" s="37"/>
      <c r="G311" s="37"/>
      <c r="H311" s="37"/>
      <c r="I311" s="38"/>
      <c r="J311" s="38"/>
      <c r="K311" s="40"/>
      <c r="L311" s="40"/>
      <c r="M311" s="40"/>
    </row>
    <row r="312" spans="2:13" x14ac:dyDescent="0.25">
      <c r="B312" s="35"/>
      <c r="C312" s="35"/>
      <c r="D312" s="35"/>
      <c r="E312" s="35"/>
      <c r="F312" s="35"/>
      <c r="G312" s="35"/>
      <c r="H312" s="35"/>
      <c r="I312" s="36"/>
      <c r="J312" s="36"/>
      <c r="K312" s="39"/>
      <c r="L312" s="39"/>
      <c r="M312" s="39"/>
    </row>
    <row r="313" spans="2:13" x14ac:dyDescent="0.25">
      <c r="B313" s="37"/>
      <c r="C313" s="37"/>
      <c r="D313" s="37"/>
      <c r="E313" s="37"/>
      <c r="F313" s="37"/>
      <c r="G313" s="37"/>
      <c r="H313" s="37"/>
      <c r="I313" s="38"/>
      <c r="J313" s="38"/>
      <c r="K313" s="40"/>
      <c r="L313" s="40"/>
      <c r="M313" s="40"/>
    </row>
    <row r="314" spans="2:13" x14ac:dyDescent="0.25">
      <c r="B314" s="35"/>
      <c r="C314" s="35"/>
      <c r="D314" s="35"/>
      <c r="E314" s="35"/>
      <c r="F314" s="35"/>
      <c r="G314" s="35"/>
      <c r="H314" s="35"/>
      <c r="I314" s="36"/>
      <c r="J314" s="36"/>
      <c r="K314" s="39"/>
      <c r="L314" s="39"/>
      <c r="M314" s="39"/>
    </row>
    <row r="315" spans="2:13" x14ac:dyDescent="0.25">
      <c r="B315" s="37"/>
      <c r="C315" s="37"/>
      <c r="D315" s="37"/>
      <c r="E315" s="37"/>
      <c r="F315" s="37"/>
      <c r="G315" s="37"/>
      <c r="H315" s="37"/>
      <c r="I315" s="38"/>
      <c r="J315" s="38"/>
      <c r="K315" s="40"/>
      <c r="L315" s="40"/>
      <c r="M315" s="40"/>
    </row>
    <row r="316" spans="2:13" x14ac:dyDescent="0.25">
      <c r="B316" s="35"/>
      <c r="C316" s="35"/>
      <c r="D316" s="35"/>
      <c r="E316" s="35"/>
      <c r="F316" s="35"/>
      <c r="G316" s="35"/>
      <c r="H316" s="35"/>
      <c r="I316" s="36"/>
      <c r="J316" s="36"/>
      <c r="K316" s="39"/>
      <c r="L316" s="39"/>
      <c r="M316" s="39"/>
    </row>
    <row r="317" spans="2:13" x14ac:dyDescent="0.25">
      <c r="B317" s="37"/>
      <c r="C317" s="37"/>
      <c r="D317" s="37"/>
      <c r="E317" s="37"/>
      <c r="F317" s="37"/>
      <c r="G317" s="37"/>
      <c r="H317" s="37"/>
      <c r="I317" s="38"/>
      <c r="J317" s="38"/>
      <c r="K317" s="40"/>
      <c r="L317" s="40"/>
      <c r="M317" s="40"/>
    </row>
    <row r="318" spans="2:13" x14ac:dyDescent="0.25">
      <c r="B318" s="35"/>
      <c r="C318" s="35"/>
      <c r="D318" s="35"/>
      <c r="E318" s="35"/>
      <c r="F318" s="35"/>
      <c r="G318" s="35"/>
      <c r="H318" s="35"/>
      <c r="I318" s="36"/>
      <c r="J318" s="36"/>
      <c r="K318" s="39"/>
      <c r="L318" s="39"/>
      <c r="M318" s="39"/>
    </row>
    <row r="319" spans="2:13" x14ac:dyDescent="0.25">
      <c r="B319" s="37"/>
      <c r="C319" s="37"/>
      <c r="D319" s="37"/>
      <c r="E319" s="37"/>
      <c r="F319" s="37"/>
      <c r="G319" s="37"/>
      <c r="H319" s="37"/>
      <c r="I319" s="38"/>
      <c r="J319" s="38"/>
      <c r="K319" s="40"/>
      <c r="L319" s="40"/>
      <c r="M319" s="40"/>
    </row>
    <row r="320" spans="2:13" x14ac:dyDescent="0.25">
      <c r="B320" s="35"/>
      <c r="C320" s="35"/>
      <c r="D320" s="35"/>
      <c r="E320" s="35"/>
      <c r="F320" s="35"/>
      <c r="G320" s="35"/>
      <c r="H320" s="35"/>
      <c r="I320" s="36"/>
      <c r="J320" s="36"/>
      <c r="K320" s="39"/>
      <c r="L320" s="39"/>
      <c r="M320" s="39"/>
    </row>
    <row r="321" spans="2:13" x14ac:dyDescent="0.25">
      <c r="B321" s="37"/>
      <c r="C321" s="37"/>
      <c r="D321" s="37"/>
      <c r="E321" s="37"/>
      <c r="F321" s="37"/>
      <c r="G321" s="37"/>
      <c r="H321" s="37"/>
      <c r="I321" s="38"/>
      <c r="J321" s="38"/>
      <c r="K321" s="40"/>
      <c r="L321" s="40"/>
      <c r="M321" s="40"/>
    </row>
    <row r="322" spans="2:13" x14ac:dyDescent="0.25">
      <c r="B322" s="35"/>
      <c r="C322" s="35"/>
      <c r="D322" s="35"/>
      <c r="E322" s="35"/>
      <c r="F322" s="35"/>
      <c r="G322" s="35"/>
      <c r="H322" s="35"/>
      <c r="I322" s="36"/>
      <c r="J322" s="36"/>
      <c r="K322" s="39"/>
      <c r="L322" s="39"/>
      <c r="M322" s="39"/>
    </row>
    <row r="323" spans="2:13" x14ac:dyDescent="0.25">
      <c r="B323" s="37"/>
      <c r="C323" s="37"/>
      <c r="D323" s="37"/>
      <c r="E323" s="37"/>
      <c r="F323" s="37"/>
      <c r="G323" s="37"/>
      <c r="H323" s="37"/>
      <c r="I323" s="38"/>
      <c r="J323" s="38"/>
      <c r="K323" s="40"/>
      <c r="L323" s="40"/>
      <c r="M323" s="40"/>
    </row>
    <row r="324" spans="2:13" x14ac:dyDescent="0.25">
      <c r="B324" s="35"/>
      <c r="C324" s="35"/>
      <c r="D324" s="35"/>
      <c r="E324" s="35"/>
      <c r="F324" s="35"/>
      <c r="G324" s="35"/>
      <c r="H324" s="35"/>
      <c r="I324" s="36"/>
      <c r="J324" s="36"/>
      <c r="K324" s="39"/>
      <c r="L324" s="39"/>
      <c r="M324" s="39"/>
    </row>
    <row r="325" spans="2:13" x14ac:dyDescent="0.25">
      <c r="B325" s="37"/>
      <c r="C325" s="37"/>
      <c r="D325" s="37"/>
      <c r="E325" s="37"/>
      <c r="F325" s="37"/>
      <c r="G325" s="37"/>
      <c r="H325" s="37"/>
      <c r="I325" s="38"/>
      <c r="J325" s="38"/>
      <c r="K325" s="40"/>
      <c r="L325" s="40"/>
      <c r="M325" s="40"/>
    </row>
    <row r="326" spans="2:13" x14ac:dyDescent="0.25">
      <c r="B326" s="35"/>
      <c r="C326" s="35"/>
      <c r="D326" s="35"/>
      <c r="E326" s="35"/>
      <c r="F326" s="35"/>
      <c r="G326" s="35"/>
      <c r="H326" s="35"/>
      <c r="I326" s="36"/>
      <c r="J326" s="36"/>
      <c r="K326" s="39"/>
      <c r="L326" s="39"/>
      <c r="M326" s="39"/>
    </row>
    <row r="327" spans="2:13" x14ac:dyDescent="0.25">
      <c r="B327" s="37"/>
      <c r="C327" s="37"/>
      <c r="D327" s="37"/>
      <c r="E327" s="37"/>
      <c r="F327" s="37"/>
      <c r="G327" s="37"/>
      <c r="H327" s="37"/>
      <c r="I327" s="38"/>
      <c r="J327" s="38"/>
      <c r="K327" s="40"/>
      <c r="L327" s="40"/>
      <c r="M327" s="40"/>
    </row>
    <row r="328" spans="2:13" x14ac:dyDescent="0.25">
      <c r="B328" s="35"/>
      <c r="C328" s="35"/>
      <c r="D328" s="35"/>
      <c r="E328" s="35"/>
      <c r="F328" s="35"/>
      <c r="G328" s="35"/>
      <c r="H328" s="35"/>
      <c r="I328" s="36"/>
      <c r="J328" s="36"/>
      <c r="K328" s="39"/>
      <c r="L328" s="39"/>
      <c r="M328" s="39"/>
    </row>
    <row r="329" spans="2:13" x14ac:dyDescent="0.25">
      <c r="B329" s="37"/>
      <c r="C329" s="37"/>
      <c r="D329" s="37"/>
      <c r="E329" s="37"/>
      <c r="F329" s="37"/>
      <c r="G329" s="37"/>
      <c r="H329" s="37"/>
      <c r="I329" s="38"/>
      <c r="J329" s="38"/>
      <c r="K329" s="40"/>
      <c r="L329" s="40"/>
      <c r="M329" s="40"/>
    </row>
    <row r="330" spans="2:13" x14ac:dyDescent="0.25">
      <c r="B330" s="35"/>
      <c r="C330" s="35"/>
      <c r="D330" s="35"/>
      <c r="E330" s="35"/>
      <c r="F330" s="35"/>
      <c r="G330" s="35"/>
      <c r="H330" s="35"/>
      <c r="I330" s="36"/>
      <c r="J330" s="36"/>
      <c r="K330" s="39"/>
      <c r="L330" s="39"/>
      <c r="M330" s="39"/>
    </row>
    <row r="331" spans="2:13" x14ac:dyDescent="0.25">
      <c r="B331" s="37"/>
      <c r="C331" s="37"/>
      <c r="D331" s="37"/>
      <c r="E331" s="37"/>
      <c r="F331" s="37"/>
      <c r="G331" s="37"/>
      <c r="H331" s="37"/>
      <c r="I331" s="38"/>
      <c r="J331" s="38"/>
      <c r="K331" s="40"/>
      <c r="L331" s="40"/>
      <c r="M331" s="40"/>
    </row>
    <row r="332" spans="2:13" x14ac:dyDescent="0.25">
      <c r="B332" s="35"/>
      <c r="C332" s="35"/>
      <c r="D332" s="35"/>
      <c r="E332" s="35"/>
      <c r="F332" s="35"/>
      <c r="G332" s="35"/>
      <c r="H332" s="35"/>
      <c r="I332" s="36"/>
      <c r="J332" s="36"/>
      <c r="K332" s="39"/>
      <c r="L332" s="39"/>
      <c r="M332" s="39"/>
    </row>
    <row r="333" spans="2:13" x14ac:dyDescent="0.25">
      <c r="B333" s="37"/>
      <c r="C333" s="37"/>
      <c r="D333" s="37"/>
      <c r="E333" s="37"/>
      <c r="F333" s="37"/>
      <c r="G333" s="37"/>
      <c r="H333" s="37"/>
      <c r="I333" s="38"/>
      <c r="J333" s="38"/>
      <c r="K333" s="40"/>
      <c r="L333" s="40"/>
      <c r="M333" s="40"/>
    </row>
    <row r="334" spans="2:13" x14ac:dyDescent="0.25">
      <c r="B334" s="35"/>
      <c r="C334" s="35"/>
      <c r="D334" s="35"/>
      <c r="E334" s="35"/>
      <c r="F334" s="35"/>
      <c r="G334" s="35"/>
      <c r="H334" s="35"/>
      <c r="I334" s="36"/>
      <c r="J334" s="36"/>
      <c r="K334" s="39"/>
      <c r="L334" s="39"/>
      <c r="M334" s="39"/>
    </row>
    <row r="335" spans="2:13" x14ac:dyDescent="0.25">
      <c r="B335" s="37"/>
      <c r="C335" s="37"/>
      <c r="D335" s="37"/>
      <c r="E335" s="37"/>
      <c r="F335" s="37"/>
      <c r="G335" s="37"/>
      <c r="H335" s="37"/>
      <c r="I335" s="38"/>
      <c r="J335" s="38"/>
      <c r="K335" s="40"/>
      <c r="L335" s="40"/>
      <c r="M335" s="40"/>
    </row>
    <row r="336" spans="2:13" x14ac:dyDescent="0.25">
      <c r="B336" s="35"/>
      <c r="C336" s="35"/>
      <c r="D336" s="35"/>
      <c r="E336" s="35"/>
      <c r="F336" s="35"/>
      <c r="G336" s="35"/>
      <c r="H336" s="35"/>
      <c r="I336" s="36"/>
      <c r="J336" s="36"/>
      <c r="K336" s="39"/>
      <c r="L336" s="39"/>
      <c r="M336" s="39"/>
    </row>
    <row r="337" spans="2:13" x14ac:dyDescent="0.25">
      <c r="B337" s="37"/>
      <c r="C337" s="37"/>
      <c r="D337" s="37"/>
      <c r="E337" s="37"/>
      <c r="F337" s="37"/>
      <c r="G337" s="37"/>
      <c r="H337" s="37"/>
      <c r="I337" s="38"/>
      <c r="J337" s="38"/>
      <c r="K337" s="40"/>
      <c r="L337" s="40"/>
      <c r="M337" s="40"/>
    </row>
    <row r="338" spans="2:13" x14ac:dyDescent="0.25">
      <c r="B338" s="35"/>
      <c r="C338" s="35"/>
      <c r="D338" s="35"/>
      <c r="E338" s="35"/>
      <c r="F338" s="35"/>
      <c r="G338" s="35"/>
      <c r="H338" s="35"/>
      <c r="I338" s="36"/>
      <c r="J338" s="36"/>
      <c r="K338" s="39"/>
      <c r="L338" s="39"/>
      <c r="M338" s="39"/>
    </row>
    <row r="339" spans="2:13" x14ac:dyDescent="0.25">
      <c r="B339" s="37"/>
      <c r="C339" s="37"/>
      <c r="D339" s="37"/>
      <c r="E339" s="37"/>
      <c r="F339" s="37"/>
      <c r="G339" s="37"/>
      <c r="H339" s="37"/>
      <c r="I339" s="38"/>
      <c r="J339" s="38"/>
      <c r="K339" s="40"/>
      <c r="L339" s="40"/>
      <c r="M339" s="40"/>
    </row>
    <row r="340" spans="2:13" x14ac:dyDescent="0.25">
      <c r="B340" s="35"/>
      <c r="C340" s="35"/>
      <c r="D340" s="35"/>
      <c r="E340" s="35"/>
      <c r="F340" s="35"/>
      <c r="G340" s="35"/>
      <c r="H340" s="35"/>
      <c r="I340" s="36"/>
      <c r="J340" s="36"/>
      <c r="K340" s="39"/>
      <c r="L340" s="39"/>
      <c r="M340" s="39"/>
    </row>
    <row r="341" spans="2:13" x14ac:dyDescent="0.25">
      <c r="B341" s="37"/>
      <c r="C341" s="37"/>
      <c r="D341" s="37"/>
      <c r="E341" s="37"/>
      <c r="F341" s="37"/>
      <c r="G341" s="37"/>
      <c r="H341" s="37"/>
      <c r="I341" s="38"/>
      <c r="J341" s="38"/>
      <c r="K341" s="40"/>
      <c r="L341" s="40"/>
      <c r="M341" s="40"/>
    </row>
    <row r="342" spans="2:13" x14ac:dyDescent="0.25">
      <c r="B342" s="35"/>
      <c r="C342" s="35"/>
      <c r="D342" s="35"/>
      <c r="E342" s="35"/>
      <c r="F342" s="35"/>
      <c r="G342" s="35"/>
      <c r="H342" s="35"/>
      <c r="I342" s="36"/>
      <c r="J342" s="36"/>
      <c r="K342" s="39"/>
      <c r="L342" s="39"/>
      <c r="M342" s="39"/>
    </row>
    <row r="343" spans="2:13" x14ac:dyDescent="0.25">
      <c r="B343" s="37"/>
      <c r="C343" s="37"/>
      <c r="D343" s="37"/>
      <c r="E343" s="37"/>
      <c r="F343" s="37"/>
      <c r="G343" s="37"/>
      <c r="H343" s="37"/>
      <c r="I343" s="38"/>
      <c r="J343" s="38"/>
      <c r="K343" s="40"/>
      <c r="L343" s="40"/>
      <c r="M343" s="40"/>
    </row>
    <row r="344" spans="2:13" x14ac:dyDescent="0.25">
      <c r="B344" s="35"/>
      <c r="C344" s="35"/>
      <c r="D344" s="35"/>
      <c r="E344" s="35"/>
      <c r="F344" s="35"/>
      <c r="G344" s="35"/>
      <c r="H344" s="35"/>
      <c r="I344" s="36"/>
      <c r="J344" s="36"/>
      <c r="K344" s="39"/>
      <c r="L344" s="39"/>
      <c r="M344" s="39"/>
    </row>
    <row r="345" spans="2:13" x14ac:dyDescent="0.25">
      <c r="B345" s="37"/>
      <c r="C345" s="37"/>
      <c r="D345" s="37"/>
      <c r="E345" s="37"/>
      <c r="F345" s="37"/>
      <c r="G345" s="37"/>
      <c r="H345" s="37"/>
      <c r="I345" s="38"/>
      <c r="J345" s="38"/>
      <c r="K345" s="40"/>
      <c r="L345" s="40"/>
      <c r="M345" s="40"/>
    </row>
    <row r="346" spans="2:13" x14ac:dyDescent="0.25">
      <c r="B346" s="35"/>
      <c r="C346" s="35"/>
      <c r="D346" s="35"/>
      <c r="E346" s="35"/>
      <c r="F346" s="35"/>
      <c r="G346" s="35"/>
      <c r="H346" s="35"/>
      <c r="I346" s="36"/>
      <c r="J346" s="36"/>
      <c r="K346" s="39"/>
      <c r="L346" s="39"/>
      <c r="M346" s="39"/>
    </row>
    <row r="347" spans="2:13" x14ac:dyDescent="0.25">
      <c r="B347" s="37"/>
      <c r="C347" s="37"/>
      <c r="D347" s="37"/>
      <c r="E347" s="37"/>
      <c r="F347" s="37"/>
      <c r="G347" s="37"/>
      <c r="H347" s="37"/>
      <c r="I347" s="38"/>
      <c r="J347" s="38"/>
      <c r="K347" s="40"/>
      <c r="L347" s="40"/>
      <c r="M347" s="40"/>
    </row>
    <row r="348" spans="2:13" x14ac:dyDescent="0.25">
      <c r="B348" s="35"/>
      <c r="C348" s="35"/>
      <c r="D348" s="35"/>
      <c r="E348" s="35"/>
      <c r="F348" s="35"/>
      <c r="G348" s="35"/>
      <c r="H348" s="35"/>
      <c r="I348" s="36"/>
      <c r="J348" s="36"/>
      <c r="K348" s="39"/>
      <c r="L348" s="39"/>
      <c r="M348" s="39"/>
    </row>
    <row r="349" spans="2:13" x14ac:dyDescent="0.25">
      <c r="B349" s="37"/>
      <c r="C349" s="37"/>
      <c r="D349" s="37"/>
      <c r="E349" s="37"/>
      <c r="F349" s="37"/>
      <c r="G349" s="37"/>
      <c r="H349" s="37"/>
      <c r="I349" s="38"/>
      <c r="J349" s="38"/>
      <c r="K349" s="40"/>
      <c r="L349" s="40"/>
      <c r="M349" s="40"/>
    </row>
    <row r="350" spans="2:13" x14ac:dyDescent="0.25">
      <c r="B350" s="35"/>
      <c r="C350" s="35"/>
      <c r="D350" s="35"/>
      <c r="E350" s="35"/>
      <c r="F350" s="35"/>
      <c r="G350" s="35"/>
      <c r="H350" s="35"/>
      <c r="I350" s="36"/>
      <c r="J350" s="36"/>
      <c r="K350" s="39"/>
      <c r="L350" s="39"/>
      <c r="M350" s="39"/>
    </row>
    <row r="351" spans="2:13" x14ac:dyDescent="0.25">
      <c r="B351" s="37"/>
      <c r="C351" s="37"/>
      <c r="D351" s="37"/>
      <c r="E351" s="37"/>
      <c r="F351" s="37"/>
      <c r="G351" s="37"/>
      <c r="H351" s="37"/>
      <c r="I351" s="38"/>
      <c r="J351" s="38"/>
      <c r="K351" s="40"/>
      <c r="L351" s="40"/>
      <c r="M351" s="40"/>
    </row>
    <row r="352" spans="2:13" x14ac:dyDescent="0.25">
      <c r="B352" s="35"/>
      <c r="C352" s="35"/>
      <c r="D352" s="35"/>
      <c r="E352" s="35"/>
      <c r="F352" s="35"/>
      <c r="G352" s="35"/>
      <c r="H352" s="35"/>
      <c r="I352" s="36"/>
      <c r="J352" s="36"/>
      <c r="K352" s="39"/>
      <c r="L352" s="39"/>
      <c r="M352" s="39"/>
    </row>
    <row r="353" spans="2:13" x14ac:dyDescent="0.25">
      <c r="B353" s="37"/>
      <c r="C353" s="37"/>
      <c r="D353" s="37"/>
      <c r="E353" s="37"/>
      <c r="F353" s="37"/>
      <c r="G353" s="37"/>
      <c r="H353" s="37"/>
      <c r="I353" s="38"/>
      <c r="J353" s="38"/>
      <c r="K353" s="40"/>
      <c r="L353" s="40"/>
      <c r="M353" s="40"/>
    </row>
    <row r="354" spans="2:13" x14ac:dyDescent="0.25">
      <c r="B354" s="35"/>
      <c r="C354" s="35"/>
      <c r="D354" s="35"/>
      <c r="E354" s="35"/>
      <c r="F354" s="35"/>
      <c r="G354" s="35"/>
      <c r="H354" s="35"/>
      <c r="I354" s="36"/>
      <c r="J354" s="36"/>
      <c r="K354" s="39"/>
      <c r="L354" s="39"/>
      <c r="M354" s="39"/>
    </row>
    <row r="355" spans="2:13" x14ac:dyDescent="0.25">
      <c r="B355" s="37"/>
      <c r="C355" s="37"/>
      <c r="D355" s="37"/>
      <c r="E355" s="37"/>
      <c r="F355" s="37"/>
      <c r="G355" s="37"/>
      <c r="H355" s="37"/>
      <c r="I355" s="38"/>
      <c r="J355" s="38"/>
      <c r="K355" s="40"/>
      <c r="L355" s="40"/>
      <c r="M355" s="40"/>
    </row>
    <row r="356" spans="2:13" x14ac:dyDescent="0.25">
      <c r="B356" s="35"/>
      <c r="C356" s="35"/>
      <c r="D356" s="35"/>
      <c r="E356" s="35"/>
      <c r="F356" s="35"/>
      <c r="G356" s="35"/>
      <c r="H356" s="35"/>
      <c r="I356" s="36"/>
      <c r="J356" s="36"/>
      <c r="K356" s="39"/>
      <c r="L356" s="39"/>
      <c r="M356" s="39"/>
    </row>
    <row r="357" spans="2:13" x14ac:dyDescent="0.25">
      <c r="B357" s="37"/>
      <c r="C357" s="37"/>
      <c r="D357" s="37"/>
      <c r="E357" s="37"/>
      <c r="F357" s="37"/>
      <c r="G357" s="37"/>
      <c r="H357" s="37"/>
      <c r="I357" s="38"/>
      <c r="J357" s="38"/>
      <c r="K357" s="40"/>
      <c r="L357" s="40"/>
      <c r="M357" s="40"/>
    </row>
    <row r="358" spans="2:13" x14ac:dyDescent="0.25">
      <c r="B358" s="35"/>
      <c r="C358" s="35"/>
      <c r="D358" s="35"/>
      <c r="E358" s="35"/>
      <c r="F358" s="35"/>
      <c r="G358" s="35"/>
      <c r="H358" s="35"/>
      <c r="I358" s="36"/>
      <c r="J358" s="36"/>
      <c r="K358" s="39"/>
      <c r="L358" s="39"/>
      <c r="M358" s="39"/>
    </row>
    <row r="359" spans="2:13" x14ac:dyDescent="0.25">
      <c r="B359" s="37"/>
      <c r="C359" s="37"/>
      <c r="D359" s="37"/>
      <c r="E359" s="37"/>
      <c r="F359" s="37"/>
      <c r="G359" s="37"/>
      <c r="H359" s="37"/>
      <c r="I359" s="38"/>
      <c r="J359" s="38"/>
      <c r="K359" s="40"/>
      <c r="L359" s="40"/>
      <c r="M359" s="40"/>
    </row>
    <row r="360" spans="2:13" x14ac:dyDescent="0.25">
      <c r="B360" s="35"/>
      <c r="C360" s="35"/>
      <c r="D360" s="35"/>
      <c r="E360" s="35"/>
      <c r="F360" s="35"/>
      <c r="G360" s="35"/>
      <c r="H360" s="35"/>
      <c r="I360" s="36"/>
      <c r="J360" s="36"/>
      <c r="K360" s="39"/>
      <c r="L360" s="39"/>
      <c r="M360" s="39"/>
    </row>
    <row r="361" spans="2:13" x14ac:dyDescent="0.25">
      <c r="B361" s="37"/>
      <c r="C361" s="37"/>
      <c r="D361" s="37"/>
      <c r="E361" s="37"/>
      <c r="F361" s="37"/>
      <c r="G361" s="37"/>
      <c r="H361" s="37"/>
      <c r="I361" s="38"/>
      <c r="J361" s="38"/>
      <c r="K361" s="40"/>
      <c r="L361" s="40"/>
      <c r="M361" s="40"/>
    </row>
    <row r="362" spans="2:13" x14ac:dyDescent="0.25">
      <c r="B362" s="35"/>
      <c r="C362" s="35"/>
      <c r="D362" s="35"/>
      <c r="E362" s="35"/>
      <c r="F362" s="35"/>
      <c r="G362" s="35"/>
      <c r="H362" s="35"/>
      <c r="I362" s="36"/>
      <c r="J362" s="36"/>
      <c r="K362" s="39"/>
      <c r="L362" s="39"/>
      <c r="M362" s="39"/>
    </row>
    <row r="363" spans="2:13" x14ac:dyDescent="0.25">
      <c r="B363" s="37"/>
      <c r="C363" s="37"/>
      <c r="D363" s="37"/>
      <c r="E363" s="37"/>
      <c r="F363" s="37"/>
      <c r="G363" s="37"/>
      <c r="H363" s="37"/>
      <c r="I363" s="38"/>
      <c r="J363" s="38"/>
      <c r="K363" s="40"/>
      <c r="L363" s="40"/>
      <c r="M363" s="40"/>
    </row>
    <row r="364" spans="2:13" x14ac:dyDescent="0.25">
      <c r="B364" s="35"/>
      <c r="C364" s="35"/>
      <c r="D364" s="35"/>
      <c r="E364" s="35"/>
      <c r="F364" s="35"/>
      <c r="G364" s="35"/>
      <c r="H364" s="35"/>
      <c r="I364" s="36"/>
      <c r="J364" s="36"/>
      <c r="K364" s="39"/>
      <c r="L364" s="39"/>
      <c r="M364" s="39"/>
    </row>
    <row r="365" spans="2:13" x14ac:dyDescent="0.25">
      <c r="B365" s="37"/>
      <c r="C365" s="37"/>
      <c r="D365" s="37"/>
      <c r="E365" s="37"/>
      <c r="F365" s="37"/>
      <c r="G365" s="37"/>
      <c r="H365" s="37"/>
      <c r="I365" s="38"/>
      <c r="J365" s="38"/>
      <c r="K365" s="40"/>
      <c r="L365" s="40"/>
      <c r="M365" s="40"/>
    </row>
    <row r="366" spans="2:13" x14ac:dyDescent="0.25">
      <c r="B366" s="35"/>
      <c r="C366" s="35"/>
      <c r="D366" s="35"/>
      <c r="E366" s="35"/>
      <c r="F366" s="35"/>
      <c r="G366" s="35"/>
      <c r="H366" s="35"/>
      <c r="I366" s="36"/>
      <c r="J366" s="36"/>
      <c r="K366" s="39"/>
      <c r="L366" s="39"/>
      <c r="M366" s="39"/>
    </row>
    <row r="367" spans="2:13" x14ac:dyDescent="0.25">
      <c r="B367" s="37"/>
      <c r="C367" s="37"/>
      <c r="D367" s="37"/>
      <c r="E367" s="37"/>
      <c r="F367" s="37"/>
      <c r="G367" s="37"/>
      <c r="H367" s="37"/>
      <c r="I367" s="38"/>
      <c r="J367" s="38"/>
      <c r="K367" s="40"/>
      <c r="L367" s="40"/>
      <c r="M367" s="40"/>
    </row>
    <row r="368" spans="2:13" x14ac:dyDescent="0.25">
      <c r="B368" s="35"/>
      <c r="C368" s="35"/>
      <c r="D368" s="35"/>
      <c r="E368" s="35"/>
      <c r="F368" s="35"/>
      <c r="G368" s="35"/>
      <c r="H368" s="35"/>
      <c r="I368" s="36"/>
      <c r="J368" s="36"/>
      <c r="K368" s="39"/>
      <c r="L368" s="39"/>
      <c r="M368" s="39"/>
    </row>
    <row r="369" spans="2:13" x14ac:dyDescent="0.25">
      <c r="B369" s="37"/>
      <c r="C369" s="37"/>
      <c r="D369" s="37"/>
      <c r="E369" s="37"/>
      <c r="F369" s="37"/>
      <c r="G369" s="37"/>
      <c r="H369" s="37"/>
      <c r="I369" s="38"/>
      <c r="J369" s="38"/>
      <c r="K369" s="40"/>
      <c r="L369" s="40"/>
      <c r="M369" s="40"/>
    </row>
    <row r="370" spans="2:13" x14ac:dyDescent="0.25">
      <c r="B370" s="35"/>
      <c r="C370" s="35"/>
      <c r="D370" s="35"/>
      <c r="E370" s="35"/>
      <c r="F370" s="35"/>
      <c r="G370" s="35"/>
      <c r="H370" s="35"/>
      <c r="I370" s="36"/>
      <c r="J370" s="36"/>
      <c r="K370" s="39"/>
      <c r="L370" s="39"/>
      <c r="M370" s="39"/>
    </row>
    <row r="371" spans="2:13" x14ac:dyDescent="0.25">
      <c r="B371" s="37"/>
      <c r="C371" s="37"/>
      <c r="D371" s="37"/>
      <c r="E371" s="37"/>
      <c r="F371" s="37"/>
      <c r="G371" s="37"/>
      <c r="H371" s="37"/>
      <c r="I371" s="38"/>
      <c r="J371" s="38"/>
      <c r="K371" s="40"/>
      <c r="L371" s="40"/>
      <c r="M371" s="40"/>
    </row>
    <row r="372" spans="2:13" x14ac:dyDescent="0.25">
      <c r="B372" s="35"/>
      <c r="C372" s="35"/>
      <c r="D372" s="35"/>
      <c r="E372" s="35"/>
      <c r="F372" s="35"/>
      <c r="G372" s="35"/>
      <c r="H372" s="35"/>
      <c r="I372" s="36"/>
      <c r="J372" s="36"/>
      <c r="K372" s="39"/>
      <c r="L372" s="39"/>
      <c r="M372" s="39"/>
    </row>
    <row r="373" spans="2:13" x14ac:dyDescent="0.25">
      <c r="B373" s="37"/>
      <c r="C373" s="37"/>
      <c r="D373" s="37"/>
      <c r="E373" s="37"/>
      <c r="F373" s="37"/>
      <c r="G373" s="37"/>
      <c r="H373" s="37"/>
      <c r="I373" s="38"/>
      <c r="J373" s="38"/>
      <c r="K373" s="40"/>
      <c r="L373" s="40"/>
      <c r="M373" s="40"/>
    </row>
    <row r="374" spans="2:13" x14ac:dyDescent="0.25">
      <c r="B374" s="35"/>
      <c r="C374" s="35"/>
      <c r="D374" s="35"/>
      <c r="E374" s="35"/>
      <c r="F374" s="35"/>
      <c r="G374" s="35"/>
      <c r="H374" s="35"/>
      <c r="I374" s="36"/>
      <c r="J374" s="36"/>
      <c r="K374" s="39"/>
      <c r="L374" s="39"/>
      <c r="M374" s="39"/>
    </row>
    <row r="375" spans="2:13" x14ac:dyDescent="0.25">
      <c r="B375" s="37"/>
      <c r="C375" s="37"/>
      <c r="D375" s="37"/>
      <c r="E375" s="37"/>
      <c r="F375" s="37"/>
      <c r="G375" s="37"/>
      <c r="H375" s="37"/>
      <c r="I375" s="38"/>
      <c r="J375" s="38"/>
      <c r="K375" s="40"/>
      <c r="L375" s="40"/>
      <c r="M375" s="40"/>
    </row>
    <row r="376" spans="2:13" x14ac:dyDescent="0.25">
      <c r="B376" s="35"/>
      <c r="C376" s="35"/>
      <c r="D376" s="35"/>
      <c r="E376" s="35"/>
      <c r="F376" s="35"/>
      <c r="G376" s="35"/>
      <c r="H376" s="35"/>
      <c r="I376" s="36"/>
      <c r="J376" s="36"/>
      <c r="K376" s="39"/>
      <c r="L376" s="39"/>
      <c r="M376" s="39"/>
    </row>
    <row r="377" spans="2:13" x14ac:dyDescent="0.25">
      <c r="B377" s="37"/>
      <c r="C377" s="37"/>
      <c r="D377" s="37"/>
      <c r="E377" s="37"/>
      <c r="F377" s="37"/>
      <c r="G377" s="37"/>
      <c r="H377" s="37"/>
      <c r="I377" s="38"/>
      <c r="J377" s="38"/>
      <c r="K377" s="40"/>
      <c r="L377" s="40"/>
      <c r="M377" s="40"/>
    </row>
    <row r="378" spans="2:13" x14ac:dyDescent="0.25">
      <c r="B378" s="35"/>
      <c r="C378" s="35"/>
      <c r="D378" s="35"/>
      <c r="E378" s="35"/>
      <c r="F378" s="35"/>
      <c r="G378" s="35"/>
      <c r="H378" s="35"/>
      <c r="I378" s="36"/>
      <c r="J378" s="36"/>
      <c r="K378" s="39"/>
      <c r="L378" s="39"/>
      <c r="M378" s="39"/>
    </row>
    <row r="379" spans="2:13" x14ac:dyDescent="0.25">
      <c r="B379" s="37"/>
      <c r="C379" s="37"/>
      <c r="D379" s="37"/>
      <c r="E379" s="37"/>
      <c r="F379" s="37"/>
      <c r="G379" s="37"/>
      <c r="H379" s="37"/>
      <c r="I379" s="38"/>
      <c r="J379" s="38"/>
      <c r="K379" s="40"/>
      <c r="L379" s="40"/>
      <c r="M379" s="40"/>
    </row>
    <row r="380" spans="2:13" x14ac:dyDescent="0.25">
      <c r="B380" s="35"/>
      <c r="C380" s="35"/>
      <c r="D380" s="35"/>
      <c r="E380" s="35"/>
      <c r="F380" s="35"/>
      <c r="G380" s="35"/>
      <c r="H380" s="35"/>
      <c r="I380" s="36"/>
      <c r="J380" s="36"/>
      <c r="K380" s="39"/>
      <c r="L380" s="39"/>
      <c r="M380" s="39"/>
    </row>
    <row r="381" spans="2:13" x14ac:dyDescent="0.25">
      <c r="B381" s="37"/>
      <c r="C381" s="37"/>
      <c r="D381" s="37"/>
      <c r="E381" s="37"/>
      <c r="F381" s="37"/>
      <c r="G381" s="37"/>
      <c r="H381" s="37"/>
      <c r="I381" s="38"/>
      <c r="J381" s="38"/>
      <c r="K381" s="40"/>
      <c r="L381" s="40"/>
      <c r="M381" s="40"/>
    </row>
    <row r="382" spans="2:13" x14ac:dyDescent="0.25">
      <c r="B382" s="35"/>
      <c r="C382" s="35"/>
      <c r="D382" s="35"/>
      <c r="E382" s="35"/>
      <c r="F382" s="35"/>
      <c r="G382" s="35"/>
      <c r="H382" s="35"/>
      <c r="I382" s="36"/>
      <c r="J382" s="36"/>
      <c r="K382" s="39"/>
      <c r="L382" s="39"/>
      <c r="M382" s="39"/>
    </row>
    <row r="383" spans="2:13" x14ac:dyDescent="0.25">
      <c r="B383" s="37"/>
      <c r="C383" s="37"/>
      <c r="D383" s="37"/>
      <c r="E383" s="37"/>
      <c r="F383" s="37"/>
      <c r="G383" s="37"/>
      <c r="H383" s="37"/>
      <c r="I383" s="38"/>
      <c r="J383" s="38"/>
      <c r="K383" s="40"/>
      <c r="L383" s="40"/>
      <c r="M383" s="40"/>
    </row>
    <row r="384" spans="2:13" x14ac:dyDescent="0.25">
      <c r="B384" s="35"/>
      <c r="C384" s="35"/>
      <c r="D384" s="35"/>
      <c r="E384" s="35"/>
      <c r="F384" s="35"/>
      <c r="G384" s="35"/>
      <c r="H384" s="35"/>
      <c r="I384" s="36"/>
      <c r="J384" s="36"/>
      <c r="K384" s="39"/>
      <c r="L384" s="39"/>
      <c r="M384" s="39"/>
    </row>
    <row r="385" spans="2:13" x14ac:dyDescent="0.25">
      <c r="B385" s="37"/>
      <c r="C385" s="37"/>
      <c r="D385" s="37"/>
      <c r="E385" s="37"/>
      <c r="F385" s="37"/>
      <c r="G385" s="37"/>
      <c r="H385" s="37"/>
      <c r="I385" s="38"/>
      <c r="J385" s="38"/>
      <c r="K385" s="40"/>
      <c r="L385" s="40"/>
      <c r="M385" s="40"/>
    </row>
    <row r="386" spans="2:13" x14ac:dyDescent="0.25">
      <c r="B386" s="35"/>
      <c r="C386" s="35"/>
      <c r="D386" s="35"/>
      <c r="E386" s="35"/>
      <c r="F386" s="35"/>
      <c r="G386" s="35"/>
      <c r="H386" s="35"/>
      <c r="I386" s="36"/>
      <c r="J386" s="36"/>
      <c r="K386" s="39"/>
      <c r="L386" s="39"/>
      <c r="M386" s="39"/>
    </row>
    <row r="387" spans="2:13" x14ac:dyDescent="0.25">
      <c r="B387" s="37"/>
      <c r="C387" s="37"/>
      <c r="D387" s="37"/>
      <c r="E387" s="37"/>
      <c r="F387" s="37"/>
      <c r="G387" s="37"/>
      <c r="H387" s="37"/>
      <c r="I387" s="38"/>
      <c r="J387" s="38"/>
      <c r="K387" s="40"/>
      <c r="L387" s="40"/>
      <c r="M387" s="40"/>
    </row>
    <row r="388" spans="2:13" x14ac:dyDescent="0.25">
      <c r="B388" s="35"/>
      <c r="C388" s="35"/>
      <c r="D388" s="35"/>
      <c r="E388" s="35"/>
      <c r="F388" s="35"/>
      <c r="G388" s="35"/>
      <c r="H388" s="35"/>
      <c r="I388" s="36"/>
      <c r="J388" s="36"/>
      <c r="K388" s="39"/>
      <c r="L388" s="39"/>
      <c r="M388" s="39"/>
    </row>
    <row r="389" spans="2:13" x14ac:dyDescent="0.25">
      <c r="B389" s="37"/>
      <c r="C389" s="37"/>
      <c r="D389" s="37"/>
      <c r="E389" s="37"/>
      <c r="F389" s="37"/>
      <c r="G389" s="37"/>
      <c r="H389" s="37"/>
      <c r="I389" s="38"/>
      <c r="J389" s="38"/>
      <c r="K389" s="40"/>
      <c r="L389" s="40"/>
      <c r="M389" s="40"/>
    </row>
    <row r="390" spans="2:13" x14ac:dyDescent="0.25">
      <c r="B390" s="35"/>
      <c r="C390" s="35"/>
      <c r="D390" s="35"/>
      <c r="E390" s="35"/>
      <c r="F390" s="35"/>
      <c r="G390" s="35"/>
      <c r="H390" s="35"/>
      <c r="I390" s="36"/>
      <c r="J390" s="36"/>
      <c r="K390" s="39"/>
      <c r="L390" s="39"/>
      <c r="M390" s="39"/>
    </row>
    <row r="391" spans="2:13" x14ac:dyDescent="0.25">
      <c r="B391" s="37"/>
      <c r="C391" s="37"/>
      <c r="D391" s="37"/>
      <c r="E391" s="37"/>
      <c r="F391" s="37"/>
      <c r="G391" s="37"/>
      <c r="H391" s="37"/>
      <c r="I391" s="38"/>
      <c r="J391" s="38"/>
      <c r="K391" s="40"/>
      <c r="L391" s="40"/>
      <c r="M391" s="40"/>
    </row>
    <row r="392" spans="2:13" x14ac:dyDescent="0.25">
      <c r="B392" s="35"/>
      <c r="C392" s="35"/>
      <c r="D392" s="35"/>
      <c r="E392" s="35"/>
      <c r="F392" s="35"/>
      <c r="G392" s="35"/>
      <c r="H392" s="35"/>
      <c r="I392" s="36"/>
      <c r="J392" s="36"/>
      <c r="K392" s="39"/>
      <c r="L392" s="39"/>
      <c r="M392" s="39"/>
    </row>
    <row r="393" spans="2:13" x14ac:dyDescent="0.25">
      <c r="B393" s="37"/>
      <c r="C393" s="37"/>
      <c r="D393" s="37"/>
      <c r="E393" s="37"/>
      <c r="F393" s="37"/>
      <c r="G393" s="37"/>
      <c r="H393" s="37"/>
      <c r="I393" s="38"/>
      <c r="J393" s="38"/>
      <c r="K393" s="40"/>
      <c r="L393" s="40"/>
      <c r="M393" s="40"/>
    </row>
    <row r="394" spans="2:13" x14ac:dyDescent="0.25">
      <c r="B394" s="35"/>
      <c r="C394" s="35"/>
      <c r="D394" s="35"/>
      <c r="E394" s="35"/>
      <c r="F394" s="35"/>
      <c r="G394" s="35"/>
      <c r="H394" s="35"/>
      <c r="I394" s="36"/>
      <c r="J394" s="36"/>
      <c r="K394" s="39"/>
      <c r="L394" s="39"/>
      <c r="M394" s="39"/>
    </row>
    <row r="395" spans="2:13" x14ac:dyDescent="0.25">
      <c r="B395" s="37"/>
      <c r="C395" s="37"/>
      <c r="D395" s="37"/>
      <c r="E395" s="37"/>
      <c r="F395" s="37"/>
      <c r="G395" s="37"/>
      <c r="H395" s="37"/>
      <c r="I395" s="38"/>
      <c r="J395" s="38"/>
      <c r="K395" s="40"/>
      <c r="L395" s="40"/>
      <c r="M395" s="40"/>
    </row>
    <row r="396" spans="2:13" x14ac:dyDescent="0.25">
      <c r="B396" s="35"/>
      <c r="C396" s="35"/>
      <c r="D396" s="35"/>
      <c r="E396" s="35"/>
      <c r="F396" s="35"/>
      <c r="G396" s="35"/>
      <c r="H396" s="35"/>
      <c r="I396" s="36"/>
      <c r="J396" s="36"/>
      <c r="K396" s="39"/>
      <c r="L396" s="39"/>
      <c r="M396" s="39"/>
    </row>
    <row r="397" spans="2:13" x14ac:dyDescent="0.25">
      <c r="B397" s="37"/>
      <c r="C397" s="37"/>
      <c r="D397" s="37"/>
      <c r="E397" s="37"/>
      <c r="F397" s="37"/>
      <c r="G397" s="37"/>
      <c r="H397" s="37"/>
      <c r="I397" s="38"/>
      <c r="J397" s="38"/>
      <c r="K397" s="40"/>
      <c r="L397" s="40"/>
      <c r="M397" s="40"/>
    </row>
    <row r="398" spans="2:13" x14ac:dyDescent="0.25">
      <c r="B398" s="35"/>
      <c r="C398" s="35"/>
      <c r="D398" s="35"/>
      <c r="E398" s="35"/>
      <c r="F398" s="35"/>
      <c r="G398" s="35"/>
      <c r="H398" s="35"/>
      <c r="I398" s="36"/>
      <c r="J398" s="36"/>
      <c r="K398" s="39"/>
      <c r="L398" s="39"/>
      <c r="M398" s="39"/>
    </row>
    <row r="399" spans="2:13" x14ac:dyDescent="0.25">
      <c r="B399" s="37"/>
      <c r="C399" s="37"/>
      <c r="D399" s="37"/>
      <c r="E399" s="37"/>
      <c r="F399" s="37"/>
      <c r="G399" s="37"/>
      <c r="H399" s="37"/>
      <c r="I399" s="38"/>
      <c r="J399" s="38"/>
      <c r="K399" s="40"/>
      <c r="L399" s="40"/>
      <c r="M399" s="40"/>
    </row>
    <row r="400" spans="2:13" x14ac:dyDescent="0.25">
      <c r="B400" s="35"/>
      <c r="C400" s="35"/>
      <c r="D400" s="35"/>
      <c r="E400" s="35"/>
      <c r="F400" s="35"/>
      <c r="G400" s="35"/>
      <c r="H400" s="35"/>
      <c r="I400" s="36"/>
      <c r="J400" s="36"/>
      <c r="K400" s="39"/>
      <c r="L400" s="39"/>
      <c r="M400" s="39"/>
    </row>
    <row r="401" spans="2:13" x14ac:dyDescent="0.25">
      <c r="B401" s="37"/>
      <c r="C401" s="37"/>
      <c r="D401" s="37"/>
      <c r="E401" s="37"/>
      <c r="F401" s="37"/>
      <c r="G401" s="37"/>
      <c r="H401" s="37"/>
      <c r="I401" s="38"/>
      <c r="J401" s="38"/>
      <c r="K401" s="40"/>
      <c r="L401" s="40"/>
      <c r="M401" s="40"/>
    </row>
    <row r="402" spans="2:13" x14ac:dyDescent="0.25">
      <c r="B402" s="35"/>
      <c r="C402" s="35"/>
      <c r="D402" s="35"/>
      <c r="E402" s="35"/>
      <c r="F402" s="35"/>
      <c r="G402" s="35"/>
      <c r="H402" s="35"/>
      <c r="I402" s="36"/>
      <c r="J402" s="36"/>
      <c r="K402" s="39"/>
      <c r="L402" s="39"/>
      <c r="M402" s="39"/>
    </row>
    <row r="403" spans="2:13" x14ac:dyDescent="0.25">
      <c r="B403" s="37"/>
      <c r="C403" s="37"/>
      <c r="D403" s="37"/>
      <c r="E403" s="37"/>
      <c r="F403" s="37"/>
      <c r="G403" s="37"/>
      <c r="H403" s="37"/>
      <c r="I403" s="38"/>
      <c r="J403" s="38"/>
      <c r="K403" s="40"/>
      <c r="L403" s="40"/>
      <c r="M403" s="40"/>
    </row>
    <row r="404" spans="2:13" x14ac:dyDescent="0.25">
      <c r="B404" s="35"/>
      <c r="C404" s="35"/>
      <c r="D404" s="35"/>
      <c r="E404" s="35"/>
      <c r="F404" s="35"/>
      <c r="G404" s="35"/>
      <c r="H404" s="35"/>
      <c r="I404" s="36"/>
      <c r="J404" s="36"/>
      <c r="K404" s="39"/>
      <c r="L404" s="39"/>
      <c r="M404" s="39"/>
    </row>
    <row r="405" spans="2:13" x14ac:dyDescent="0.25">
      <c r="B405" s="37"/>
      <c r="C405" s="37"/>
      <c r="D405" s="37"/>
      <c r="E405" s="37"/>
      <c r="F405" s="37"/>
      <c r="G405" s="37"/>
      <c r="H405" s="37"/>
      <c r="I405" s="38"/>
      <c r="J405" s="38"/>
      <c r="K405" s="40"/>
      <c r="L405" s="40"/>
      <c r="M405" s="40"/>
    </row>
    <row r="406" spans="2:13" x14ac:dyDescent="0.25">
      <c r="B406" s="35"/>
      <c r="C406" s="35"/>
      <c r="D406" s="35"/>
      <c r="E406" s="35"/>
      <c r="F406" s="35"/>
      <c r="G406" s="35"/>
      <c r="H406" s="35"/>
      <c r="I406" s="36"/>
      <c r="J406" s="36"/>
      <c r="K406" s="39"/>
      <c r="L406" s="39"/>
      <c r="M406" s="39"/>
    </row>
    <row r="407" spans="2:13" x14ac:dyDescent="0.25">
      <c r="B407" s="37"/>
      <c r="C407" s="37"/>
      <c r="D407" s="37"/>
      <c r="E407" s="37"/>
      <c r="F407" s="37"/>
      <c r="G407" s="37"/>
      <c r="H407" s="37"/>
      <c r="I407" s="38"/>
      <c r="J407" s="38"/>
      <c r="K407" s="40"/>
      <c r="L407" s="40"/>
      <c r="M407" s="40"/>
    </row>
    <row r="408" spans="2:13" x14ac:dyDescent="0.25">
      <c r="B408" s="35"/>
      <c r="C408" s="35"/>
      <c r="D408" s="35"/>
      <c r="E408" s="35"/>
      <c r="F408" s="35"/>
      <c r="G408" s="35"/>
      <c r="H408" s="35"/>
      <c r="I408" s="36"/>
      <c r="J408" s="36"/>
      <c r="K408" s="39"/>
      <c r="L408" s="39"/>
      <c r="M408" s="39"/>
    </row>
    <row r="409" spans="2:13" x14ac:dyDescent="0.25">
      <c r="B409" s="37"/>
      <c r="C409" s="37"/>
      <c r="D409" s="37"/>
      <c r="E409" s="37"/>
      <c r="F409" s="37"/>
      <c r="G409" s="37"/>
      <c r="H409" s="37"/>
      <c r="I409" s="38"/>
      <c r="J409" s="38"/>
      <c r="K409" s="40"/>
      <c r="L409" s="40"/>
      <c r="M409" s="40"/>
    </row>
    <row r="410" spans="2:13" x14ac:dyDescent="0.25">
      <c r="B410" s="35"/>
      <c r="C410" s="35"/>
      <c r="D410" s="35"/>
      <c r="E410" s="35"/>
      <c r="F410" s="35"/>
      <c r="G410" s="35"/>
      <c r="H410" s="35"/>
      <c r="I410" s="36"/>
      <c r="J410" s="36"/>
      <c r="K410" s="39"/>
      <c r="L410" s="39"/>
      <c r="M410" s="39"/>
    </row>
    <row r="411" spans="2:13" x14ac:dyDescent="0.25">
      <c r="B411" s="37"/>
      <c r="C411" s="37"/>
      <c r="D411" s="37"/>
      <c r="E411" s="37"/>
      <c r="F411" s="37"/>
      <c r="G411" s="37"/>
      <c r="H411" s="37"/>
      <c r="I411" s="38"/>
      <c r="J411" s="38"/>
      <c r="K411" s="40"/>
      <c r="L411" s="40"/>
      <c r="M411" s="40"/>
    </row>
    <row r="412" spans="2:13" x14ac:dyDescent="0.25">
      <c r="B412" s="35"/>
      <c r="C412" s="35"/>
      <c r="D412" s="35"/>
      <c r="E412" s="35"/>
      <c r="F412" s="35"/>
      <c r="G412" s="35"/>
      <c r="H412" s="35"/>
      <c r="I412" s="36"/>
      <c r="J412" s="36"/>
      <c r="K412" s="39"/>
      <c r="L412" s="39"/>
      <c r="M412" s="39"/>
    </row>
    <row r="413" spans="2:13" x14ac:dyDescent="0.25">
      <c r="B413" s="37"/>
      <c r="C413" s="37"/>
      <c r="D413" s="37"/>
      <c r="E413" s="37"/>
      <c r="F413" s="37"/>
      <c r="G413" s="37"/>
      <c r="H413" s="37"/>
      <c r="I413" s="38"/>
      <c r="J413" s="38"/>
      <c r="K413" s="40"/>
      <c r="L413" s="40"/>
      <c r="M413" s="40"/>
    </row>
    <row r="414" spans="2:13" x14ac:dyDescent="0.25">
      <c r="B414" s="35"/>
      <c r="C414" s="35"/>
      <c r="D414" s="35"/>
      <c r="E414" s="35"/>
      <c r="F414" s="35"/>
      <c r="G414" s="35"/>
      <c r="H414" s="35"/>
      <c r="I414" s="36"/>
      <c r="J414" s="36"/>
      <c r="K414" s="39"/>
      <c r="L414" s="39"/>
      <c r="M414" s="39"/>
    </row>
    <row r="415" spans="2:13" x14ac:dyDescent="0.25">
      <c r="B415" s="37"/>
      <c r="C415" s="37"/>
      <c r="D415" s="37"/>
      <c r="E415" s="37"/>
      <c r="F415" s="37"/>
      <c r="G415" s="37"/>
      <c r="H415" s="37"/>
      <c r="I415" s="38"/>
      <c r="J415" s="38"/>
      <c r="K415" s="40"/>
      <c r="L415" s="40"/>
      <c r="M415" s="40"/>
    </row>
    <row r="416" spans="2:13" x14ac:dyDescent="0.25">
      <c r="B416" s="35"/>
      <c r="C416" s="35"/>
      <c r="D416" s="35"/>
      <c r="E416" s="35"/>
      <c r="F416" s="35"/>
      <c r="G416" s="35"/>
      <c r="H416" s="35"/>
      <c r="I416" s="36"/>
      <c r="J416" s="36"/>
      <c r="K416" s="39"/>
      <c r="L416" s="39"/>
      <c r="M416" s="39"/>
    </row>
    <row r="417" spans="2:13" x14ac:dyDescent="0.25">
      <c r="B417" s="37"/>
      <c r="C417" s="37"/>
      <c r="D417" s="37"/>
      <c r="E417" s="37"/>
      <c r="F417" s="37"/>
      <c r="G417" s="37"/>
      <c r="H417" s="37"/>
      <c r="I417" s="38"/>
      <c r="J417" s="38"/>
      <c r="K417" s="40"/>
      <c r="L417" s="40"/>
      <c r="M417" s="40"/>
    </row>
    <row r="418" spans="2:13" x14ac:dyDescent="0.25">
      <c r="B418" s="35"/>
      <c r="C418" s="35"/>
      <c r="D418" s="35"/>
      <c r="E418" s="35"/>
      <c r="F418" s="35"/>
      <c r="G418" s="35"/>
      <c r="H418" s="35"/>
      <c r="I418" s="36"/>
      <c r="J418" s="36"/>
      <c r="K418" s="39"/>
      <c r="L418" s="39"/>
      <c r="M418" s="39"/>
    </row>
    <row r="419" spans="2:13" x14ac:dyDescent="0.25">
      <c r="B419" s="37"/>
      <c r="C419" s="37"/>
      <c r="D419" s="37"/>
      <c r="E419" s="37"/>
      <c r="F419" s="37"/>
      <c r="G419" s="37"/>
      <c r="H419" s="37"/>
      <c r="I419" s="38"/>
      <c r="J419" s="38"/>
      <c r="K419" s="40"/>
      <c r="L419" s="40"/>
      <c r="M419" s="40"/>
    </row>
    <row r="420" spans="2:13" x14ac:dyDescent="0.25">
      <c r="B420" s="35"/>
      <c r="C420" s="35"/>
      <c r="D420" s="35"/>
      <c r="E420" s="35"/>
      <c r="F420" s="35"/>
      <c r="G420" s="35"/>
      <c r="H420" s="35"/>
      <c r="I420" s="36"/>
      <c r="J420" s="36"/>
      <c r="K420" s="39"/>
      <c r="L420" s="39"/>
      <c r="M420" s="39"/>
    </row>
    <row r="421" spans="2:13" x14ac:dyDescent="0.25">
      <c r="B421" s="37"/>
      <c r="C421" s="37"/>
      <c r="D421" s="37"/>
      <c r="E421" s="37"/>
      <c r="F421" s="37"/>
      <c r="G421" s="37"/>
      <c r="H421" s="37"/>
      <c r="I421" s="38"/>
      <c r="J421" s="38"/>
      <c r="K421" s="40"/>
      <c r="L421" s="40"/>
      <c r="M421" s="40"/>
    </row>
    <row r="422" spans="2:13" x14ac:dyDescent="0.25">
      <c r="B422" s="35"/>
      <c r="C422" s="35"/>
      <c r="D422" s="35"/>
      <c r="E422" s="35"/>
      <c r="F422" s="35"/>
      <c r="G422" s="35"/>
      <c r="H422" s="35"/>
      <c r="I422" s="36"/>
      <c r="J422" s="36"/>
      <c r="K422" s="39"/>
      <c r="L422" s="39"/>
      <c r="M422" s="39"/>
    </row>
    <row r="423" spans="2:13" x14ac:dyDescent="0.25">
      <c r="B423" s="37"/>
      <c r="C423" s="37"/>
      <c r="D423" s="37"/>
      <c r="E423" s="37"/>
      <c r="F423" s="37"/>
      <c r="G423" s="37"/>
      <c r="H423" s="37"/>
      <c r="I423" s="38"/>
      <c r="J423" s="38"/>
      <c r="K423" s="40"/>
      <c r="L423" s="40"/>
      <c r="M423" s="40"/>
    </row>
    <row r="424" spans="2:13" x14ac:dyDescent="0.25">
      <c r="B424" s="35"/>
      <c r="C424" s="35"/>
      <c r="D424" s="35"/>
      <c r="E424" s="35"/>
      <c r="F424" s="35"/>
      <c r="G424" s="35"/>
      <c r="H424" s="35"/>
      <c r="I424" s="36"/>
      <c r="J424" s="36"/>
      <c r="K424" s="39"/>
      <c r="L424" s="39"/>
      <c r="M424" s="39"/>
    </row>
    <row r="425" spans="2:13" x14ac:dyDescent="0.25">
      <c r="B425" s="37"/>
      <c r="C425" s="37"/>
      <c r="D425" s="37"/>
      <c r="E425" s="37"/>
      <c r="F425" s="37"/>
      <c r="G425" s="37"/>
      <c r="H425" s="37"/>
      <c r="I425" s="38"/>
      <c r="J425" s="38"/>
      <c r="K425" s="40"/>
      <c r="L425" s="40"/>
      <c r="M425" s="40"/>
    </row>
    <row r="426" spans="2:13" x14ac:dyDescent="0.25">
      <c r="B426" s="35"/>
      <c r="C426" s="35"/>
      <c r="D426" s="35"/>
      <c r="E426" s="35"/>
      <c r="F426" s="35"/>
      <c r="G426" s="35"/>
      <c r="H426" s="35"/>
      <c r="I426" s="36"/>
      <c r="J426" s="36"/>
      <c r="K426" s="39"/>
      <c r="L426" s="39"/>
      <c r="M426" s="39"/>
    </row>
    <row r="427" spans="2:13" x14ac:dyDescent="0.25">
      <c r="B427" s="37"/>
      <c r="C427" s="37"/>
      <c r="D427" s="37"/>
      <c r="E427" s="37"/>
      <c r="F427" s="37"/>
      <c r="G427" s="37"/>
      <c r="H427" s="37"/>
      <c r="I427" s="38"/>
      <c r="J427" s="38"/>
      <c r="K427" s="40"/>
      <c r="L427" s="40"/>
      <c r="M427" s="40"/>
    </row>
    <row r="428" spans="2:13" x14ac:dyDescent="0.25">
      <c r="B428" s="35"/>
      <c r="C428" s="35"/>
      <c r="D428" s="35"/>
      <c r="E428" s="35"/>
      <c r="F428" s="35"/>
      <c r="G428" s="35"/>
      <c r="H428" s="35"/>
      <c r="I428" s="36"/>
      <c r="J428" s="36"/>
      <c r="K428" s="39"/>
      <c r="L428" s="39"/>
      <c r="M428" s="39"/>
    </row>
    <row r="429" spans="2:13" x14ac:dyDescent="0.25">
      <c r="B429" s="37"/>
      <c r="C429" s="37"/>
      <c r="D429" s="37"/>
      <c r="E429" s="37"/>
      <c r="F429" s="37"/>
      <c r="G429" s="37"/>
      <c r="H429" s="37"/>
      <c r="I429" s="38"/>
      <c r="J429" s="38"/>
      <c r="K429" s="40"/>
      <c r="L429" s="40"/>
      <c r="M429" s="40"/>
    </row>
    <row r="430" spans="2:13" x14ac:dyDescent="0.25">
      <c r="B430" s="35"/>
      <c r="C430" s="35"/>
      <c r="D430" s="35"/>
      <c r="E430" s="35"/>
      <c r="F430" s="35"/>
      <c r="G430" s="35"/>
      <c r="H430" s="35"/>
      <c r="I430" s="36"/>
      <c r="J430" s="36"/>
      <c r="K430" s="39"/>
      <c r="L430" s="39"/>
      <c r="M430" s="39"/>
    </row>
    <row r="431" spans="2:13" x14ac:dyDescent="0.25">
      <c r="B431" s="37"/>
      <c r="C431" s="37"/>
      <c r="D431" s="37"/>
      <c r="E431" s="37"/>
      <c r="F431" s="37"/>
      <c r="G431" s="37"/>
      <c r="H431" s="37"/>
      <c r="I431" s="38"/>
      <c r="J431" s="38"/>
      <c r="K431" s="40"/>
      <c r="L431" s="40"/>
      <c r="M431" s="40"/>
    </row>
    <row r="432" spans="2:13" x14ac:dyDescent="0.25">
      <c r="B432" s="35"/>
      <c r="C432" s="35"/>
      <c r="D432" s="35"/>
      <c r="E432" s="35"/>
      <c r="F432" s="35"/>
      <c r="G432" s="35"/>
      <c r="H432" s="35"/>
      <c r="I432" s="36"/>
      <c r="J432" s="36"/>
      <c r="K432" s="39"/>
      <c r="L432" s="39"/>
      <c r="M432" s="39"/>
    </row>
    <row r="433" spans="2:13" x14ac:dyDescent="0.25">
      <c r="B433" s="37"/>
      <c r="C433" s="37"/>
      <c r="D433" s="37"/>
      <c r="E433" s="37"/>
      <c r="F433" s="37"/>
      <c r="G433" s="37"/>
      <c r="H433" s="37"/>
      <c r="I433" s="38"/>
      <c r="J433" s="38"/>
      <c r="K433" s="40"/>
      <c r="L433" s="40"/>
      <c r="M433" s="40"/>
    </row>
    <row r="434" spans="2:13" x14ac:dyDescent="0.25">
      <c r="B434" s="35"/>
      <c r="C434" s="35"/>
      <c r="D434" s="35"/>
      <c r="E434" s="35"/>
      <c r="F434" s="35"/>
      <c r="G434" s="35"/>
      <c r="H434" s="35"/>
      <c r="I434" s="36"/>
      <c r="J434" s="36"/>
      <c r="K434" s="39"/>
      <c r="L434" s="39"/>
      <c r="M434" s="39"/>
    </row>
    <row r="435" spans="2:13" x14ac:dyDescent="0.25">
      <c r="B435" s="37"/>
      <c r="C435" s="37"/>
      <c r="D435" s="37"/>
      <c r="E435" s="37"/>
      <c r="F435" s="37"/>
      <c r="G435" s="37"/>
      <c r="H435" s="37"/>
      <c r="I435" s="38"/>
      <c r="J435" s="38"/>
      <c r="K435" s="40"/>
      <c r="L435" s="40"/>
      <c r="M435" s="40"/>
    </row>
    <row r="436" spans="2:13" x14ac:dyDescent="0.25">
      <c r="B436" s="35"/>
      <c r="C436" s="35"/>
      <c r="D436" s="35"/>
      <c r="E436" s="35"/>
      <c r="F436" s="35"/>
      <c r="G436" s="35"/>
      <c r="H436" s="35"/>
      <c r="I436" s="36"/>
      <c r="J436" s="36"/>
      <c r="K436" s="39"/>
      <c r="L436" s="39"/>
      <c r="M436" s="39"/>
    </row>
    <row r="437" spans="2:13" x14ac:dyDescent="0.25">
      <c r="B437" s="37"/>
      <c r="C437" s="37"/>
      <c r="D437" s="37"/>
      <c r="E437" s="37"/>
      <c r="F437" s="37"/>
      <c r="G437" s="37"/>
      <c r="H437" s="37"/>
      <c r="I437" s="38"/>
      <c r="J437" s="38"/>
      <c r="K437" s="40"/>
      <c r="L437" s="40"/>
      <c r="M437" s="40"/>
    </row>
    <row r="438" spans="2:13" x14ac:dyDescent="0.25">
      <c r="B438" s="35"/>
      <c r="C438" s="35"/>
      <c r="D438" s="35"/>
      <c r="E438" s="35"/>
      <c r="F438" s="35"/>
      <c r="G438" s="35"/>
      <c r="H438" s="35"/>
      <c r="I438" s="36"/>
      <c r="J438" s="36"/>
      <c r="K438" s="39"/>
      <c r="L438" s="39"/>
      <c r="M438" s="39"/>
    </row>
    <row r="439" spans="2:13" x14ac:dyDescent="0.25">
      <c r="B439" s="37"/>
      <c r="C439" s="37"/>
      <c r="D439" s="37"/>
      <c r="E439" s="37"/>
      <c r="F439" s="37"/>
      <c r="G439" s="37"/>
      <c r="H439" s="37"/>
      <c r="I439" s="38"/>
      <c r="J439" s="38"/>
      <c r="K439" s="40"/>
      <c r="L439" s="40"/>
      <c r="M439" s="40"/>
    </row>
    <row r="440" spans="2:13" x14ac:dyDescent="0.25">
      <c r="B440" s="35"/>
      <c r="C440" s="35"/>
      <c r="D440" s="35"/>
      <c r="E440" s="35"/>
      <c r="F440" s="35"/>
      <c r="G440" s="35"/>
      <c r="H440" s="35"/>
      <c r="I440" s="36"/>
      <c r="J440" s="36"/>
      <c r="K440" s="39"/>
      <c r="L440" s="39"/>
      <c r="M440" s="39"/>
    </row>
    <row r="441" spans="2:13" x14ac:dyDescent="0.25">
      <c r="B441" s="37"/>
      <c r="C441" s="37"/>
      <c r="D441" s="37"/>
      <c r="E441" s="37"/>
      <c r="F441" s="37"/>
      <c r="G441" s="37"/>
      <c r="H441" s="37"/>
      <c r="I441" s="38"/>
      <c r="J441" s="38"/>
      <c r="K441" s="40"/>
      <c r="L441" s="40"/>
      <c r="M441" s="40"/>
    </row>
    <row r="442" spans="2:13" x14ac:dyDescent="0.25">
      <c r="B442" s="35"/>
      <c r="C442" s="35"/>
      <c r="D442" s="35"/>
      <c r="E442" s="35"/>
      <c r="F442" s="35"/>
      <c r="G442" s="35"/>
      <c r="H442" s="35"/>
      <c r="I442" s="36"/>
      <c r="J442" s="36"/>
      <c r="K442" s="39"/>
      <c r="L442" s="39"/>
      <c r="M442" s="39"/>
    </row>
    <row r="443" spans="2:13" x14ac:dyDescent="0.25">
      <c r="B443" s="37"/>
      <c r="C443" s="37"/>
      <c r="D443" s="37"/>
      <c r="E443" s="37"/>
      <c r="F443" s="37"/>
      <c r="G443" s="37"/>
      <c r="H443" s="37"/>
      <c r="I443" s="38"/>
      <c r="J443" s="38"/>
      <c r="K443" s="40"/>
      <c r="L443" s="40"/>
      <c r="M443" s="40"/>
    </row>
    <row r="444" spans="2:13" x14ac:dyDescent="0.25">
      <c r="B444" s="35"/>
      <c r="C444" s="35"/>
      <c r="D444" s="35"/>
      <c r="E444" s="35"/>
      <c r="F444" s="35"/>
      <c r="G444" s="35"/>
      <c r="H444" s="35"/>
      <c r="I444" s="36"/>
      <c r="J444" s="36"/>
      <c r="K444" s="39"/>
      <c r="L444" s="39"/>
      <c r="M444" s="39"/>
    </row>
    <row r="445" spans="2:13" x14ac:dyDescent="0.25">
      <c r="B445" s="37"/>
      <c r="C445" s="37"/>
      <c r="D445" s="37"/>
      <c r="E445" s="37"/>
      <c r="F445" s="37"/>
      <c r="G445" s="37"/>
      <c r="H445" s="37"/>
      <c r="I445" s="38"/>
      <c r="J445" s="38"/>
      <c r="K445" s="40"/>
      <c r="L445" s="40"/>
      <c r="M445" s="40"/>
    </row>
    <row r="446" spans="2:13" x14ac:dyDescent="0.25">
      <c r="B446" s="35"/>
      <c r="C446" s="35"/>
      <c r="D446" s="35"/>
      <c r="E446" s="35"/>
      <c r="F446" s="35"/>
      <c r="G446" s="35"/>
      <c r="H446" s="35"/>
      <c r="I446" s="36"/>
      <c r="J446" s="36"/>
      <c r="K446" s="39"/>
      <c r="L446" s="39"/>
      <c r="M446" s="39"/>
    </row>
    <row r="447" spans="2:13" x14ac:dyDescent="0.25">
      <c r="B447" s="37"/>
      <c r="C447" s="37"/>
      <c r="D447" s="37"/>
      <c r="E447" s="37"/>
      <c r="F447" s="37"/>
      <c r="G447" s="37"/>
      <c r="H447" s="37"/>
      <c r="I447" s="38"/>
      <c r="J447" s="38"/>
      <c r="K447" s="40"/>
      <c r="L447" s="40"/>
      <c r="M447" s="40"/>
    </row>
    <row r="448" spans="2:13" x14ac:dyDescent="0.25">
      <c r="B448" s="35"/>
      <c r="C448" s="35"/>
      <c r="D448" s="35"/>
      <c r="E448" s="35"/>
      <c r="F448" s="35"/>
      <c r="G448" s="35"/>
      <c r="H448" s="35"/>
      <c r="I448" s="36"/>
      <c r="J448" s="36"/>
      <c r="K448" s="39"/>
      <c r="L448" s="39"/>
      <c r="M448" s="39"/>
    </row>
    <row r="449" spans="2:13" x14ac:dyDescent="0.25">
      <c r="B449" s="37"/>
      <c r="C449" s="37"/>
      <c r="D449" s="37"/>
      <c r="E449" s="37"/>
      <c r="F449" s="37"/>
      <c r="G449" s="37"/>
      <c r="H449" s="37"/>
      <c r="I449" s="38"/>
      <c r="J449" s="38"/>
      <c r="K449" s="40"/>
      <c r="L449" s="40"/>
      <c r="M449" s="40"/>
    </row>
    <row r="450" spans="2:13" x14ac:dyDescent="0.25">
      <c r="B450" s="35"/>
      <c r="C450" s="35"/>
      <c r="D450" s="35"/>
      <c r="E450" s="35"/>
      <c r="F450" s="35"/>
      <c r="G450" s="35"/>
      <c r="H450" s="35"/>
      <c r="I450" s="36"/>
      <c r="J450" s="36"/>
      <c r="K450" s="39"/>
      <c r="L450" s="39"/>
      <c r="M450" s="39"/>
    </row>
    <row r="451" spans="2:13" x14ac:dyDescent="0.25">
      <c r="B451" s="37"/>
      <c r="C451" s="37"/>
      <c r="D451" s="37"/>
      <c r="E451" s="37"/>
      <c r="F451" s="37"/>
      <c r="G451" s="37"/>
      <c r="H451" s="37"/>
      <c r="I451" s="38"/>
      <c r="J451" s="38"/>
      <c r="K451" s="40"/>
      <c r="L451" s="40"/>
      <c r="M451" s="40"/>
    </row>
    <row r="452" spans="2:13" x14ac:dyDescent="0.25">
      <c r="B452" s="35"/>
      <c r="C452" s="35"/>
      <c r="D452" s="35"/>
      <c r="E452" s="35"/>
      <c r="F452" s="35"/>
      <c r="G452" s="35"/>
      <c r="H452" s="35"/>
      <c r="I452" s="36"/>
      <c r="J452" s="36"/>
      <c r="K452" s="39"/>
      <c r="L452" s="39"/>
      <c r="M452" s="39"/>
    </row>
    <row r="453" spans="2:13" x14ac:dyDescent="0.25">
      <c r="B453" s="37"/>
      <c r="C453" s="37"/>
      <c r="D453" s="37"/>
      <c r="E453" s="37"/>
      <c r="F453" s="37"/>
      <c r="G453" s="37"/>
      <c r="H453" s="37"/>
      <c r="I453" s="38"/>
      <c r="J453" s="38"/>
      <c r="K453" s="40"/>
      <c r="L453" s="40"/>
      <c r="M453" s="40"/>
    </row>
    <row r="454" spans="2:13" x14ac:dyDescent="0.25">
      <c r="B454" s="35"/>
      <c r="C454" s="35"/>
      <c r="D454" s="35"/>
      <c r="E454" s="35"/>
      <c r="F454" s="35"/>
      <c r="G454" s="35"/>
      <c r="H454" s="35"/>
      <c r="I454" s="36"/>
      <c r="J454" s="36"/>
      <c r="K454" s="39"/>
      <c r="L454" s="39"/>
      <c r="M454" s="39"/>
    </row>
    <row r="455" spans="2:13" x14ac:dyDescent="0.25">
      <c r="B455" s="37"/>
      <c r="C455" s="37"/>
      <c r="D455" s="37"/>
      <c r="E455" s="37"/>
      <c r="F455" s="37"/>
      <c r="G455" s="37"/>
      <c r="H455" s="37"/>
      <c r="I455" s="38"/>
      <c r="J455" s="38"/>
      <c r="K455" s="40"/>
      <c r="L455" s="40"/>
      <c r="M455" s="40"/>
    </row>
    <row r="456" spans="2:13" x14ac:dyDescent="0.25">
      <c r="B456" s="35"/>
      <c r="C456" s="35"/>
      <c r="D456" s="35"/>
      <c r="E456" s="35"/>
      <c r="F456" s="35"/>
      <c r="G456" s="35"/>
      <c r="H456" s="35"/>
      <c r="I456" s="36"/>
      <c r="J456" s="36"/>
      <c r="K456" s="39"/>
      <c r="L456" s="39"/>
      <c r="M456" s="39"/>
    </row>
    <row r="457" spans="2:13" x14ac:dyDescent="0.25">
      <c r="B457" s="37"/>
      <c r="C457" s="37"/>
      <c r="D457" s="37"/>
      <c r="E457" s="37"/>
      <c r="F457" s="37"/>
      <c r="G457" s="37"/>
      <c r="H457" s="37"/>
      <c r="I457" s="38"/>
      <c r="J457" s="38"/>
      <c r="K457" s="40"/>
      <c r="L457" s="40"/>
      <c r="M457" s="40"/>
    </row>
    <row r="458" spans="2:13" x14ac:dyDescent="0.25">
      <c r="B458" s="35"/>
      <c r="C458" s="35"/>
      <c r="D458" s="35"/>
      <c r="E458" s="35"/>
      <c r="F458" s="35"/>
      <c r="G458" s="35"/>
      <c r="H458" s="35"/>
      <c r="I458" s="36"/>
      <c r="J458" s="36"/>
      <c r="K458" s="39"/>
      <c r="L458" s="39"/>
      <c r="M458" s="39"/>
    </row>
    <row r="459" spans="2:13" x14ac:dyDescent="0.25">
      <c r="B459" s="37"/>
      <c r="C459" s="37"/>
      <c r="D459" s="37"/>
      <c r="E459" s="37"/>
      <c r="F459" s="37"/>
      <c r="G459" s="37"/>
      <c r="H459" s="37"/>
      <c r="I459" s="38"/>
      <c r="J459" s="38"/>
      <c r="K459" s="40"/>
      <c r="L459" s="40"/>
      <c r="M459" s="40"/>
    </row>
    <row r="460" spans="2:13" x14ac:dyDescent="0.25">
      <c r="B460" s="35"/>
      <c r="C460" s="35"/>
      <c r="D460" s="35"/>
      <c r="E460" s="35"/>
      <c r="F460" s="35"/>
      <c r="G460" s="35"/>
      <c r="H460" s="35"/>
      <c r="I460" s="36"/>
      <c r="J460" s="36"/>
      <c r="K460" s="39"/>
      <c r="L460" s="39"/>
      <c r="M460" s="39"/>
    </row>
    <row r="461" spans="2:13" x14ac:dyDescent="0.25">
      <c r="B461" s="37"/>
      <c r="C461" s="37"/>
      <c r="D461" s="37"/>
      <c r="E461" s="37"/>
      <c r="F461" s="37"/>
      <c r="G461" s="37"/>
      <c r="H461" s="37"/>
      <c r="I461" s="38"/>
      <c r="J461" s="38"/>
      <c r="K461" s="40"/>
      <c r="L461" s="40"/>
      <c r="M461" s="40"/>
    </row>
    <row r="462" spans="2:13" x14ac:dyDescent="0.25">
      <c r="B462" s="35"/>
      <c r="C462" s="35"/>
      <c r="D462" s="35"/>
      <c r="E462" s="35"/>
      <c r="F462" s="35"/>
      <c r="G462" s="35"/>
      <c r="H462" s="35"/>
      <c r="I462" s="36"/>
      <c r="J462" s="36"/>
      <c r="K462" s="39"/>
      <c r="L462" s="39"/>
      <c r="M462" s="39"/>
    </row>
    <row r="463" spans="2:13" x14ac:dyDescent="0.25">
      <c r="B463" s="37"/>
      <c r="C463" s="37"/>
      <c r="D463" s="37"/>
      <c r="E463" s="37"/>
      <c r="F463" s="37"/>
      <c r="G463" s="37"/>
      <c r="H463" s="37"/>
      <c r="I463" s="38"/>
      <c r="J463" s="38"/>
      <c r="K463" s="40"/>
      <c r="L463" s="40"/>
      <c r="M463" s="40"/>
    </row>
    <row r="464" spans="2:13" x14ac:dyDescent="0.25">
      <c r="B464" s="35"/>
      <c r="C464" s="35"/>
      <c r="D464" s="35"/>
      <c r="E464" s="35"/>
      <c r="F464" s="35"/>
      <c r="G464" s="35"/>
      <c r="H464" s="35"/>
      <c r="I464" s="36"/>
      <c r="J464" s="36"/>
      <c r="K464" s="39"/>
      <c r="L464" s="39"/>
      <c r="M464" s="39"/>
    </row>
    <row r="465" spans="2:13" x14ac:dyDescent="0.25">
      <c r="B465" s="37"/>
      <c r="C465" s="37"/>
      <c r="D465" s="37"/>
      <c r="E465" s="37"/>
      <c r="F465" s="37"/>
      <c r="G465" s="37"/>
      <c r="H465" s="37"/>
      <c r="I465" s="38"/>
      <c r="J465" s="38"/>
      <c r="K465" s="40"/>
      <c r="L465" s="40"/>
      <c r="M465" s="40"/>
    </row>
    <row r="466" spans="2:13" x14ac:dyDescent="0.25">
      <c r="B466" s="35"/>
      <c r="C466" s="35"/>
      <c r="D466" s="35"/>
      <c r="E466" s="35"/>
      <c r="F466" s="35"/>
      <c r="G466" s="35"/>
      <c r="H466" s="35"/>
      <c r="I466" s="36"/>
      <c r="J466" s="36"/>
      <c r="K466" s="39"/>
      <c r="L466" s="39"/>
      <c r="M466" s="39"/>
    </row>
    <row r="467" spans="2:13" x14ac:dyDescent="0.25">
      <c r="B467" s="37"/>
      <c r="C467" s="37"/>
      <c r="D467" s="37"/>
      <c r="E467" s="37"/>
      <c r="F467" s="37"/>
      <c r="G467" s="37"/>
      <c r="H467" s="37"/>
      <c r="I467" s="38"/>
      <c r="J467" s="38"/>
      <c r="K467" s="40"/>
      <c r="L467" s="40"/>
      <c r="M467" s="40"/>
    </row>
    <row r="468" spans="2:13" x14ac:dyDescent="0.25">
      <c r="B468" s="35"/>
      <c r="C468" s="35"/>
      <c r="D468" s="35"/>
      <c r="E468" s="35"/>
      <c r="F468" s="35"/>
      <c r="G468" s="35"/>
      <c r="H468" s="35"/>
      <c r="I468" s="36"/>
      <c r="J468" s="36"/>
      <c r="K468" s="39"/>
      <c r="L468" s="39"/>
      <c r="M468" s="39"/>
    </row>
    <row r="469" spans="2:13" x14ac:dyDescent="0.25">
      <c r="B469" s="37"/>
      <c r="C469" s="37"/>
      <c r="D469" s="37"/>
      <c r="E469" s="37"/>
      <c r="F469" s="37"/>
      <c r="G469" s="37"/>
      <c r="H469" s="37"/>
      <c r="I469" s="38"/>
      <c r="J469" s="38"/>
      <c r="K469" s="40"/>
      <c r="L469" s="40"/>
      <c r="M469" s="40"/>
    </row>
    <row r="470" spans="2:13" x14ac:dyDescent="0.25">
      <c r="B470" s="35"/>
      <c r="C470" s="35"/>
      <c r="D470" s="35"/>
      <c r="E470" s="35"/>
      <c r="F470" s="35"/>
      <c r="G470" s="35"/>
      <c r="H470" s="35"/>
      <c r="I470" s="36"/>
      <c r="J470" s="36"/>
      <c r="K470" s="39"/>
      <c r="L470" s="39"/>
      <c r="M470" s="39"/>
    </row>
    <row r="471" spans="2:13" x14ac:dyDescent="0.25">
      <c r="B471" s="37"/>
      <c r="C471" s="37"/>
      <c r="D471" s="37"/>
      <c r="E471" s="37"/>
      <c r="F471" s="37"/>
      <c r="G471" s="37"/>
      <c r="H471" s="37"/>
      <c r="I471" s="38"/>
      <c r="J471" s="38"/>
      <c r="K471" s="40"/>
      <c r="L471" s="40"/>
      <c r="M471" s="40"/>
    </row>
    <row r="472" spans="2:13" x14ac:dyDescent="0.25">
      <c r="B472" s="35"/>
      <c r="C472" s="35"/>
      <c r="D472" s="35"/>
      <c r="E472" s="35"/>
      <c r="F472" s="35"/>
      <c r="G472" s="35"/>
      <c r="H472" s="35"/>
      <c r="I472" s="36"/>
      <c r="J472" s="36"/>
      <c r="K472" s="39"/>
      <c r="L472" s="39"/>
      <c r="M472" s="39"/>
    </row>
    <row r="473" spans="2:13" x14ac:dyDescent="0.25">
      <c r="B473" s="37"/>
      <c r="C473" s="37"/>
      <c r="D473" s="37"/>
      <c r="E473" s="37"/>
      <c r="F473" s="37"/>
      <c r="G473" s="37"/>
      <c r="H473" s="37"/>
      <c r="I473" s="38"/>
      <c r="J473" s="38"/>
      <c r="K473" s="40"/>
      <c r="L473" s="40"/>
      <c r="M473" s="40"/>
    </row>
    <row r="474" spans="2:13" x14ac:dyDescent="0.25">
      <c r="B474" s="35"/>
      <c r="C474" s="35"/>
      <c r="D474" s="35"/>
      <c r="E474" s="35"/>
      <c r="F474" s="35"/>
      <c r="G474" s="35"/>
      <c r="H474" s="35"/>
      <c r="I474" s="36"/>
      <c r="J474" s="36"/>
      <c r="K474" s="39"/>
      <c r="L474" s="39"/>
      <c r="M474" s="39"/>
    </row>
    <row r="475" spans="2:13" x14ac:dyDescent="0.25">
      <c r="B475" s="37"/>
      <c r="C475" s="37"/>
      <c r="D475" s="37"/>
      <c r="E475" s="37"/>
      <c r="F475" s="37"/>
      <c r="G475" s="37"/>
      <c r="H475" s="37"/>
      <c r="I475" s="38"/>
      <c r="J475" s="38"/>
      <c r="K475" s="40"/>
      <c r="L475" s="40"/>
      <c r="M475" s="40"/>
    </row>
    <row r="476" spans="2:13" x14ac:dyDescent="0.25">
      <c r="B476" s="35"/>
      <c r="C476" s="35"/>
      <c r="D476" s="35"/>
      <c r="E476" s="35"/>
      <c r="F476" s="35"/>
      <c r="G476" s="35"/>
      <c r="H476" s="35"/>
      <c r="I476" s="36"/>
      <c r="J476" s="36"/>
      <c r="K476" s="39"/>
      <c r="L476" s="39"/>
      <c r="M476" s="39"/>
    </row>
    <row r="477" spans="2:13" x14ac:dyDescent="0.25">
      <c r="B477" s="37"/>
      <c r="C477" s="37"/>
      <c r="D477" s="37"/>
      <c r="E477" s="37"/>
      <c r="F477" s="37"/>
      <c r="G477" s="37"/>
      <c r="H477" s="37"/>
      <c r="I477" s="38"/>
      <c r="J477" s="38"/>
      <c r="K477" s="40"/>
      <c r="L477" s="40"/>
      <c r="M477" s="40"/>
    </row>
    <row r="478" spans="2:13" x14ac:dyDescent="0.25">
      <c r="B478" s="35"/>
      <c r="C478" s="35"/>
      <c r="D478" s="35"/>
      <c r="E478" s="35"/>
      <c r="F478" s="35"/>
      <c r="G478" s="35"/>
      <c r="H478" s="35"/>
      <c r="I478" s="36"/>
      <c r="J478" s="36"/>
      <c r="K478" s="39"/>
      <c r="L478" s="39"/>
      <c r="M478" s="39"/>
    </row>
    <row r="479" spans="2:13" x14ac:dyDescent="0.25">
      <c r="B479" s="37"/>
      <c r="C479" s="37"/>
      <c r="D479" s="37"/>
      <c r="E479" s="37"/>
      <c r="F479" s="37"/>
      <c r="G479" s="37"/>
      <c r="H479" s="37"/>
      <c r="I479" s="38"/>
      <c r="J479" s="38"/>
      <c r="K479" s="40"/>
      <c r="L479" s="40"/>
      <c r="M479" s="40"/>
    </row>
    <row r="480" spans="2:13" x14ac:dyDescent="0.25">
      <c r="B480" s="35"/>
      <c r="C480" s="35"/>
      <c r="D480" s="35"/>
      <c r="E480" s="35"/>
      <c r="F480" s="35"/>
      <c r="G480" s="35"/>
      <c r="H480" s="35"/>
      <c r="I480" s="36"/>
      <c r="J480" s="36"/>
      <c r="K480" s="39"/>
      <c r="L480" s="39"/>
      <c r="M480" s="39"/>
    </row>
    <row r="481" spans="2:13" x14ac:dyDescent="0.25">
      <c r="B481" s="37"/>
      <c r="C481" s="37"/>
      <c r="D481" s="37"/>
      <c r="E481" s="37"/>
      <c r="F481" s="37"/>
      <c r="G481" s="37"/>
      <c r="H481" s="37"/>
      <c r="I481" s="38"/>
      <c r="J481" s="38"/>
      <c r="K481" s="40"/>
      <c r="L481" s="40"/>
      <c r="M481" s="40"/>
    </row>
    <row r="482" spans="2:13" x14ac:dyDescent="0.25">
      <c r="B482" s="35"/>
      <c r="C482" s="35"/>
      <c r="D482" s="35"/>
      <c r="E482" s="35"/>
      <c r="F482" s="35"/>
      <c r="G482" s="35"/>
      <c r="H482" s="35"/>
      <c r="I482" s="36"/>
      <c r="J482" s="36"/>
      <c r="K482" s="39"/>
      <c r="L482" s="39"/>
      <c r="M482" s="39"/>
    </row>
    <row r="483" spans="2:13" x14ac:dyDescent="0.25">
      <c r="B483" s="37"/>
      <c r="C483" s="37"/>
      <c r="D483" s="37"/>
      <c r="E483" s="37"/>
      <c r="F483" s="37"/>
      <c r="G483" s="37"/>
      <c r="H483" s="37"/>
      <c r="I483" s="38"/>
      <c r="J483" s="38"/>
      <c r="K483" s="40"/>
      <c r="L483" s="40"/>
      <c r="M483" s="40"/>
    </row>
    <row r="484" spans="2:13" x14ac:dyDescent="0.25">
      <c r="B484" s="35"/>
      <c r="C484" s="35"/>
      <c r="D484" s="35"/>
      <c r="E484" s="35"/>
      <c r="F484" s="35"/>
      <c r="G484" s="35"/>
      <c r="H484" s="35"/>
      <c r="I484" s="36"/>
      <c r="J484" s="36"/>
      <c r="K484" s="39"/>
      <c r="L484" s="39"/>
      <c r="M484" s="39"/>
    </row>
    <row r="485" spans="2:13" x14ac:dyDescent="0.25">
      <c r="B485" s="37"/>
      <c r="C485" s="37"/>
      <c r="D485" s="37"/>
      <c r="E485" s="37"/>
      <c r="F485" s="37"/>
      <c r="G485" s="37"/>
      <c r="H485" s="37"/>
      <c r="I485" s="38"/>
      <c r="J485" s="38"/>
      <c r="K485" s="40"/>
      <c r="L485" s="40"/>
      <c r="M485" s="40"/>
    </row>
    <row r="486" spans="2:13" x14ac:dyDescent="0.25">
      <c r="B486" s="35"/>
      <c r="C486" s="35"/>
      <c r="D486" s="35"/>
      <c r="E486" s="35"/>
      <c r="F486" s="35"/>
      <c r="G486" s="35"/>
      <c r="H486" s="35"/>
      <c r="I486" s="36"/>
      <c r="J486" s="36"/>
      <c r="K486" s="39"/>
      <c r="L486" s="39"/>
      <c r="M486" s="39"/>
    </row>
    <row r="487" spans="2:13" x14ac:dyDescent="0.25">
      <c r="B487" s="37"/>
      <c r="C487" s="37"/>
      <c r="D487" s="37"/>
      <c r="E487" s="37"/>
      <c r="F487" s="37"/>
      <c r="G487" s="37"/>
      <c r="H487" s="37"/>
      <c r="I487" s="38"/>
      <c r="J487" s="38"/>
      <c r="K487" s="40"/>
      <c r="L487" s="40"/>
      <c r="M487" s="40"/>
    </row>
    <row r="488" spans="2:13" x14ac:dyDescent="0.25">
      <c r="B488" s="35"/>
      <c r="C488" s="35"/>
      <c r="D488" s="35"/>
      <c r="E488" s="35"/>
      <c r="F488" s="35"/>
      <c r="G488" s="35"/>
      <c r="H488" s="35"/>
      <c r="I488" s="36"/>
      <c r="J488" s="36"/>
      <c r="K488" s="39"/>
      <c r="L488" s="39"/>
      <c r="M488" s="39"/>
    </row>
    <row r="489" spans="2:13" x14ac:dyDescent="0.25">
      <c r="B489" s="37"/>
      <c r="C489" s="37"/>
      <c r="D489" s="37"/>
      <c r="E489" s="37"/>
      <c r="F489" s="37"/>
      <c r="G489" s="37"/>
      <c r="H489" s="37"/>
      <c r="I489" s="38"/>
      <c r="J489" s="38"/>
      <c r="K489" s="40"/>
      <c r="L489" s="40"/>
      <c r="M489" s="40"/>
    </row>
    <row r="490" spans="2:13" x14ac:dyDescent="0.25">
      <c r="B490" s="35"/>
      <c r="C490" s="35"/>
      <c r="D490" s="35"/>
      <c r="E490" s="35"/>
      <c r="F490" s="35"/>
      <c r="G490" s="35"/>
      <c r="H490" s="35"/>
      <c r="I490" s="36"/>
      <c r="J490" s="36"/>
      <c r="K490" s="39"/>
      <c r="L490" s="39"/>
      <c r="M490" s="39"/>
    </row>
    <row r="491" spans="2:13" x14ac:dyDescent="0.25">
      <c r="B491" s="37"/>
      <c r="C491" s="37"/>
      <c r="D491" s="37"/>
      <c r="E491" s="37"/>
      <c r="F491" s="37"/>
      <c r="G491" s="37"/>
      <c r="H491" s="37"/>
      <c r="I491" s="38"/>
      <c r="J491" s="38"/>
      <c r="K491" s="40"/>
      <c r="L491" s="40"/>
      <c r="M491" s="40"/>
    </row>
    <row r="492" spans="2:13" x14ac:dyDescent="0.25">
      <c r="B492" s="35"/>
      <c r="C492" s="35"/>
      <c r="D492" s="35"/>
      <c r="E492" s="35"/>
      <c r="F492" s="35"/>
      <c r="G492" s="35"/>
      <c r="H492" s="35"/>
      <c r="I492" s="36"/>
      <c r="J492" s="36"/>
      <c r="K492" s="39"/>
      <c r="L492" s="39"/>
      <c r="M492" s="39"/>
    </row>
    <row r="493" spans="2:13" x14ac:dyDescent="0.25">
      <c r="B493" s="37"/>
      <c r="C493" s="37"/>
      <c r="D493" s="37"/>
      <c r="E493" s="37"/>
      <c r="F493" s="37"/>
      <c r="G493" s="37"/>
      <c r="H493" s="37"/>
      <c r="I493" s="38"/>
      <c r="J493" s="38"/>
      <c r="K493" s="40"/>
      <c r="L493" s="40"/>
      <c r="M493" s="40"/>
    </row>
    <row r="494" spans="2:13" x14ac:dyDescent="0.25">
      <c r="B494" s="35"/>
      <c r="C494" s="35"/>
      <c r="D494" s="35"/>
      <c r="E494" s="35"/>
      <c r="F494" s="35"/>
      <c r="G494" s="35"/>
      <c r="H494" s="35"/>
      <c r="I494" s="36"/>
      <c r="J494" s="36"/>
      <c r="K494" s="39"/>
      <c r="L494" s="39"/>
      <c r="M494" s="39"/>
    </row>
    <row r="495" spans="2:13" x14ac:dyDescent="0.25">
      <c r="B495" s="37"/>
      <c r="C495" s="37"/>
      <c r="D495" s="37"/>
      <c r="E495" s="37"/>
      <c r="F495" s="37"/>
      <c r="G495" s="37"/>
      <c r="H495" s="37"/>
      <c r="I495" s="38"/>
      <c r="J495" s="38"/>
      <c r="K495" s="40"/>
      <c r="L495" s="40"/>
      <c r="M495" s="40"/>
    </row>
    <row r="496" spans="2:13" x14ac:dyDescent="0.25">
      <c r="B496" s="35"/>
      <c r="C496" s="35"/>
      <c r="D496" s="35"/>
      <c r="E496" s="35"/>
      <c r="F496" s="35"/>
      <c r="G496" s="35"/>
      <c r="H496" s="35"/>
      <c r="I496" s="36"/>
      <c r="J496" s="36"/>
      <c r="K496" s="39"/>
      <c r="L496" s="39"/>
      <c r="M496" s="39"/>
    </row>
    <row r="497" spans="2:13" x14ac:dyDescent="0.25">
      <c r="B497" s="37"/>
      <c r="C497" s="37"/>
      <c r="D497" s="37"/>
      <c r="E497" s="37"/>
      <c r="F497" s="37"/>
      <c r="G497" s="37"/>
      <c r="H497" s="37"/>
      <c r="I497" s="38"/>
      <c r="J497" s="38"/>
      <c r="K497" s="40"/>
      <c r="L497" s="40"/>
      <c r="M497" s="40"/>
    </row>
    <row r="498" spans="2:13" x14ac:dyDescent="0.25">
      <c r="B498" s="35"/>
      <c r="C498" s="35"/>
      <c r="D498" s="35"/>
      <c r="E498" s="35"/>
      <c r="F498" s="35"/>
      <c r="G498" s="35"/>
      <c r="H498" s="35"/>
      <c r="I498" s="36"/>
      <c r="J498" s="36"/>
      <c r="K498" s="39"/>
      <c r="L498" s="39"/>
      <c r="M498" s="39"/>
    </row>
    <row r="499" spans="2:13" x14ac:dyDescent="0.25">
      <c r="B499" s="37"/>
      <c r="C499" s="37"/>
      <c r="D499" s="37"/>
      <c r="E499" s="37"/>
      <c r="F499" s="37"/>
      <c r="G499" s="37"/>
      <c r="H499" s="37"/>
      <c r="I499" s="38"/>
      <c r="J499" s="38"/>
      <c r="K499" s="40"/>
      <c r="L499" s="40"/>
      <c r="M499" s="40"/>
    </row>
    <row r="500" spans="2:13" x14ac:dyDescent="0.25">
      <c r="B500" s="35"/>
      <c r="C500" s="35"/>
      <c r="D500" s="35"/>
      <c r="E500" s="35"/>
      <c r="F500" s="35"/>
      <c r="G500" s="35"/>
      <c r="H500" s="35"/>
      <c r="I500" s="36"/>
      <c r="J500" s="36"/>
      <c r="K500" s="39"/>
      <c r="L500" s="39"/>
      <c r="M500" s="39"/>
    </row>
    <row r="501" spans="2:13" x14ac:dyDescent="0.25">
      <c r="B501" s="37"/>
      <c r="C501" s="37"/>
      <c r="D501" s="37"/>
      <c r="E501" s="37"/>
      <c r="F501" s="37"/>
      <c r="G501" s="37"/>
      <c r="H501" s="37"/>
      <c r="I501" s="38"/>
      <c r="J501" s="38"/>
      <c r="K501" s="40"/>
      <c r="L501" s="40"/>
      <c r="M501" s="40"/>
    </row>
    <row r="502" spans="2:13" x14ac:dyDescent="0.25">
      <c r="B502" s="35"/>
      <c r="C502" s="35"/>
      <c r="D502" s="35"/>
      <c r="E502" s="35"/>
      <c r="F502" s="35"/>
      <c r="G502" s="35"/>
      <c r="H502" s="35"/>
      <c r="I502" s="36"/>
      <c r="J502" s="36"/>
      <c r="K502" s="39"/>
      <c r="L502" s="39"/>
      <c r="M502" s="39"/>
    </row>
    <row r="503" spans="2:13" x14ac:dyDescent="0.25">
      <c r="B503" s="37"/>
      <c r="C503" s="37"/>
      <c r="D503" s="37"/>
      <c r="E503" s="37"/>
      <c r="F503" s="37"/>
      <c r="G503" s="37"/>
      <c r="H503" s="37"/>
      <c r="I503" s="38"/>
      <c r="J503" s="38"/>
      <c r="K503" s="40"/>
      <c r="L503" s="40"/>
      <c r="M503" s="40"/>
    </row>
    <row r="504" spans="2:13" x14ac:dyDescent="0.25">
      <c r="B504" s="35"/>
      <c r="C504" s="35"/>
      <c r="D504" s="35"/>
      <c r="E504" s="35"/>
      <c r="F504" s="35"/>
      <c r="G504" s="35"/>
      <c r="H504" s="35"/>
      <c r="I504" s="36"/>
      <c r="J504" s="36"/>
      <c r="K504" s="39"/>
      <c r="L504" s="39"/>
      <c r="M504" s="39"/>
    </row>
    <row r="505" spans="2:13" x14ac:dyDescent="0.25">
      <c r="B505" s="37"/>
      <c r="C505" s="37"/>
      <c r="D505" s="37"/>
      <c r="E505" s="37"/>
      <c r="F505" s="37"/>
      <c r="G505" s="37"/>
      <c r="H505" s="37"/>
      <c r="I505" s="38"/>
      <c r="J505" s="38"/>
      <c r="K505" s="40"/>
      <c r="L505" s="40"/>
      <c r="M505" s="40"/>
    </row>
    <row r="506" spans="2:13" x14ac:dyDescent="0.25">
      <c r="B506" s="35"/>
      <c r="C506" s="35"/>
      <c r="D506" s="35"/>
      <c r="E506" s="35"/>
      <c r="F506" s="35"/>
      <c r="G506" s="35"/>
      <c r="H506" s="35"/>
      <c r="I506" s="36"/>
      <c r="J506" s="36"/>
      <c r="K506" s="39"/>
      <c r="L506" s="39"/>
      <c r="M506" s="39"/>
    </row>
    <row r="507" spans="2:13" x14ac:dyDescent="0.25">
      <c r="B507" s="37"/>
      <c r="C507" s="37"/>
      <c r="D507" s="37"/>
      <c r="E507" s="37"/>
      <c r="F507" s="37"/>
      <c r="G507" s="37"/>
      <c r="H507" s="37"/>
      <c r="I507" s="38"/>
      <c r="J507" s="38"/>
      <c r="K507" s="40"/>
      <c r="L507" s="40"/>
      <c r="M507" s="40"/>
    </row>
    <row r="508" spans="2:13" x14ac:dyDescent="0.25">
      <c r="B508" s="35"/>
      <c r="C508" s="35"/>
      <c r="D508" s="35"/>
      <c r="E508" s="35"/>
      <c r="F508" s="35"/>
      <c r="G508" s="35"/>
      <c r="H508" s="35"/>
      <c r="I508" s="36"/>
      <c r="J508" s="36"/>
      <c r="K508" s="39"/>
      <c r="L508" s="39"/>
      <c r="M508" s="39"/>
    </row>
    <row r="509" spans="2:13" x14ac:dyDescent="0.25">
      <c r="B509" s="37"/>
      <c r="C509" s="37"/>
      <c r="D509" s="37"/>
      <c r="E509" s="37"/>
      <c r="F509" s="37"/>
      <c r="G509" s="37"/>
      <c r="H509" s="37"/>
      <c r="I509" s="38"/>
      <c r="J509" s="38"/>
      <c r="K509" s="40"/>
      <c r="L509" s="40"/>
      <c r="M509" s="40"/>
    </row>
    <row r="510" spans="2:13" x14ac:dyDescent="0.25">
      <c r="B510" s="35"/>
      <c r="C510" s="35"/>
      <c r="D510" s="35"/>
      <c r="E510" s="35"/>
      <c r="F510" s="35"/>
      <c r="G510" s="35"/>
      <c r="H510" s="35"/>
      <c r="I510" s="36"/>
      <c r="J510" s="36"/>
      <c r="K510" s="39"/>
      <c r="L510" s="39"/>
      <c r="M510" s="39"/>
    </row>
    <row r="511" spans="2:13" x14ac:dyDescent="0.25">
      <c r="B511" s="37"/>
      <c r="C511" s="37"/>
      <c r="D511" s="37"/>
      <c r="E511" s="37"/>
      <c r="F511" s="37"/>
      <c r="G511" s="37"/>
      <c r="H511" s="37"/>
      <c r="I511" s="38"/>
      <c r="J511" s="38"/>
      <c r="K511" s="40"/>
      <c r="L511" s="40"/>
      <c r="M511" s="40"/>
    </row>
    <row r="512" spans="2:13" x14ac:dyDescent="0.25">
      <c r="B512" s="35"/>
      <c r="C512" s="35"/>
      <c r="D512" s="35"/>
      <c r="E512" s="35"/>
      <c r="F512" s="35"/>
      <c r="G512" s="35"/>
      <c r="H512" s="35"/>
      <c r="I512" s="36"/>
      <c r="J512" s="36"/>
      <c r="K512" s="39"/>
      <c r="L512" s="39"/>
      <c r="M512" s="39"/>
    </row>
    <row r="513" spans="2:13" x14ac:dyDescent="0.25">
      <c r="B513" s="37"/>
      <c r="C513" s="37"/>
      <c r="D513" s="37"/>
      <c r="E513" s="37"/>
      <c r="F513" s="37"/>
      <c r="G513" s="37"/>
      <c r="H513" s="37"/>
      <c r="I513" s="38"/>
      <c r="J513" s="38"/>
      <c r="K513" s="40"/>
      <c r="L513" s="40"/>
      <c r="M513" s="40"/>
    </row>
    <row r="514" spans="2:13" x14ac:dyDescent="0.25">
      <c r="B514" s="35"/>
      <c r="C514" s="35"/>
      <c r="D514" s="35"/>
      <c r="E514" s="35"/>
      <c r="F514" s="35"/>
      <c r="G514" s="35"/>
      <c r="H514" s="35"/>
      <c r="I514" s="36"/>
      <c r="J514" s="36"/>
      <c r="K514" s="39"/>
      <c r="L514" s="39"/>
      <c r="M514" s="39"/>
    </row>
    <row r="515" spans="2:13" x14ac:dyDescent="0.25">
      <c r="B515" s="37"/>
      <c r="C515" s="37"/>
      <c r="D515" s="37"/>
      <c r="E515" s="37"/>
      <c r="F515" s="37"/>
      <c r="G515" s="37"/>
      <c r="H515" s="37"/>
      <c r="I515" s="38"/>
      <c r="J515" s="38"/>
      <c r="K515" s="40"/>
      <c r="L515" s="40"/>
      <c r="M515" s="40"/>
    </row>
    <row r="516" spans="2:13" x14ac:dyDescent="0.25">
      <c r="B516" s="35"/>
      <c r="C516" s="35"/>
      <c r="D516" s="35"/>
      <c r="E516" s="35"/>
      <c r="F516" s="35"/>
      <c r="G516" s="35"/>
      <c r="H516" s="35"/>
      <c r="I516" s="36"/>
      <c r="J516" s="36"/>
      <c r="K516" s="39"/>
      <c r="L516" s="39"/>
      <c r="M516" s="39"/>
    </row>
    <row r="517" spans="2:13" x14ac:dyDescent="0.25">
      <c r="B517" s="37"/>
      <c r="C517" s="37"/>
      <c r="D517" s="37"/>
      <c r="E517" s="37"/>
      <c r="F517" s="37"/>
      <c r="G517" s="37"/>
      <c r="H517" s="37"/>
      <c r="I517" s="38"/>
      <c r="J517" s="38"/>
      <c r="K517" s="40"/>
      <c r="L517" s="40"/>
      <c r="M517" s="40"/>
    </row>
    <row r="518" spans="2:13" x14ac:dyDescent="0.25">
      <c r="B518" s="35"/>
      <c r="C518" s="35"/>
      <c r="D518" s="35"/>
      <c r="E518" s="35"/>
      <c r="F518" s="35"/>
      <c r="G518" s="35"/>
      <c r="H518" s="35"/>
      <c r="I518" s="36"/>
      <c r="J518" s="36"/>
      <c r="K518" s="39"/>
      <c r="L518" s="39"/>
      <c r="M518" s="39"/>
    </row>
    <row r="519" spans="2:13" x14ac:dyDescent="0.25">
      <c r="B519" s="37"/>
      <c r="C519" s="37"/>
      <c r="D519" s="37"/>
      <c r="E519" s="37"/>
      <c r="F519" s="37"/>
      <c r="G519" s="37"/>
      <c r="H519" s="37"/>
      <c r="I519" s="38"/>
      <c r="J519" s="38"/>
      <c r="K519" s="40"/>
      <c r="L519" s="40"/>
      <c r="M519" s="40"/>
    </row>
    <row r="520" spans="2:13" x14ac:dyDescent="0.25">
      <c r="B520" s="35"/>
      <c r="C520" s="35"/>
      <c r="D520" s="35"/>
      <c r="E520" s="35"/>
      <c r="F520" s="35"/>
      <c r="G520" s="35"/>
      <c r="H520" s="35"/>
      <c r="I520" s="36"/>
      <c r="J520" s="36"/>
      <c r="K520" s="39"/>
      <c r="L520" s="39"/>
      <c r="M520" s="39"/>
    </row>
    <row r="521" spans="2:13" x14ac:dyDescent="0.25">
      <c r="B521" s="37"/>
      <c r="C521" s="37"/>
      <c r="D521" s="37"/>
      <c r="E521" s="37"/>
      <c r="F521" s="37"/>
      <c r="G521" s="37"/>
      <c r="H521" s="37"/>
      <c r="I521" s="38"/>
      <c r="J521" s="38"/>
      <c r="K521" s="40"/>
      <c r="L521" s="40"/>
      <c r="M521" s="40"/>
    </row>
    <row r="522" spans="2:13" x14ac:dyDescent="0.25">
      <c r="B522" s="35"/>
      <c r="C522" s="35"/>
      <c r="D522" s="35"/>
      <c r="E522" s="35"/>
      <c r="F522" s="35"/>
      <c r="G522" s="35"/>
      <c r="H522" s="35"/>
      <c r="I522" s="36"/>
      <c r="J522" s="36"/>
      <c r="K522" s="39"/>
      <c r="L522" s="39"/>
      <c r="M522" s="39"/>
    </row>
    <row r="523" spans="2:13" x14ac:dyDescent="0.25">
      <c r="B523" s="37"/>
      <c r="C523" s="37"/>
      <c r="D523" s="37"/>
      <c r="E523" s="37"/>
      <c r="F523" s="37"/>
      <c r="G523" s="37"/>
      <c r="H523" s="37"/>
      <c r="I523" s="38"/>
      <c r="J523" s="38"/>
      <c r="K523" s="40"/>
      <c r="L523" s="40"/>
      <c r="M523" s="40"/>
    </row>
    <row r="524" spans="2:13" x14ac:dyDescent="0.25">
      <c r="B524" s="35"/>
      <c r="C524" s="35"/>
      <c r="D524" s="35"/>
      <c r="E524" s="35"/>
      <c r="F524" s="35"/>
      <c r="G524" s="35"/>
      <c r="H524" s="35"/>
      <c r="I524" s="36"/>
      <c r="J524" s="36"/>
      <c r="K524" s="39"/>
      <c r="L524" s="39"/>
      <c r="M524" s="39"/>
    </row>
    <row r="525" spans="2:13" x14ac:dyDescent="0.25">
      <c r="B525" s="37"/>
      <c r="C525" s="37"/>
      <c r="D525" s="37"/>
      <c r="E525" s="37"/>
      <c r="F525" s="37"/>
      <c r="G525" s="37"/>
      <c r="H525" s="37"/>
      <c r="I525" s="38"/>
      <c r="J525" s="38"/>
      <c r="K525" s="40"/>
      <c r="L525" s="40"/>
      <c r="M525" s="40"/>
    </row>
    <row r="526" spans="2:13" x14ac:dyDescent="0.25">
      <c r="B526" s="35"/>
      <c r="C526" s="35"/>
      <c r="D526" s="35"/>
      <c r="E526" s="35"/>
      <c r="F526" s="35"/>
      <c r="G526" s="35"/>
      <c r="H526" s="35"/>
      <c r="I526" s="36"/>
      <c r="J526" s="36"/>
      <c r="K526" s="39"/>
      <c r="L526" s="39"/>
      <c r="M526" s="39"/>
    </row>
    <row r="527" spans="2:13" x14ac:dyDescent="0.25">
      <c r="B527" s="37"/>
      <c r="C527" s="37"/>
      <c r="D527" s="37"/>
      <c r="E527" s="37"/>
      <c r="F527" s="37"/>
      <c r="G527" s="37"/>
      <c r="H527" s="37"/>
      <c r="I527" s="38"/>
      <c r="J527" s="38"/>
      <c r="K527" s="40"/>
      <c r="L527" s="40"/>
      <c r="M527" s="40"/>
    </row>
    <row r="528" spans="2:13" x14ac:dyDescent="0.25">
      <c r="B528" s="35"/>
      <c r="C528" s="35"/>
      <c r="D528" s="35"/>
      <c r="E528" s="35"/>
      <c r="F528" s="35"/>
      <c r="G528" s="35"/>
      <c r="H528" s="35"/>
      <c r="I528" s="36"/>
      <c r="J528" s="36"/>
      <c r="K528" s="39"/>
      <c r="L528" s="39"/>
      <c r="M528" s="39"/>
    </row>
    <row r="529" spans="2:13" x14ac:dyDescent="0.25">
      <c r="B529" s="37"/>
      <c r="C529" s="37"/>
      <c r="D529" s="37"/>
      <c r="E529" s="37"/>
      <c r="F529" s="37"/>
      <c r="G529" s="37"/>
      <c r="H529" s="37"/>
      <c r="I529" s="38"/>
      <c r="J529" s="38"/>
      <c r="K529" s="40"/>
      <c r="L529" s="40"/>
      <c r="M529" s="40"/>
    </row>
    <row r="530" spans="2:13" x14ac:dyDescent="0.25">
      <c r="B530" s="35"/>
      <c r="C530" s="35"/>
      <c r="D530" s="35"/>
      <c r="E530" s="35"/>
      <c r="F530" s="35"/>
      <c r="G530" s="35"/>
      <c r="H530" s="35"/>
      <c r="I530" s="36"/>
      <c r="J530" s="36"/>
      <c r="K530" s="39"/>
      <c r="L530" s="39"/>
      <c r="M530" s="39"/>
    </row>
    <row r="531" spans="2:13" x14ac:dyDescent="0.25">
      <c r="B531" s="37"/>
      <c r="C531" s="37"/>
      <c r="D531" s="37"/>
      <c r="E531" s="37"/>
      <c r="F531" s="37"/>
      <c r="G531" s="37"/>
      <c r="H531" s="37"/>
      <c r="I531" s="38"/>
      <c r="J531" s="38"/>
      <c r="K531" s="40"/>
      <c r="L531" s="40"/>
      <c r="M531" s="40"/>
    </row>
    <row r="532" spans="2:13" x14ac:dyDescent="0.25">
      <c r="B532" s="35"/>
      <c r="C532" s="35"/>
      <c r="D532" s="35"/>
      <c r="E532" s="35"/>
      <c r="F532" s="35"/>
      <c r="G532" s="35"/>
      <c r="H532" s="35"/>
      <c r="I532" s="36"/>
      <c r="J532" s="36"/>
      <c r="K532" s="39"/>
      <c r="L532" s="39"/>
      <c r="M532" s="39"/>
    </row>
    <row r="533" spans="2:13" x14ac:dyDescent="0.25">
      <c r="B533" s="37"/>
      <c r="C533" s="37"/>
      <c r="D533" s="37"/>
      <c r="E533" s="37"/>
      <c r="F533" s="37"/>
      <c r="G533" s="37"/>
      <c r="H533" s="37"/>
      <c r="I533" s="38"/>
      <c r="J533" s="38"/>
      <c r="K533" s="40"/>
      <c r="L533" s="40"/>
      <c r="M533" s="40"/>
    </row>
    <row r="534" spans="2:13" x14ac:dyDescent="0.25">
      <c r="B534" s="35"/>
      <c r="C534" s="35"/>
      <c r="D534" s="35"/>
      <c r="E534" s="35"/>
      <c r="F534" s="35"/>
      <c r="G534" s="35"/>
      <c r="H534" s="35"/>
      <c r="I534" s="36"/>
      <c r="J534" s="36"/>
      <c r="K534" s="39"/>
      <c r="L534" s="39"/>
      <c r="M534" s="39"/>
    </row>
    <row r="535" spans="2:13" x14ac:dyDescent="0.25">
      <c r="B535" s="37"/>
      <c r="C535" s="37"/>
      <c r="D535" s="37"/>
      <c r="E535" s="37"/>
      <c r="F535" s="37"/>
      <c r="G535" s="37"/>
      <c r="H535" s="37"/>
      <c r="I535" s="38"/>
      <c r="J535" s="38"/>
      <c r="K535" s="40"/>
      <c r="L535" s="40"/>
      <c r="M535" s="40"/>
    </row>
    <row r="536" spans="2:13" x14ac:dyDescent="0.25">
      <c r="B536" s="35"/>
      <c r="C536" s="35"/>
      <c r="D536" s="35"/>
      <c r="E536" s="35"/>
      <c r="F536" s="35"/>
      <c r="G536" s="35"/>
      <c r="H536" s="35"/>
      <c r="I536" s="36"/>
      <c r="J536" s="36"/>
      <c r="K536" s="39"/>
      <c r="L536" s="39"/>
      <c r="M536" s="39"/>
    </row>
    <row r="537" spans="2:13" x14ac:dyDescent="0.25">
      <c r="B537" s="37"/>
      <c r="C537" s="37"/>
      <c r="D537" s="37"/>
      <c r="E537" s="37"/>
      <c r="F537" s="37"/>
      <c r="G537" s="37"/>
      <c r="H537" s="37"/>
      <c r="I537" s="38"/>
      <c r="J537" s="38"/>
      <c r="K537" s="40"/>
      <c r="L537" s="40"/>
      <c r="M537" s="40"/>
    </row>
    <row r="538" spans="2:13" x14ac:dyDescent="0.25">
      <c r="B538" s="35"/>
      <c r="C538" s="35"/>
      <c r="D538" s="35"/>
      <c r="E538" s="35"/>
      <c r="F538" s="35"/>
      <c r="G538" s="35"/>
      <c r="H538" s="35"/>
      <c r="I538" s="36"/>
      <c r="J538" s="36"/>
      <c r="K538" s="39"/>
      <c r="L538" s="39"/>
      <c r="M538" s="39"/>
    </row>
    <row r="539" spans="2:13" x14ac:dyDescent="0.25">
      <c r="B539" s="37"/>
      <c r="C539" s="37"/>
      <c r="D539" s="37"/>
      <c r="E539" s="37"/>
      <c r="F539" s="37"/>
      <c r="G539" s="37"/>
      <c r="H539" s="37"/>
      <c r="I539" s="38"/>
      <c r="J539" s="38"/>
      <c r="K539" s="40"/>
      <c r="L539" s="40"/>
      <c r="M539" s="40"/>
    </row>
    <row r="540" spans="2:13" x14ac:dyDescent="0.25">
      <c r="B540" s="35"/>
      <c r="C540" s="35"/>
      <c r="D540" s="35"/>
      <c r="E540" s="35"/>
      <c r="F540" s="35"/>
      <c r="G540" s="35"/>
      <c r="H540" s="35"/>
      <c r="I540" s="36"/>
      <c r="J540" s="36"/>
      <c r="K540" s="39"/>
      <c r="L540" s="39"/>
      <c r="M540" s="39"/>
    </row>
    <row r="541" spans="2:13" x14ac:dyDescent="0.25">
      <c r="B541" s="37"/>
      <c r="C541" s="37"/>
      <c r="D541" s="37"/>
      <c r="E541" s="37"/>
      <c r="F541" s="37"/>
      <c r="G541" s="37"/>
      <c r="H541" s="37"/>
      <c r="I541" s="38"/>
      <c r="J541" s="38"/>
      <c r="K541" s="40"/>
      <c r="L541" s="40"/>
      <c r="M541" s="40"/>
    </row>
    <row r="542" spans="2:13" x14ac:dyDescent="0.25">
      <c r="B542" s="35"/>
      <c r="C542" s="35"/>
      <c r="D542" s="35"/>
      <c r="E542" s="35"/>
      <c r="F542" s="35"/>
      <c r="G542" s="35"/>
      <c r="H542" s="35"/>
      <c r="I542" s="36"/>
      <c r="J542" s="36"/>
      <c r="K542" s="39"/>
      <c r="L542" s="39"/>
      <c r="M542" s="39"/>
    </row>
    <row r="543" spans="2:13" x14ac:dyDescent="0.25">
      <c r="B543" s="37"/>
      <c r="C543" s="37"/>
      <c r="D543" s="37"/>
      <c r="E543" s="37"/>
      <c r="F543" s="37"/>
      <c r="G543" s="37"/>
      <c r="H543" s="37"/>
      <c r="I543" s="38"/>
      <c r="J543" s="38"/>
      <c r="K543" s="40"/>
      <c r="L543" s="40"/>
      <c r="M543" s="40"/>
    </row>
    <row r="544" spans="2:13" x14ac:dyDescent="0.25">
      <c r="B544" s="35"/>
      <c r="C544" s="35"/>
      <c r="D544" s="35"/>
      <c r="E544" s="35"/>
      <c r="F544" s="35"/>
      <c r="G544" s="35"/>
      <c r="H544" s="35"/>
      <c r="I544" s="36"/>
      <c r="J544" s="36"/>
      <c r="K544" s="39"/>
      <c r="L544" s="39"/>
      <c r="M544" s="39"/>
    </row>
    <row r="545" spans="2:13" x14ac:dyDescent="0.25">
      <c r="B545" s="37"/>
      <c r="C545" s="37"/>
      <c r="D545" s="37"/>
      <c r="E545" s="37"/>
      <c r="F545" s="37"/>
      <c r="G545" s="37"/>
      <c r="H545" s="37"/>
      <c r="I545" s="38"/>
      <c r="J545" s="38"/>
      <c r="K545" s="40"/>
      <c r="L545" s="40"/>
      <c r="M545" s="40"/>
    </row>
    <row r="546" spans="2:13" x14ac:dyDescent="0.25">
      <c r="B546" s="35"/>
      <c r="C546" s="35"/>
      <c r="D546" s="35"/>
      <c r="E546" s="35"/>
      <c r="F546" s="35"/>
      <c r="G546" s="35"/>
      <c r="H546" s="35"/>
      <c r="I546" s="36"/>
      <c r="J546" s="36"/>
      <c r="K546" s="39"/>
      <c r="L546" s="39"/>
      <c r="M546" s="39"/>
    </row>
    <row r="547" spans="2:13" x14ac:dyDescent="0.25">
      <c r="B547" s="37"/>
      <c r="C547" s="37"/>
      <c r="D547" s="37"/>
      <c r="E547" s="37"/>
      <c r="F547" s="37"/>
      <c r="G547" s="37"/>
      <c r="H547" s="37"/>
      <c r="I547" s="38"/>
      <c r="J547" s="38"/>
      <c r="K547" s="40"/>
      <c r="L547" s="40"/>
      <c r="M547" s="40"/>
    </row>
    <row r="548" spans="2:13" x14ac:dyDescent="0.25">
      <c r="B548" s="35"/>
      <c r="C548" s="35"/>
      <c r="D548" s="35"/>
      <c r="E548" s="35"/>
      <c r="F548" s="35"/>
      <c r="G548" s="35"/>
      <c r="H548" s="35"/>
      <c r="I548" s="36"/>
      <c r="J548" s="36"/>
      <c r="K548" s="39"/>
      <c r="L548" s="39"/>
      <c r="M548" s="39"/>
    </row>
    <row r="549" spans="2:13" x14ac:dyDescent="0.25">
      <c r="B549" s="37"/>
      <c r="C549" s="37"/>
      <c r="D549" s="37"/>
      <c r="E549" s="37"/>
      <c r="F549" s="37"/>
      <c r="G549" s="37"/>
      <c r="H549" s="37"/>
      <c r="I549" s="38"/>
      <c r="J549" s="38"/>
      <c r="K549" s="40"/>
      <c r="L549" s="40"/>
      <c r="M549" s="40"/>
    </row>
    <row r="550" spans="2:13" x14ac:dyDescent="0.25">
      <c r="B550" s="35"/>
      <c r="C550" s="35"/>
      <c r="D550" s="35"/>
      <c r="E550" s="35"/>
      <c r="F550" s="35"/>
      <c r="G550" s="35"/>
      <c r="H550" s="35"/>
      <c r="I550" s="36"/>
      <c r="J550" s="36"/>
      <c r="K550" s="39"/>
      <c r="L550" s="39"/>
      <c r="M550" s="39"/>
    </row>
    <row r="551" spans="2:13" x14ac:dyDescent="0.25">
      <c r="B551" s="37"/>
      <c r="C551" s="37"/>
      <c r="D551" s="37"/>
      <c r="E551" s="37"/>
      <c r="F551" s="37"/>
      <c r="G551" s="37"/>
      <c r="H551" s="37"/>
      <c r="I551" s="38"/>
      <c r="J551" s="38"/>
      <c r="K551" s="40"/>
      <c r="L551" s="40"/>
      <c r="M551" s="40"/>
    </row>
    <row r="552" spans="2:13" x14ac:dyDescent="0.25">
      <c r="B552" s="35"/>
      <c r="C552" s="35"/>
      <c r="D552" s="35"/>
      <c r="E552" s="35"/>
      <c r="F552" s="35"/>
      <c r="G552" s="35"/>
      <c r="H552" s="35"/>
      <c r="I552" s="36"/>
      <c r="J552" s="36"/>
      <c r="K552" s="39"/>
      <c r="L552" s="39"/>
      <c r="M552" s="39"/>
    </row>
    <row r="553" spans="2:13" x14ac:dyDescent="0.25">
      <c r="B553" s="37"/>
      <c r="C553" s="37"/>
      <c r="D553" s="37"/>
      <c r="E553" s="37"/>
      <c r="F553" s="37"/>
      <c r="G553" s="37"/>
      <c r="H553" s="37"/>
      <c r="I553" s="38"/>
      <c r="J553" s="38"/>
      <c r="K553" s="40"/>
      <c r="L553" s="40"/>
      <c r="M553" s="40"/>
    </row>
    <row r="554" spans="2:13" x14ac:dyDescent="0.25">
      <c r="B554" s="35"/>
      <c r="C554" s="35"/>
      <c r="D554" s="35"/>
      <c r="E554" s="35"/>
      <c r="F554" s="35"/>
      <c r="G554" s="35"/>
      <c r="H554" s="35"/>
      <c r="I554" s="36"/>
      <c r="J554" s="36"/>
      <c r="K554" s="39"/>
      <c r="L554" s="39"/>
      <c r="M554" s="39"/>
    </row>
    <row r="555" spans="2:13" x14ac:dyDescent="0.25">
      <c r="B555" s="37"/>
      <c r="C555" s="37"/>
      <c r="D555" s="37"/>
      <c r="E555" s="37"/>
      <c r="F555" s="37"/>
      <c r="G555" s="37"/>
      <c r="H555" s="37"/>
      <c r="I555" s="38"/>
      <c r="J555" s="38"/>
      <c r="K555" s="40"/>
      <c r="L555" s="40"/>
      <c r="M555" s="40"/>
    </row>
    <row r="556" spans="2:13" x14ac:dyDescent="0.25">
      <c r="B556" s="35"/>
      <c r="C556" s="35"/>
      <c r="D556" s="35"/>
      <c r="E556" s="35"/>
      <c r="F556" s="35"/>
      <c r="G556" s="35"/>
      <c r="H556" s="35"/>
      <c r="I556" s="36"/>
      <c r="J556" s="36"/>
      <c r="K556" s="39"/>
      <c r="L556" s="39"/>
      <c r="M556" s="39"/>
    </row>
    <row r="557" spans="2:13" x14ac:dyDescent="0.25">
      <c r="B557" s="37"/>
      <c r="C557" s="37"/>
      <c r="D557" s="37"/>
      <c r="E557" s="37"/>
      <c r="F557" s="37"/>
      <c r="G557" s="37"/>
      <c r="H557" s="37"/>
      <c r="I557" s="38"/>
      <c r="J557" s="38"/>
      <c r="K557" s="40"/>
      <c r="L557" s="40"/>
      <c r="M557" s="40"/>
    </row>
    <row r="558" spans="2:13" x14ac:dyDescent="0.25">
      <c r="B558" s="35"/>
      <c r="C558" s="35"/>
      <c r="D558" s="35"/>
      <c r="E558" s="35"/>
      <c r="F558" s="35"/>
      <c r="G558" s="35"/>
      <c r="H558" s="35"/>
      <c r="I558" s="36"/>
      <c r="J558" s="36"/>
      <c r="K558" s="39"/>
      <c r="L558" s="39"/>
      <c r="M558" s="39"/>
    </row>
    <row r="559" spans="2:13" x14ac:dyDescent="0.25">
      <c r="B559" s="37"/>
      <c r="C559" s="37"/>
      <c r="D559" s="37"/>
      <c r="E559" s="37"/>
      <c r="F559" s="37"/>
      <c r="G559" s="37"/>
      <c r="H559" s="37"/>
      <c r="I559" s="38"/>
      <c r="J559" s="38"/>
      <c r="K559" s="40"/>
      <c r="L559" s="40"/>
      <c r="M559" s="40"/>
    </row>
    <row r="560" spans="2:13" x14ac:dyDescent="0.25">
      <c r="B560" s="35"/>
      <c r="C560" s="35"/>
      <c r="D560" s="35"/>
      <c r="E560" s="35"/>
      <c r="F560" s="35"/>
      <c r="G560" s="35"/>
      <c r="H560" s="35"/>
      <c r="I560" s="36"/>
      <c r="J560" s="36"/>
      <c r="K560" s="39"/>
      <c r="L560" s="39"/>
      <c r="M560" s="39"/>
    </row>
    <row r="561" spans="2:13" x14ac:dyDescent="0.25">
      <c r="B561" s="37"/>
      <c r="C561" s="37"/>
      <c r="D561" s="37"/>
      <c r="E561" s="37"/>
      <c r="F561" s="37"/>
      <c r="G561" s="37"/>
      <c r="H561" s="37"/>
      <c r="I561" s="38"/>
      <c r="J561" s="38"/>
      <c r="K561" s="40"/>
      <c r="L561" s="40"/>
      <c r="M561" s="40"/>
    </row>
    <row r="562" spans="2:13" x14ac:dyDescent="0.25">
      <c r="B562" s="35"/>
      <c r="C562" s="35"/>
      <c r="D562" s="35"/>
      <c r="E562" s="35"/>
      <c r="F562" s="35"/>
      <c r="G562" s="35"/>
      <c r="H562" s="35"/>
      <c r="I562" s="36"/>
      <c r="J562" s="36"/>
      <c r="K562" s="39"/>
      <c r="L562" s="39"/>
      <c r="M562" s="39"/>
    </row>
    <row r="563" spans="2:13" x14ac:dyDescent="0.25">
      <c r="B563" s="37"/>
      <c r="C563" s="37"/>
      <c r="D563" s="37"/>
      <c r="E563" s="37"/>
      <c r="F563" s="37"/>
      <c r="G563" s="37"/>
      <c r="H563" s="37"/>
      <c r="I563" s="38"/>
      <c r="J563" s="38"/>
      <c r="K563" s="40"/>
      <c r="L563" s="40"/>
      <c r="M563" s="40"/>
    </row>
    <row r="564" spans="2:13" x14ac:dyDescent="0.25">
      <c r="B564" s="35"/>
      <c r="C564" s="35"/>
      <c r="D564" s="35"/>
      <c r="E564" s="35"/>
      <c r="F564" s="35"/>
      <c r="G564" s="35"/>
      <c r="H564" s="35"/>
      <c r="I564" s="36"/>
      <c r="J564" s="36"/>
      <c r="K564" s="39"/>
      <c r="L564" s="39"/>
      <c r="M564" s="39"/>
    </row>
    <row r="565" spans="2:13" x14ac:dyDescent="0.25">
      <c r="B565" s="37"/>
      <c r="C565" s="37"/>
      <c r="D565" s="37"/>
      <c r="E565" s="37"/>
      <c r="F565" s="37"/>
      <c r="G565" s="37"/>
      <c r="H565" s="37"/>
      <c r="I565" s="38"/>
      <c r="J565" s="38"/>
      <c r="K565" s="40"/>
      <c r="L565" s="40"/>
      <c r="M565" s="40"/>
    </row>
    <row r="566" spans="2:13" x14ac:dyDescent="0.25">
      <c r="B566" s="35"/>
      <c r="C566" s="35"/>
      <c r="D566" s="35"/>
      <c r="E566" s="35"/>
      <c r="F566" s="35"/>
      <c r="G566" s="35"/>
      <c r="H566" s="35"/>
      <c r="I566" s="36"/>
      <c r="J566" s="36"/>
      <c r="K566" s="39"/>
      <c r="L566" s="39"/>
      <c r="M566" s="39"/>
    </row>
    <row r="567" spans="2:13" x14ac:dyDescent="0.25">
      <c r="B567" s="37"/>
      <c r="C567" s="37"/>
      <c r="D567" s="37"/>
      <c r="E567" s="37"/>
      <c r="F567" s="37"/>
      <c r="G567" s="37"/>
      <c r="H567" s="37"/>
      <c r="I567" s="38"/>
      <c r="J567" s="38"/>
      <c r="K567" s="40"/>
      <c r="L567" s="40"/>
      <c r="M567" s="40"/>
    </row>
    <row r="568" spans="2:13" x14ac:dyDescent="0.25">
      <c r="B568" s="35"/>
      <c r="C568" s="35"/>
      <c r="D568" s="35"/>
      <c r="E568" s="35"/>
      <c r="F568" s="35"/>
      <c r="G568" s="35"/>
      <c r="H568" s="35"/>
      <c r="I568" s="36"/>
      <c r="J568" s="36"/>
      <c r="K568" s="39"/>
      <c r="L568" s="39"/>
      <c r="M568" s="39"/>
    </row>
    <row r="569" spans="2:13" x14ac:dyDescent="0.25">
      <c r="B569" s="37"/>
      <c r="C569" s="37"/>
      <c r="D569" s="37"/>
      <c r="E569" s="37"/>
      <c r="F569" s="37"/>
      <c r="G569" s="37"/>
      <c r="H569" s="37"/>
      <c r="I569" s="38"/>
      <c r="J569" s="38"/>
      <c r="K569" s="40"/>
      <c r="L569" s="40"/>
      <c r="M569" s="40"/>
    </row>
    <row r="570" spans="2:13" x14ac:dyDescent="0.25">
      <c r="B570" s="35"/>
      <c r="C570" s="35"/>
      <c r="D570" s="35"/>
      <c r="E570" s="35"/>
      <c r="F570" s="35"/>
      <c r="G570" s="35"/>
      <c r="H570" s="35"/>
      <c r="I570" s="36"/>
      <c r="J570" s="36"/>
      <c r="K570" s="39"/>
      <c r="L570" s="39"/>
      <c r="M570" s="39"/>
    </row>
    <row r="571" spans="2:13" x14ac:dyDescent="0.25">
      <c r="B571" s="37"/>
      <c r="C571" s="37"/>
      <c r="D571" s="37"/>
      <c r="E571" s="37"/>
      <c r="F571" s="37"/>
      <c r="G571" s="37"/>
      <c r="H571" s="37"/>
      <c r="I571" s="38"/>
      <c r="J571" s="38"/>
      <c r="K571" s="40"/>
      <c r="L571" s="40"/>
      <c r="M571" s="40"/>
    </row>
    <row r="572" spans="2:13" x14ac:dyDescent="0.25">
      <c r="B572" s="35"/>
      <c r="C572" s="35"/>
      <c r="D572" s="35"/>
      <c r="E572" s="35"/>
      <c r="F572" s="35"/>
      <c r="G572" s="35"/>
      <c r="H572" s="35"/>
      <c r="I572" s="36"/>
      <c r="J572" s="36"/>
      <c r="K572" s="39"/>
      <c r="L572" s="39"/>
      <c r="M572" s="39"/>
    </row>
    <row r="573" spans="2:13" x14ac:dyDescent="0.25">
      <c r="B573" s="37"/>
      <c r="C573" s="37"/>
      <c r="D573" s="37"/>
      <c r="E573" s="37"/>
      <c r="F573" s="37"/>
      <c r="G573" s="37"/>
      <c r="H573" s="37"/>
      <c r="I573" s="38"/>
      <c r="J573" s="38"/>
      <c r="K573" s="40"/>
      <c r="L573" s="40"/>
      <c r="M573" s="40"/>
    </row>
    <row r="574" spans="2:13" x14ac:dyDescent="0.25">
      <c r="B574" s="35"/>
      <c r="C574" s="35"/>
      <c r="D574" s="35"/>
      <c r="E574" s="35"/>
      <c r="F574" s="35"/>
      <c r="G574" s="35"/>
      <c r="H574" s="35"/>
      <c r="I574" s="36"/>
      <c r="J574" s="36"/>
      <c r="K574" s="39"/>
      <c r="L574" s="39"/>
      <c r="M574" s="39"/>
    </row>
    <row r="575" spans="2:13" x14ac:dyDescent="0.25">
      <c r="B575" s="37"/>
      <c r="C575" s="37"/>
      <c r="D575" s="37"/>
      <c r="E575" s="37"/>
      <c r="F575" s="37"/>
      <c r="G575" s="37"/>
      <c r="H575" s="37"/>
      <c r="I575" s="38"/>
      <c r="J575" s="38"/>
      <c r="K575" s="40"/>
      <c r="L575" s="40"/>
      <c r="M575" s="40"/>
    </row>
    <row r="576" spans="2:13" x14ac:dyDescent="0.25">
      <c r="B576" s="35"/>
      <c r="C576" s="35"/>
      <c r="D576" s="35"/>
      <c r="E576" s="35"/>
      <c r="F576" s="35"/>
      <c r="G576" s="35"/>
      <c r="H576" s="35"/>
      <c r="I576" s="36"/>
      <c r="J576" s="36"/>
      <c r="K576" s="39"/>
      <c r="L576" s="39"/>
      <c r="M576" s="39"/>
    </row>
    <row r="577" spans="2:13" x14ac:dyDescent="0.25">
      <c r="B577" s="37"/>
      <c r="C577" s="37"/>
      <c r="D577" s="37"/>
      <c r="E577" s="37"/>
      <c r="F577" s="37"/>
      <c r="G577" s="37"/>
      <c r="H577" s="37"/>
      <c r="I577" s="38"/>
      <c r="J577" s="38"/>
      <c r="K577" s="40"/>
      <c r="L577" s="40"/>
      <c r="M577" s="40"/>
    </row>
    <row r="578" spans="2:13" x14ac:dyDescent="0.25">
      <c r="B578" s="35"/>
      <c r="C578" s="35"/>
      <c r="D578" s="35"/>
      <c r="E578" s="35"/>
      <c r="F578" s="35"/>
      <c r="G578" s="35"/>
      <c r="H578" s="35"/>
      <c r="I578" s="36"/>
      <c r="J578" s="36"/>
      <c r="K578" s="39"/>
      <c r="L578" s="39"/>
      <c r="M578" s="39"/>
    </row>
    <row r="579" spans="2:13" x14ac:dyDescent="0.25">
      <c r="B579" s="37"/>
      <c r="C579" s="37"/>
      <c r="D579" s="37"/>
      <c r="E579" s="37"/>
      <c r="F579" s="37"/>
      <c r="G579" s="37"/>
      <c r="H579" s="37"/>
      <c r="I579" s="38"/>
      <c r="J579" s="38"/>
      <c r="K579" s="40"/>
      <c r="L579" s="40"/>
      <c r="M579" s="40"/>
    </row>
    <row r="580" spans="2:13" x14ac:dyDescent="0.25">
      <c r="B580" s="35"/>
      <c r="C580" s="35"/>
      <c r="D580" s="35"/>
      <c r="E580" s="35"/>
      <c r="F580" s="35"/>
      <c r="G580" s="35"/>
      <c r="H580" s="35"/>
      <c r="I580" s="36"/>
      <c r="J580" s="36"/>
      <c r="K580" s="39"/>
      <c r="L580" s="39"/>
      <c r="M580" s="39"/>
    </row>
    <row r="581" spans="2:13" x14ac:dyDescent="0.25">
      <c r="B581" s="37"/>
      <c r="C581" s="37"/>
      <c r="D581" s="37"/>
      <c r="E581" s="37"/>
      <c r="F581" s="37"/>
      <c r="G581" s="37"/>
      <c r="H581" s="37"/>
      <c r="I581" s="38"/>
      <c r="J581" s="38"/>
      <c r="K581" s="40"/>
      <c r="L581" s="40"/>
      <c r="M581" s="40"/>
    </row>
    <row r="582" spans="2:13" x14ac:dyDescent="0.25">
      <c r="B582" s="35"/>
      <c r="C582" s="35"/>
      <c r="D582" s="35"/>
      <c r="E582" s="35"/>
      <c r="F582" s="35"/>
      <c r="G582" s="35"/>
      <c r="H582" s="35"/>
      <c r="I582" s="36"/>
      <c r="J582" s="36"/>
      <c r="K582" s="39"/>
      <c r="L582" s="39"/>
      <c r="M582" s="39"/>
    </row>
    <row r="583" spans="2:13" x14ac:dyDescent="0.25">
      <c r="B583" s="37"/>
      <c r="C583" s="37"/>
      <c r="D583" s="37"/>
      <c r="E583" s="37"/>
      <c r="F583" s="37"/>
      <c r="G583" s="37"/>
      <c r="H583" s="37"/>
      <c r="I583" s="38"/>
      <c r="J583" s="38"/>
      <c r="K583" s="40"/>
      <c r="L583" s="40"/>
      <c r="M583" s="40"/>
    </row>
    <row r="584" spans="2:13" x14ac:dyDescent="0.25">
      <c r="B584" s="35"/>
      <c r="C584" s="35"/>
      <c r="D584" s="35"/>
      <c r="E584" s="35"/>
      <c r="F584" s="35"/>
      <c r="G584" s="35"/>
      <c r="H584" s="35"/>
      <c r="I584" s="36"/>
      <c r="J584" s="36"/>
      <c r="K584" s="39"/>
      <c r="L584" s="39"/>
      <c r="M584" s="39"/>
    </row>
    <row r="585" spans="2:13" x14ac:dyDescent="0.25">
      <c r="B585" s="37"/>
      <c r="C585" s="37"/>
      <c r="D585" s="37"/>
      <c r="E585" s="37"/>
      <c r="F585" s="37"/>
      <c r="G585" s="37"/>
      <c r="H585" s="37"/>
      <c r="I585" s="38"/>
      <c r="J585" s="38"/>
      <c r="K585" s="40"/>
      <c r="L585" s="40"/>
      <c r="M585" s="40"/>
    </row>
    <row r="586" spans="2:13" x14ac:dyDescent="0.25">
      <c r="B586" s="35"/>
      <c r="C586" s="35"/>
      <c r="D586" s="35"/>
      <c r="E586" s="35"/>
      <c r="F586" s="35"/>
      <c r="G586" s="35"/>
      <c r="H586" s="35"/>
      <c r="I586" s="36"/>
      <c r="J586" s="36"/>
      <c r="K586" s="39"/>
      <c r="L586" s="39"/>
      <c r="M586" s="39"/>
    </row>
    <row r="587" spans="2:13" x14ac:dyDescent="0.25">
      <c r="B587" s="37"/>
      <c r="C587" s="37"/>
      <c r="D587" s="37"/>
      <c r="E587" s="37"/>
      <c r="F587" s="37"/>
      <c r="G587" s="37"/>
      <c r="H587" s="37"/>
      <c r="I587" s="38"/>
      <c r="J587" s="38"/>
      <c r="K587" s="40"/>
      <c r="L587" s="40"/>
      <c r="M587" s="40"/>
    </row>
    <row r="588" spans="2:13" x14ac:dyDescent="0.25">
      <c r="B588" s="35"/>
      <c r="C588" s="35"/>
      <c r="D588" s="35"/>
      <c r="E588" s="35"/>
      <c r="F588" s="35"/>
      <c r="G588" s="35"/>
      <c r="H588" s="35"/>
      <c r="I588" s="36"/>
      <c r="J588" s="36"/>
      <c r="K588" s="39"/>
      <c r="L588" s="39"/>
      <c r="M588" s="39"/>
    </row>
    <row r="589" spans="2:13" x14ac:dyDescent="0.25">
      <c r="B589" s="37"/>
      <c r="C589" s="37"/>
      <c r="D589" s="37"/>
      <c r="E589" s="37"/>
      <c r="F589" s="37"/>
      <c r="G589" s="37"/>
      <c r="H589" s="37"/>
      <c r="I589" s="38"/>
      <c r="J589" s="38"/>
      <c r="K589" s="40"/>
      <c r="L589" s="40"/>
      <c r="M589" s="40"/>
    </row>
    <row r="590" spans="2:13" x14ac:dyDescent="0.25">
      <c r="B590" s="35"/>
      <c r="C590" s="35"/>
      <c r="D590" s="35"/>
      <c r="E590" s="35"/>
      <c r="F590" s="35"/>
      <c r="G590" s="35"/>
      <c r="H590" s="35"/>
      <c r="I590" s="36"/>
      <c r="J590" s="36"/>
      <c r="K590" s="39"/>
      <c r="L590" s="39"/>
      <c r="M590" s="39"/>
    </row>
    <row r="591" spans="2:13" x14ac:dyDescent="0.25">
      <c r="B591" s="37"/>
      <c r="C591" s="37"/>
      <c r="D591" s="37"/>
      <c r="E591" s="37"/>
      <c r="F591" s="37"/>
      <c r="G591" s="37"/>
      <c r="H591" s="37"/>
      <c r="I591" s="38"/>
      <c r="J591" s="38"/>
      <c r="K591" s="40"/>
      <c r="L591" s="40"/>
      <c r="M591" s="40"/>
    </row>
    <row r="592" spans="2:13" x14ac:dyDescent="0.25">
      <c r="B592" s="35"/>
      <c r="C592" s="35"/>
      <c r="D592" s="35"/>
      <c r="E592" s="35"/>
      <c r="F592" s="35"/>
      <c r="G592" s="35"/>
      <c r="H592" s="35"/>
      <c r="I592" s="36"/>
      <c r="J592" s="36"/>
      <c r="K592" s="39"/>
      <c r="L592" s="39"/>
      <c r="M592" s="39"/>
    </row>
    <row r="593" spans="2:13" x14ac:dyDescent="0.25">
      <c r="B593" s="37"/>
      <c r="C593" s="37"/>
      <c r="D593" s="37"/>
      <c r="E593" s="37"/>
      <c r="F593" s="37"/>
      <c r="G593" s="37"/>
      <c r="H593" s="37"/>
      <c r="I593" s="38"/>
      <c r="J593" s="38"/>
      <c r="K593" s="40"/>
      <c r="L593" s="40"/>
      <c r="M593" s="40"/>
    </row>
    <row r="594" spans="2:13" x14ac:dyDescent="0.25">
      <c r="B594" s="35"/>
      <c r="C594" s="35"/>
      <c r="D594" s="35"/>
      <c r="E594" s="35"/>
      <c r="F594" s="35"/>
      <c r="G594" s="35"/>
      <c r="H594" s="35"/>
      <c r="I594" s="36"/>
      <c r="J594" s="36"/>
      <c r="K594" s="39"/>
      <c r="L594" s="39"/>
      <c r="M594" s="39"/>
    </row>
    <row r="595" spans="2:13" x14ac:dyDescent="0.25">
      <c r="B595" s="37"/>
      <c r="C595" s="37"/>
      <c r="D595" s="37"/>
      <c r="E595" s="37"/>
      <c r="F595" s="37"/>
      <c r="G595" s="37"/>
      <c r="H595" s="37"/>
      <c r="I595" s="38"/>
      <c r="J595" s="38"/>
      <c r="K595" s="40"/>
      <c r="L595" s="40"/>
      <c r="M595" s="40"/>
    </row>
    <row r="596" spans="2:13" x14ac:dyDescent="0.25">
      <c r="B596" s="35"/>
      <c r="C596" s="35"/>
      <c r="D596" s="35"/>
      <c r="E596" s="35"/>
      <c r="F596" s="35"/>
      <c r="G596" s="35"/>
      <c r="H596" s="35"/>
      <c r="I596" s="36"/>
      <c r="J596" s="36"/>
      <c r="K596" s="39"/>
      <c r="L596" s="39"/>
      <c r="M596" s="39"/>
    </row>
    <row r="597" spans="2:13" x14ac:dyDescent="0.25">
      <c r="B597" s="37"/>
      <c r="C597" s="37"/>
      <c r="D597" s="37"/>
      <c r="E597" s="37"/>
      <c r="F597" s="37"/>
      <c r="G597" s="37"/>
      <c r="H597" s="37"/>
      <c r="I597" s="38"/>
      <c r="J597" s="38"/>
      <c r="K597" s="40"/>
      <c r="L597" s="40"/>
      <c r="M597" s="40"/>
    </row>
    <row r="598" spans="2:13" x14ac:dyDescent="0.25">
      <c r="B598" s="35"/>
      <c r="C598" s="35"/>
      <c r="D598" s="35"/>
      <c r="E598" s="35"/>
      <c r="F598" s="35"/>
      <c r="G598" s="35"/>
      <c r="H598" s="35"/>
      <c r="I598" s="36"/>
      <c r="J598" s="36"/>
      <c r="K598" s="39"/>
      <c r="L598" s="39"/>
      <c r="M598" s="39"/>
    </row>
    <row r="599" spans="2:13" x14ac:dyDescent="0.25">
      <c r="B599" s="37"/>
      <c r="C599" s="37"/>
      <c r="D599" s="37"/>
      <c r="E599" s="37"/>
      <c r="F599" s="37"/>
      <c r="G599" s="37"/>
      <c r="H599" s="37"/>
      <c r="I599" s="38"/>
      <c r="J599" s="38"/>
      <c r="K599" s="40"/>
      <c r="L599" s="40"/>
      <c r="M599" s="40"/>
    </row>
    <row r="600" spans="2:13" x14ac:dyDescent="0.25">
      <c r="B600" s="35"/>
      <c r="C600" s="35"/>
      <c r="D600" s="35"/>
      <c r="E600" s="35"/>
      <c r="F600" s="35"/>
      <c r="G600" s="35"/>
      <c r="H600" s="35"/>
      <c r="I600" s="36"/>
      <c r="J600" s="36"/>
      <c r="K600" s="39"/>
      <c r="L600" s="39"/>
      <c r="M600" s="39"/>
    </row>
    <row r="601" spans="2:13" x14ac:dyDescent="0.25">
      <c r="B601" s="37"/>
      <c r="C601" s="37"/>
      <c r="D601" s="37"/>
      <c r="E601" s="37"/>
      <c r="F601" s="37"/>
      <c r="G601" s="37"/>
      <c r="H601" s="37"/>
      <c r="I601" s="38"/>
      <c r="J601" s="38"/>
      <c r="K601" s="40"/>
      <c r="L601" s="40"/>
      <c r="M601" s="40"/>
    </row>
    <row r="602" spans="2:13" x14ac:dyDescent="0.25">
      <c r="B602" s="35"/>
      <c r="C602" s="35"/>
      <c r="D602" s="35"/>
      <c r="E602" s="35"/>
      <c r="F602" s="35"/>
      <c r="G602" s="35"/>
      <c r="H602" s="35"/>
      <c r="I602" s="36"/>
      <c r="J602" s="36"/>
      <c r="K602" s="39"/>
      <c r="L602" s="39"/>
      <c r="M602" s="39"/>
    </row>
    <row r="603" spans="2:13" x14ac:dyDescent="0.25">
      <c r="B603" s="37"/>
      <c r="C603" s="37"/>
      <c r="D603" s="37"/>
      <c r="E603" s="37"/>
      <c r="F603" s="37"/>
      <c r="G603" s="37"/>
      <c r="H603" s="37"/>
      <c r="I603" s="38"/>
      <c r="J603" s="38"/>
      <c r="K603" s="40"/>
      <c r="L603" s="40"/>
      <c r="M603" s="40"/>
    </row>
    <row r="604" spans="2:13" x14ac:dyDescent="0.25">
      <c r="B604" s="35"/>
      <c r="C604" s="35"/>
      <c r="D604" s="35"/>
      <c r="E604" s="35"/>
      <c r="F604" s="35"/>
      <c r="G604" s="35"/>
      <c r="H604" s="35"/>
      <c r="I604" s="36"/>
      <c r="J604" s="36"/>
      <c r="K604" s="39"/>
      <c r="L604" s="39"/>
      <c r="M604" s="39"/>
    </row>
    <row r="605" spans="2:13" x14ac:dyDescent="0.25">
      <c r="B605" s="37"/>
      <c r="C605" s="37"/>
      <c r="D605" s="37"/>
      <c r="E605" s="37"/>
      <c r="F605" s="37"/>
      <c r="G605" s="37"/>
      <c r="H605" s="37"/>
      <c r="I605" s="38"/>
      <c r="J605" s="38"/>
      <c r="K605" s="40"/>
      <c r="L605" s="40"/>
      <c r="M605" s="40"/>
    </row>
    <row r="606" spans="2:13" x14ac:dyDescent="0.25">
      <c r="B606" s="35"/>
      <c r="C606" s="35"/>
      <c r="D606" s="35"/>
      <c r="E606" s="35"/>
      <c r="F606" s="35"/>
      <c r="G606" s="35"/>
      <c r="H606" s="35"/>
      <c r="I606" s="36"/>
      <c r="J606" s="36"/>
      <c r="K606" s="39"/>
      <c r="L606" s="39"/>
      <c r="M606" s="39"/>
    </row>
    <row r="607" spans="2:13" x14ac:dyDescent="0.25">
      <c r="B607" s="37"/>
      <c r="C607" s="37"/>
      <c r="D607" s="37"/>
      <c r="E607" s="37"/>
      <c r="F607" s="37"/>
      <c r="G607" s="37"/>
      <c r="H607" s="37"/>
      <c r="I607" s="38"/>
      <c r="J607" s="38"/>
      <c r="K607" s="40"/>
      <c r="L607" s="40"/>
      <c r="M607" s="40"/>
    </row>
    <row r="608" spans="2:13" x14ac:dyDescent="0.25">
      <c r="B608" s="35"/>
      <c r="C608" s="35"/>
      <c r="D608" s="35"/>
      <c r="E608" s="35"/>
      <c r="F608" s="35"/>
      <c r="G608" s="35"/>
      <c r="H608" s="35"/>
      <c r="I608" s="36"/>
      <c r="J608" s="36"/>
      <c r="K608" s="39"/>
      <c r="L608" s="39"/>
      <c r="M608" s="39"/>
    </row>
    <row r="609" spans="2:13" x14ac:dyDescent="0.25">
      <c r="B609" s="37"/>
      <c r="C609" s="37"/>
      <c r="D609" s="37"/>
      <c r="E609" s="37"/>
      <c r="F609" s="37"/>
      <c r="G609" s="37"/>
      <c r="H609" s="37"/>
      <c r="I609" s="38"/>
      <c r="J609" s="38"/>
      <c r="K609" s="40"/>
      <c r="L609" s="40"/>
      <c r="M609" s="40"/>
    </row>
    <row r="610" spans="2:13" x14ac:dyDescent="0.25">
      <c r="B610" s="35"/>
      <c r="C610" s="35"/>
      <c r="D610" s="35"/>
      <c r="E610" s="35"/>
      <c r="F610" s="35"/>
      <c r="G610" s="35"/>
      <c r="H610" s="35"/>
      <c r="I610" s="36"/>
      <c r="J610" s="36"/>
      <c r="K610" s="39"/>
      <c r="L610" s="39"/>
      <c r="M610" s="39"/>
    </row>
    <row r="611" spans="2:13" x14ac:dyDescent="0.25">
      <c r="B611" s="37"/>
      <c r="C611" s="37"/>
      <c r="D611" s="37"/>
      <c r="E611" s="37"/>
      <c r="F611" s="37"/>
      <c r="G611" s="37"/>
      <c r="H611" s="37"/>
      <c r="I611" s="38"/>
      <c r="J611" s="38"/>
      <c r="K611" s="40"/>
      <c r="L611" s="40"/>
      <c r="M611" s="40"/>
    </row>
    <row r="612" spans="2:13" x14ac:dyDescent="0.25">
      <c r="B612" s="35"/>
      <c r="C612" s="35"/>
      <c r="D612" s="35"/>
      <c r="E612" s="35"/>
      <c r="F612" s="35"/>
      <c r="G612" s="35"/>
      <c r="H612" s="35"/>
      <c r="I612" s="36"/>
      <c r="J612" s="36"/>
      <c r="K612" s="39"/>
      <c r="L612" s="39"/>
      <c r="M612" s="39"/>
    </row>
    <row r="613" spans="2:13" x14ac:dyDescent="0.25">
      <c r="B613" s="37"/>
      <c r="C613" s="37"/>
      <c r="D613" s="37"/>
      <c r="E613" s="37"/>
      <c r="F613" s="37"/>
      <c r="G613" s="37"/>
      <c r="H613" s="37"/>
      <c r="I613" s="38"/>
      <c r="J613" s="38"/>
      <c r="K613" s="40"/>
      <c r="L613" s="40"/>
      <c r="M613" s="40"/>
    </row>
    <row r="614" spans="2:13" x14ac:dyDescent="0.25">
      <c r="B614" s="35"/>
      <c r="C614" s="35"/>
      <c r="D614" s="35"/>
      <c r="E614" s="35"/>
      <c r="F614" s="35"/>
      <c r="G614" s="35"/>
      <c r="H614" s="35"/>
      <c r="I614" s="36"/>
      <c r="J614" s="36"/>
      <c r="K614" s="39"/>
      <c r="L614" s="39"/>
      <c r="M614" s="39"/>
    </row>
    <row r="615" spans="2:13" x14ac:dyDescent="0.25">
      <c r="B615" s="37"/>
      <c r="C615" s="37"/>
      <c r="D615" s="37"/>
      <c r="E615" s="37"/>
      <c r="F615" s="37"/>
      <c r="G615" s="37"/>
      <c r="H615" s="37"/>
      <c r="I615" s="38"/>
      <c r="J615" s="38"/>
      <c r="K615" s="40"/>
      <c r="L615" s="40"/>
      <c r="M615" s="40"/>
    </row>
    <row r="616" spans="2:13" x14ac:dyDescent="0.25">
      <c r="B616" s="35"/>
      <c r="C616" s="35"/>
      <c r="D616" s="35"/>
      <c r="E616" s="35"/>
      <c r="F616" s="35"/>
      <c r="G616" s="35"/>
      <c r="H616" s="35"/>
      <c r="I616" s="36"/>
      <c r="J616" s="36"/>
      <c r="K616" s="39"/>
      <c r="L616" s="39"/>
      <c r="M616" s="39"/>
    </row>
    <row r="617" spans="2:13" x14ac:dyDescent="0.25">
      <c r="B617" s="37"/>
      <c r="C617" s="37"/>
      <c r="D617" s="37"/>
      <c r="E617" s="37"/>
      <c r="F617" s="37"/>
      <c r="G617" s="37"/>
      <c r="H617" s="37"/>
      <c r="I617" s="38"/>
      <c r="J617" s="38"/>
      <c r="K617" s="40"/>
      <c r="L617" s="40"/>
      <c r="M617" s="40"/>
    </row>
    <row r="618" spans="2:13" x14ac:dyDescent="0.25">
      <c r="B618" s="35"/>
      <c r="C618" s="35"/>
      <c r="D618" s="35"/>
      <c r="E618" s="35"/>
      <c r="F618" s="35"/>
      <c r="G618" s="35"/>
      <c r="H618" s="35"/>
      <c r="I618" s="36"/>
      <c r="J618" s="36"/>
      <c r="K618" s="39"/>
      <c r="L618" s="39"/>
      <c r="M618" s="39"/>
    </row>
    <row r="619" spans="2:13" x14ac:dyDescent="0.25">
      <c r="B619" s="37"/>
      <c r="C619" s="37"/>
      <c r="D619" s="37"/>
      <c r="E619" s="37"/>
      <c r="F619" s="37"/>
      <c r="G619" s="37"/>
      <c r="H619" s="37"/>
      <c r="I619" s="38"/>
      <c r="J619" s="38"/>
      <c r="K619" s="40"/>
      <c r="L619" s="40"/>
      <c r="M619" s="40"/>
    </row>
    <row r="620" spans="2:13" x14ac:dyDescent="0.25">
      <c r="B620" s="35"/>
      <c r="C620" s="35"/>
      <c r="D620" s="35"/>
      <c r="E620" s="35"/>
      <c r="F620" s="35"/>
      <c r="G620" s="35"/>
      <c r="H620" s="35"/>
      <c r="I620" s="36"/>
      <c r="J620" s="36"/>
      <c r="K620" s="39"/>
      <c r="L620" s="39"/>
      <c r="M620" s="39"/>
    </row>
    <row r="621" spans="2:13" x14ac:dyDescent="0.25">
      <c r="B621" s="37"/>
      <c r="C621" s="37"/>
      <c r="D621" s="37"/>
      <c r="E621" s="37"/>
      <c r="F621" s="37"/>
      <c r="G621" s="37"/>
      <c r="H621" s="37"/>
      <c r="I621" s="38"/>
      <c r="J621" s="38"/>
      <c r="K621" s="40"/>
      <c r="L621" s="40"/>
      <c r="M621" s="40"/>
    </row>
    <row r="622" spans="2:13" x14ac:dyDescent="0.25">
      <c r="B622" s="35"/>
      <c r="C622" s="35"/>
      <c r="D622" s="35"/>
      <c r="E622" s="35"/>
      <c r="F622" s="35"/>
      <c r="G622" s="35"/>
      <c r="H622" s="35"/>
      <c r="I622" s="36"/>
      <c r="J622" s="36"/>
      <c r="K622" s="39"/>
      <c r="L622" s="39"/>
      <c r="M622" s="39"/>
    </row>
    <row r="623" spans="2:13" x14ac:dyDescent="0.25">
      <c r="B623" s="37"/>
      <c r="C623" s="37"/>
      <c r="D623" s="37"/>
      <c r="E623" s="37"/>
      <c r="F623" s="37"/>
      <c r="G623" s="37"/>
      <c r="H623" s="37"/>
      <c r="I623" s="38"/>
      <c r="J623" s="38"/>
      <c r="K623" s="40"/>
      <c r="L623" s="40"/>
      <c r="M623" s="40"/>
    </row>
    <row r="624" spans="2:13" x14ac:dyDescent="0.25">
      <c r="B624" s="35"/>
      <c r="C624" s="35"/>
      <c r="D624" s="35"/>
      <c r="E624" s="35"/>
      <c r="F624" s="35"/>
      <c r="G624" s="35"/>
      <c r="H624" s="35"/>
      <c r="I624" s="36"/>
      <c r="J624" s="36"/>
      <c r="K624" s="39"/>
      <c r="L624" s="39"/>
      <c r="M624" s="39"/>
    </row>
    <row r="625" spans="2:13" x14ac:dyDescent="0.25">
      <c r="B625" s="37"/>
      <c r="C625" s="37"/>
      <c r="D625" s="37"/>
      <c r="E625" s="37"/>
      <c r="F625" s="37"/>
      <c r="G625" s="37"/>
      <c r="H625" s="37"/>
      <c r="I625" s="38"/>
      <c r="J625" s="38"/>
      <c r="K625" s="40"/>
      <c r="L625" s="40"/>
      <c r="M625" s="40"/>
    </row>
    <row r="626" spans="2:13" x14ac:dyDescent="0.25">
      <c r="B626" s="35"/>
      <c r="C626" s="35"/>
      <c r="D626" s="35"/>
      <c r="E626" s="35"/>
      <c r="F626" s="35"/>
      <c r="G626" s="35"/>
      <c r="H626" s="35"/>
      <c r="I626" s="36"/>
      <c r="J626" s="36"/>
      <c r="K626" s="39"/>
      <c r="L626" s="39"/>
      <c r="M626" s="39"/>
    </row>
    <row r="627" spans="2:13" x14ac:dyDescent="0.25">
      <c r="B627" s="37"/>
      <c r="C627" s="37"/>
      <c r="D627" s="37"/>
      <c r="E627" s="37"/>
      <c r="F627" s="37"/>
      <c r="G627" s="37"/>
      <c r="H627" s="37"/>
      <c r="I627" s="38"/>
      <c r="J627" s="38"/>
      <c r="K627" s="40"/>
      <c r="L627" s="40"/>
      <c r="M627" s="40"/>
    </row>
    <row r="628" spans="2:13" x14ac:dyDescent="0.25">
      <c r="B628" s="35"/>
      <c r="C628" s="35"/>
      <c r="D628" s="35"/>
      <c r="E628" s="35"/>
      <c r="F628" s="35"/>
      <c r="G628" s="35"/>
      <c r="H628" s="35"/>
      <c r="I628" s="36"/>
      <c r="J628" s="36"/>
      <c r="K628" s="39"/>
      <c r="L628" s="39"/>
      <c r="M628" s="39"/>
    </row>
    <row r="629" spans="2:13" x14ac:dyDescent="0.25">
      <c r="B629" s="37"/>
      <c r="C629" s="37"/>
      <c r="D629" s="37"/>
      <c r="E629" s="37"/>
      <c r="F629" s="37"/>
      <c r="G629" s="37"/>
      <c r="H629" s="37"/>
      <c r="I629" s="38"/>
      <c r="J629" s="38"/>
      <c r="K629" s="40"/>
      <c r="L629" s="40"/>
      <c r="M629" s="40"/>
    </row>
    <row r="630" spans="2:13" x14ac:dyDescent="0.25">
      <c r="B630" s="35"/>
      <c r="C630" s="35"/>
      <c r="D630" s="35"/>
      <c r="E630" s="35"/>
      <c r="F630" s="35"/>
      <c r="G630" s="35"/>
      <c r="H630" s="35"/>
      <c r="I630" s="36"/>
      <c r="J630" s="36"/>
      <c r="K630" s="39"/>
      <c r="L630" s="39"/>
      <c r="M630" s="39"/>
    </row>
    <row r="631" spans="2:13" x14ac:dyDescent="0.25">
      <c r="B631" s="37"/>
      <c r="C631" s="37"/>
      <c r="D631" s="37"/>
      <c r="E631" s="37"/>
      <c r="F631" s="37"/>
      <c r="G631" s="37"/>
      <c r="H631" s="37"/>
      <c r="I631" s="38"/>
      <c r="J631" s="38"/>
      <c r="K631" s="40"/>
      <c r="L631" s="40"/>
      <c r="M631" s="40"/>
    </row>
    <row r="632" spans="2:13" x14ac:dyDescent="0.25">
      <c r="B632" s="35"/>
      <c r="C632" s="35"/>
      <c r="D632" s="35"/>
      <c r="E632" s="35"/>
      <c r="F632" s="35"/>
      <c r="G632" s="35"/>
      <c r="H632" s="35"/>
      <c r="I632" s="36"/>
      <c r="J632" s="36"/>
      <c r="K632" s="39"/>
      <c r="L632" s="39"/>
      <c r="M632" s="39"/>
    </row>
    <row r="633" spans="2:13" x14ac:dyDescent="0.25">
      <c r="B633" s="37"/>
      <c r="C633" s="37"/>
      <c r="D633" s="37"/>
      <c r="E633" s="37"/>
      <c r="F633" s="37"/>
      <c r="G633" s="37"/>
      <c r="H633" s="37"/>
      <c r="I633" s="38"/>
      <c r="J633" s="38"/>
      <c r="K633" s="40"/>
      <c r="L633" s="40"/>
      <c r="M633" s="40"/>
    </row>
    <row r="634" spans="2:13" x14ac:dyDescent="0.25">
      <c r="B634" s="35"/>
      <c r="C634" s="35"/>
      <c r="D634" s="35"/>
      <c r="E634" s="35"/>
      <c r="F634" s="35"/>
      <c r="G634" s="35"/>
      <c r="H634" s="35"/>
      <c r="I634" s="36"/>
      <c r="J634" s="36"/>
      <c r="K634" s="39"/>
      <c r="L634" s="39"/>
      <c r="M634" s="39"/>
    </row>
    <row r="635" spans="2:13" x14ac:dyDescent="0.25">
      <c r="B635" s="37"/>
      <c r="C635" s="37"/>
      <c r="D635" s="37"/>
      <c r="E635" s="37"/>
      <c r="F635" s="37"/>
      <c r="G635" s="37"/>
      <c r="H635" s="37"/>
      <c r="I635" s="38"/>
      <c r="J635" s="38"/>
      <c r="K635" s="40"/>
      <c r="L635" s="40"/>
      <c r="M635" s="40"/>
    </row>
    <row r="636" spans="2:13" x14ac:dyDescent="0.25">
      <c r="B636" s="35"/>
      <c r="C636" s="35"/>
      <c r="D636" s="35"/>
      <c r="E636" s="35"/>
      <c r="F636" s="35"/>
      <c r="G636" s="35"/>
      <c r="H636" s="35"/>
      <c r="I636" s="36"/>
      <c r="J636" s="36"/>
      <c r="K636" s="39"/>
      <c r="L636" s="39"/>
      <c r="M636" s="39"/>
    </row>
    <row r="637" spans="2:13" x14ac:dyDescent="0.25">
      <c r="B637" s="37"/>
      <c r="C637" s="37"/>
      <c r="D637" s="37"/>
      <c r="E637" s="37"/>
      <c r="F637" s="37"/>
      <c r="G637" s="37"/>
      <c r="H637" s="37"/>
      <c r="I637" s="38"/>
      <c r="J637" s="38"/>
      <c r="K637" s="40"/>
      <c r="L637" s="40"/>
      <c r="M637" s="40"/>
    </row>
    <row r="638" spans="2:13" x14ac:dyDescent="0.25">
      <c r="B638" s="35"/>
      <c r="C638" s="35"/>
      <c r="D638" s="35"/>
      <c r="E638" s="35"/>
      <c r="F638" s="35"/>
      <c r="G638" s="35"/>
      <c r="H638" s="35"/>
      <c r="I638" s="36"/>
      <c r="J638" s="36"/>
      <c r="K638" s="39"/>
      <c r="L638" s="39"/>
      <c r="M638" s="39"/>
    </row>
    <row r="639" spans="2:13" x14ac:dyDescent="0.25">
      <c r="B639" s="37"/>
      <c r="C639" s="37"/>
      <c r="D639" s="37"/>
      <c r="E639" s="37"/>
      <c r="F639" s="37"/>
      <c r="G639" s="37"/>
      <c r="H639" s="37"/>
      <c r="I639" s="38"/>
      <c r="J639" s="38"/>
      <c r="K639" s="40"/>
      <c r="L639" s="40"/>
      <c r="M639" s="40"/>
    </row>
    <row r="640" spans="2:13" x14ac:dyDescent="0.25">
      <c r="B640" s="35"/>
      <c r="C640" s="35"/>
      <c r="D640" s="35"/>
      <c r="E640" s="35"/>
      <c r="F640" s="35"/>
      <c r="G640" s="35"/>
      <c r="H640" s="35"/>
      <c r="I640" s="36"/>
      <c r="J640" s="36"/>
      <c r="K640" s="39"/>
      <c r="L640" s="39"/>
      <c r="M640" s="39"/>
    </row>
    <row r="641" spans="2:13" x14ac:dyDescent="0.25">
      <c r="B641" s="37"/>
      <c r="C641" s="37"/>
      <c r="D641" s="37"/>
      <c r="E641" s="37"/>
      <c r="F641" s="37"/>
      <c r="G641" s="37"/>
      <c r="H641" s="37"/>
      <c r="I641" s="38"/>
      <c r="J641" s="38"/>
      <c r="K641" s="40"/>
      <c r="L641" s="40"/>
      <c r="M641" s="40"/>
    </row>
    <row r="642" spans="2:13" x14ac:dyDescent="0.25">
      <c r="B642" s="35"/>
      <c r="C642" s="35"/>
      <c r="D642" s="35"/>
      <c r="E642" s="35"/>
      <c r="F642" s="35"/>
      <c r="G642" s="35"/>
      <c r="H642" s="35"/>
      <c r="I642" s="36"/>
      <c r="J642" s="36"/>
      <c r="K642" s="39"/>
      <c r="L642" s="39"/>
      <c r="M642" s="39"/>
    </row>
    <row r="643" spans="2:13" x14ac:dyDescent="0.25">
      <c r="B643" s="37"/>
      <c r="C643" s="37"/>
      <c r="D643" s="37"/>
      <c r="E643" s="37"/>
      <c r="F643" s="37"/>
      <c r="G643" s="37"/>
      <c r="H643" s="37"/>
      <c r="I643" s="38"/>
      <c r="J643" s="38"/>
      <c r="K643" s="40"/>
      <c r="L643" s="40"/>
      <c r="M643" s="40"/>
    </row>
    <row r="644" spans="2:13" x14ac:dyDescent="0.25">
      <c r="B644" s="35"/>
      <c r="C644" s="35"/>
      <c r="D644" s="35"/>
      <c r="E644" s="35"/>
      <c r="F644" s="35"/>
      <c r="G644" s="35"/>
      <c r="H644" s="35"/>
      <c r="I644" s="36"/>
      <c r="J644" s="36"/>
      <c r="K644" s="39"/>
      <c r="L644" s="39"/>
      <c r="M644" s="39"/>
    </row>
    <row r="645" spans="2:13" x14ac:dyDescent="0.25">
      <c r="B645" s="37"/>
      <c r="C645" s="37"/>
      <c r="D645" s="37"/>
      <c r="E645" s="37"/>
      <c r="F645" s="37"/>
      <c r="G645" s="37"/>
      <c r="H645" s="37"/>
      <c r="I645" s="38"/>
      <c r="J645" s="38"/>
      <c r="K645" s="40"/>
      <c r="L645" s="40"/>
      <c r="M645" s="40"/>
    </row>
    <row r="646" spans="2:13" x14ac:dyDescent="0.25">
      <c r="B646" s="35"/>
      <c r="C646" s="35"/>
      <c r="D646" s="35"/>
      <c r="E646" s="35"/>
      <c r="F646" s="35"/>
      <c r="G646" s="35"/>
      <c r="H646" s="35"/>
      <c r="I646" s="36"/>
      <c r="J646" s="36"/>
      <c r="K646" s="39"/>
      <c r="L646" s="39"/>
      <c r="M646" s="39"/>
    </row>
    <row r="647" spans="2:13" x14ac:dyDescent="0.25">
      <c r="B647" s="37"/>
      <c r="C647" s="37"/>
      <c r="D647" s="37"/>
      <c r="E647" s="37"/>
      <c r="F647" s="37"/>
      <c r="G647" s="37"/>
      <c r="H647" s="37"/>
      <c r="I647" s="38"/>
      <c r="J647" s="38"/>
      <c r="K647" s="40"/>
      <c r="L647" s="40"/>
      <c r="M647" s="40"/>
    </row>
    <row r="648" spans="2:13" x14ac:dyDescent="0.25">
      <c r="B648" s="35"/>
      <c r="C648" s="35"/>
      <c r="D648" s="35"/>
      <c r="E648" s="35"/>
      <c r="F648" s="35"/>
      <c r="G648" s="35"/>
      <c r="H648" s="35"/>
      <c r="I648" s="36"/>
      <c r="J648" s="36"/>
      <c r="K648" s="39"/>
      <c r="L648" s="39"/>
      <c r="M648" s="39"/>
    </row>
    <row r="649" spans="2:13" x14ac:dyDescent="0.25">
      <c r="B649" s="37"/>
      <c r="C649" s="37"/>
      <c r="D649" s="37"/>
      <c r="E649" s="37"/>
      <c r="F649" s="37"/>
      <c r="G649" s="37"/>
      <c r="H649" s="37"/>
      <c r="I649" s="38"/>
      <c r="J649" s="38"/>
      <c r="K649" s="40"/>
      <c r="L649" s="40"/>
      <c r="M649" s="40"/>
    </row>
    <row r="650" spans="2:13" x14ac:dyDescent="0.25">
      <c r="B650" s="35"/>
      <c r="C650" s="35"/>
      <c r="D650" s="35"/>
      <c r="E650" s="35"/>
      <c r="F650" s="35"/>
      <c r="G650" s="35"/>
      <c r="H650" s="35"/>
      <c r="I650" s="36"/>
      <c r="J650" s="36"/>
      <c r="K650" s="39"/>
      <c r="L650" s="39"/>
      <c r="M650" s="39"/>
    </row>
    <row r="651" spans="2:13" x14ac:dyDescent="0.25">
      <c r="B651" s="37"/>
      <c r="C651" s="37"/>
      <c r="D651" s="37"/>
      <c r="E651" s="37"/>
      <c r="F651" s="37"/>
      <c r="G651" s="37"/>
      <c r="H651" s="37"/>
      <c r="I651" s="38"/>
      <c r="J651" s="38"/>
      <c r="K651" s="40"/>
      <c r="L651" s="40"/>
      <c r="M651" s="40"/>
    </row>
    <row r="652" spans="2:13" x14ac:dyDescent="0.25">
      <c r="B652" s="35"/>
      <c r="C652" s="35"/>
      <c r="D652" s="35"/>
      <c r="E652" s="35"/>
      <c r="F652" s="35"/>
      <c r="G652" s="35"/>
      <c r="H652" s="35"/>
      <c r="I652" s="36"/>
      <c r="J652" s="36"/>
      <c r="K652" s="39"/>
      <c r="L652" s="39"/>
      <c r="M652" s="39"/>
    </row>
    <row r="653" spans="2:13" x14ac:dyDescent="0.25">
      <c r="B653" s="37"/>
      <c r="C653" s="37"/>
      <c r="D653" s="37"/>
      <c r="E653" s="37"/>
      <c r="F653" s="37"/>
      <c r="G653" s="37"/>
      <c r="H653" s="37"/>
      <c r="I653" s="38"/>
      <c r="J653" s="38"/>
      <c r="K653" s="40"/>
      <c r="L653" s="40"/>
      <c r="M653" s="40"/>
    </row>
    <row r="654" spans="2:13" x14ac:dyDescent="0.25">
      <c r="B654" s="35"/>
      <c r="C654" s="35"/>
      <c r="D654" s="35"/>
      <c r="E654" s="35"/>
      <c r="F654" s="35"/>
      <c r="G654" s="35"/>
      <c r="H654" s="35"/>
      <c r="I654" s="36"/>
      <c r="J654" s="36"/>
      <c r="K654" s="39"/>
      <c r="L654" s="39"/>
      <c r="M654" s="39"/>
    </row>
    <row r="655" spans="2:13" x14ac:dyDescent="0.25">
      <c r="B655" s="37"/>
      <c r="C655" s="37"/>
      <c r="D655" s="37"/>
      <c r="E655" s="37"/>
      <c r="F655" s="37"/>
      <c r="G655" s="37"/>
      <c r="H655" s="37"/>
      <c r="I655" s="38"/>
      <c r="J655" s="38"/>
      <c r="K655" s="40"/>
      <c r="L655" s="40"/>
      <c r="M655" s="40"/>
    </row>
    <row r="656" spans="2:13" x14ac:dyDescent="0.25">
      <c r="B656" s="35"/>
      <c r="C656" s="35"/>
      <c r="D656" s="35"/>
      <c r="E656" s="35"/>
      <c r="F656" s="35"/>
      <c r="G656" s="35"/>
      <c r="H656" s="35"/>
      <c r="I656" s="36"/>
      <c r="J656" s="36"/>
      <c r="K656" s="39"/>
      <c r="L656" s="39"/>
      <c r="M656" s="39"/>
    </row>
    <row r="657" spans="2:13" x14ac:dyDescent="0.25">
      <c r="B657" s="37"/>
      <c r="C657" s="37"/>
      <c r="D657" s="37"/>
      <c r="E657" s="37"/>
      <c r="F657" s="37"/>
      <c r="G657" s="37"/>
      <c r="H657" s="37"/>
      <c r="I657" s="38"/>
      <c r="J657" s="38"/>
      <c r="K657" s="40"/>
      <c r="L657" s="40"/>
      <c r="M657" s="40"/>
    </row>
    <row r="658" spans="2:13" x14ac:dyDescent="0.25">
      <c r="B658" s="35"/>
      <c r="C658" s="35"/>
      <c r="D658" s="35"/>
      <c r="E658" s="35"/>
      <c r="F658" s="35"/>
      <c r="G658" s="35"/>
      <c r="H658" s="35"/>
      <c r="I658" s="36"/>
      <c r="J658" s="36"/>
      <c r="K658" s="39"/>
      <c r="L658" s="39"/>
      <c r="M658" s="39"/>
    </row>
    <row r="659" spans="2:13" x14ac:dyDescent="0.25">
      <c r="B659" s="37"/>
      <c r="C659" s="37"/>
      <c r="D659" s="37"/>
      <c r="E659" s="37"/>
      <c r="F659" s="37"/>
      <c r="G659" s="37"/>
      <c r="H659" s="37"/>
      <c r="I659" s="38"/>
      <c r="J659" s="38"/>
      <c r="K659" s="40"/>
      <c r="L659" s="40"/>
      <c r="M659" s="40"/>
    </row>
    <row r="660" spans="2:13" x14ac:dyDescent="0.25">
      <c r="B660" s="35"/>
      <c r="C660" s="35"/>
      <c r="D660" s="35"/>
      <c r="E660" s="35"/>
      <c r="F660" s="35"/>
      <c r="G660" s="35"/>
      <c r="H660" s="35"/>
      <c r="I660" s="36"/>
      <c r="J660" s="36"/>
      <c r="K660" s="39"/>
      <c r="L660" s="39"/>
      <c r="M660" s="39"/>
    </row>
    <row r="661" spans="2:13" x14ac:dyDescent="0.25">
      <c r="B661" s="37"/>
      <c r="C661" s="37"/>
      <c r="D661" s="37"/>
      <c r="E661" s="37"/>
      <c r="F661" s="37"/>
      <c r="G661" s="37"/>
      <c r="H661" s="37"/>
      <c r="I661" s="38"/>
      <c r="J661" s="38"/>
      <c r="K661" s="40"/>
      <c r="L661" s="40"/>
      <c r="M661" s="40"/>
    </row>
    <row r="662" spans="2:13" x14ac:dyDescent="0.25">
      <c r="B662" s="35"/>
      <c r="C662" s="35"/>
      <c r="D662" s="35"/>
      <c r="E662" s="35"/>
      <c r="F662" s="35"/>
      <c r="G662" s="35"/>
      <c r="H662" s="35"/>
      <c r="I662" s="36"/>
      <c r="J662" s="36"/>
      <c r="K662" s="39"/>
      <c r="L662" s="39"/>
      <c r="M662" s="39"/>
    </row>
    <row r="663" spans="2:13" x14ac:dyDescent="0.25">
      <c r="B663" s="37"/>
      <c r="C663" s="37"/>
      <c r="D663" s="37"/>
      <c r="E663" s="37"/>
      <c r="F663" s="37"/>
      <c r="G663" s="37"/>
      <c r="H663" s="37"/>
      <c r="I663" s="38"/>
      <c r="J663" s="38"/>
      <c r="K663" s="40"/>
      <c r="L663" s="40"/>
      <c r="M663" s="40"/>
    </row>
    <row r="664" spans="2:13" x14ac:dyDescent="0.25">
      <c r="B664" s="35"/>
      <c r="C664" s="35"/>
      <c r="D664" s="35"/>
      <c r="E664" s="35"/>
      <c r="F664" s="35"/>
      <c r="G664" s="35"/>
      <c r="H664" s="35"/>
      <c r="I664" s="36"/>
      <c r="J664" s="36"/>
      <c r="K664" s="39"/>
      <c r="L664" s="39"/>
      <c r="M664" s="39"/>
    </row>
    <row r="665" spans="2:13" x14ac:dyDescent="0.25">
      <c r="B665" s="37"/>
      <c r="C665" s="37"/>
      <c r="D665" s="37"/>
      <c r="E665" s="37"/>
      <c r="F665" s="37"/>
      <c r="G665" s="37"/>
      <c r="H665" s="37"/>
      <c r="I665" s="38"/>
      <c r="J665" s="38"/>
      <c r="K665" s="40"/>
      <c r="L665" s="40"/>
      <c r="M665" s="40"/>
    </row>
    <row r="666" spans="2:13" x14ac:dyDescent="0.25">
      <c r="B666" s="35"/>
      <c r="C666" s="35"/>
      <c r="D666" s="35"/>
      <c r="E666" s="35"/>
      <c r="F666" s="35"/>
      <c r="G666" s="35"/>
      <c r="H666" s="35"/>
      <c r="I666" s="36"/>
      <c r="J666" s="36"/>
      <c r="K666" s="39"/>
      <c r="L666" s="39"/>
      <c r="M666" s="39"/>
    </row>
    <row r="667" spans="2:13" x14ac:dyDescent="0.25">
      <c r="B667" s="37"/>
      <c r="C667" s="37"/>
      <c r="D667" s="37"/>
      <c r="E667" s="37"/>
      <c r="F667" s="37"/>
      <c r="G667" s="37"/>
      <c r="H667" s="37"/>
      <c r="I667" s="38"/>
      <c r="J667" s="38"/>
      <c r="K667" s="40"/>
      <c r="L667" s="40"/>
      <c r="M667" s="40"/>
    </row>
    <row r="668" spans="2:13" x14ac:dyDescent="0.25">
      <c r="B668" s="35"/>
      <c r="C668" s="35"/>
      <c r="D668" s="35"/>
      <c r="E668" s="35"/>
      <c r="F668" s="35"/>
      <c r="G668" s="35"/>
      <c r="H668" s="35"/>
      <c r="I668" s="36"/>
      <c r="J668" s="36"/>
      <c r="K668" s="39"/>
      <c r="L668" s="39"/>
      <c r="M668" s="39"/>
    </row>
    <row r="669" spans="2:13" x14ac:dyDescent="0.25">
      <c r="B669" s="37"/>
      <c r="C669" s="37"/>
      <c r="D669" s="37"/>
      <c r="E669" s="37"/>
      <c r="F669" s="37"/>
      <c r="G669" s="37"/>
      <c r="H669" s="37"/>
      <c r="I669" s="38"/>
      <c r="J669" s="38"/>
      <c r="K669" s="40"/>
      <c r="L669" s="40"/>
      <c r="M669" s="40"/>
    </row>
    <row r="670" spans="2:13" x14ac:dyDescent="0.25">
      <c r="B670" s="35"/>
      <c r="C670" s="35"/>
      <c r="D670" s="35"/>
      <c r="E670" s="35"/>
      <c r="F670" s="35"/>
      <c r="G670" s="35"/>
      <c r="H670" s="35"/>
      <c r="I670" s="36"/>
      <c r="J670" s="36"/>
      <c r="K670" s="39"/>
      <c r="L670" s="39"/>
      <c r="M670" s="39"/>
    </row>
    <row r="671" spans="2:13" x14ac:dyDescent="0.25">
      <c r="B671" s="37"/>
      <c r="C671" s="37"/>
      <c r="D671" s="37"/>
      <c r="E671" s="37"/>
      <c r="F671" s="37"/>
      <c r="G671" s="37"/>
      <c r="H671" s="37"/>
      <c r="I671" s="38"/>
      <c r="J671" s="38"/>
      <c r="K671" s="40"/>
      <c r="L671" s="40"/>
      <c r="M671" s="40"/>
    </row>
    <row r="672" spans="2:13" x14ac:dyDescent="0.25">
      <c r="B672" s="35"/>
      <c r="C672" s="35"/>
      <c r="D672" s="35"/>
      <c r="E672" s="35"/>
      <c r="F672" s="35"/>
      <c r="G672" s="35"/>
      <c r="H672" s="35"/>
      <c r="I672" s="36"/>
      <c r="J672" s="36"/>
      <c r="K672" s="39"/>
      <c r="L672" s="39"/>
      <c r="M672" s="39"/>
    </row>
    <row r="673" spans="2:13" x14ac:dyDescent="0.25">
      <c r="B673" s="37"/>
      <c r="C673" s="37"/>
      <c r="D673" s="37"/>
      <c r="E673" s="37"/>
      <c r="F673" s="37"/>
      <c r="G673" s="37"/>
      <c r="H673" s="37"/>
      <c r="I673" s="38"/>
      <c r="J673" s="38"/>
      <c r="K673" s="40"/>
      <c r="L673" s="40"/>
      <c r="M673" s="40"/>
    </row>
    <row r="674" spans="2:13" x14ac:dyDescent="0.25">
      <c r="B674" s="35"/>
      <c r="C674" s="35"/>
      <c r="D674" s="35"/>
      <c r="E674" s="35"/>
      <c r="F674" s="35"/>
      <c r="G674" s="35"/>
      <c r="H674" s="35"/>
      <c r="I674" s="36"/>
      <c r="J674" s="36"/>
      <c r="K674" s="39"/>
      <c r="L674" s="39"/>
      <c r="M674" s="39"/>
    </row>
    <row r="675" spans="2:13" x14ac:dyDescent="0.25">
      <c r="B675" s="37"/>
      <c r="C675" s="37"/>
      <c r="D675" s="37"/>
      <c r="E675" s="37"/>
      <c r="F675" s="37"/>
      <c r="G675" s="37"/>
      <c r="H675" s="37"/>
      <c r="I675" s="38"/>
      <c r="J675" s="38"/>
      <c r="K675" s="40"/>
      <c r="L675" s="40"/>
      <c r="M675" s="40"/>
    </row>
    <row r="676" spans="2:13" x14ac:dyDescent="0.25">
      <c r="B676" s="35"/>
      <c r="C676" s="35"/>
      <c r="D676" s="35"/>
      <c r="E676" s="35"/>
      <c r="F676" s="35"/>
      <c r="G676" s="35"/>
      <c r="H676" s="35"/>
      <c r="I676" s="36"/>
      <c r="J676" s="36"/>
      <c r="K676" s="39"/>
      <c r="L676" s="39"/>
      <c r="M676" s="39"/>
    </row>
    <row r="677" spans="2:13" x14ac:dyDescent="0.25">
      <c r="B677" s="37"/>
      <c r="C677" s="37"/>
      <c r="D677" s="37"/>
      <c r="E677" s="37"/>
      <c r="F677" s="37"/>
      <c r="G677" s="37"/>
      <c r="H677" s="37"/>
      <c r="I677" s="38"/>
      <c r="J677" s="38"/>
      <c r="K677" s="40"/>
      <c r="L677" s="40"/>
      <c r="M677" s="40"/>
    </row>
    <row r="678" spans="2:13" x14ac:dyDescent="0.25">
      <c r="B678" s="35"/>
      <c r="C678" s="35"/>
      <c r="D678" s="35"/>
      <c r="E678" s="35"/>
      <c r="F678" s="35"/>
      <c r="G678" s="35"/>
      <c r="H678" s="35"/>
      <c r="I678" s="36"/>
      <c r="J678" s="36"/>
      <c r="K678" s="39"/>
      <c r="L678" s="39"/>
      <c r="M678" s="39"/>
    </row>
    <row r="679" spans="2:13" x14ac:dyDescent="0.25">
      <c r="B679" s="37"/>
      <c r="C679" s="37"/>
      <c r="D679" s="37"/>
      <c r="E679" s="37"/>
      <c r="F679" s="37"/>
      <c r="G679" s="37"/>
      <c r="H679" s="37"/>
      <c r="I679" s="38"/>
      <c r="J679" s="38"/>
      <c r="K679" s="40"/>
      <c r="L679" s="40"/>
      <c r="M679" s="40"/>
    </row>
    <row r="680" spans="2:13" x14ac:dyDescent="0.25">
      <c r="B680" s="35"/>
      <c r="C680" s="35"/>
      <c r="D680" s="35"/>
      <c r="E680" s="35"/>
      <c r="F680" s="35"/>
      <c r="G680" s="35"/>
      <c r="H680" s="35"/>
      <c r="I680" s="36"/>
      <c r="J680" s="36"/>
      <c r="K680" s="39"/>
      <c r="L680" s="39"/>
      <c r="M680" s="39"/>
    </row>
    <row r="681" spans="2:13" x14ac:dyDescent="0.25">
      <c r="B681" s="37"/>
      <c r="C681" s="37"/>
      <c r="D681" s="37"/>
      <c r="E681" s="37"/>
      <c r="F681" s="37"/>
      <c r="G681" s="37"/>
      <c r="H681" s="37"/>
      <c r="I681" s="38"/>
      <c r="J681" s="38"/>
      <c r="K681" s="40"/>
      <c r="L681" s="40"/>
      <c r="M681" s="40"/>
    </row>
    <row r="682" spans="2:13" x14ac:dyDescent="0.25">
      <c r="B682" s="35"/>
      <c r="C682" s="35"/>
      <c r="D682" s="35"/>
      <c r="E682" s="35"/>
      <c r="F682" s="35"/>
      <c r="G682" s="35"/>
      <c r="H682" s="35"/>
      <c r="I682" s="36"/>
      <c r="J682" s="36"/>
      <c r="K682" s="39"/>
      <c r="L682" s="39"/>
      <c r="M682" s="39"/>
    </row>
    <row r="683" spans="2:13" x14ac:dyDescent="0.25">
      <c r="B683" s="37"/>
      <c r="C683" s="37"/>
      <c r="D683" s="37"/>
      <c r="E683" s="37"/>
      <c r="F683" s="37"/>
      <c r="G683" s="37"/>
      <c r="H683" s="37"/>
      <c r="I683" s="38"/>
      <c r="J683" s="38"/>
      <c r="K683" s="40"/>
      <c r="L683" s="40"/>
      <c r="M683" s="40"/>
    </row>
    <row r="684" spans="2:13" x14ac:dyDescent="0.25">
      <c r="B684" s="35"/>
      <c r="C684" s="35"/>
      <c r="D684" s="35"/>
      <c r="E684" s="35"/>
      <c r="F684" s="35"/>
      <c r="G684" s="35"/>
      <c r="H684" s="35"/>
      <c r="I684" s="36"/>
      <c r="J684" s="36"/>
      <c r="K684" s="39"/>
      <c r="L684" s="39"/>
      <c r="M684" s="39"/>
    </row>
    <row r="685" spans="2:13" x14ac:dyDescent="0.25">
      <c r="B685" s="37"/>
      <c r="C685" s="37"/>
      <c r="D685" s="37"/>
      <c r="E685" s="37"/>
      <c r="F685" s="37"/>
      <c r="G685" s="37"/>
      <c r="H685" s="37"/>
      <c r="I685" s="38"/>
      <c r="J685" s="38"/>
      <c r="K685" s="40"/>
      <c r="L685" s="40"/>
      <c r="M685" s="40"/>
    </row>
    <row r="686" spans="2:13" x14ac:dyDescent="0.25">
      <c r="B686" s="35"/>
      <c r="C686" s="35"/>
      <c r="D686" s="35"/>
      <c r="E686" s="35"/>
      <c r="F686" s="35"/>
      <c r="G686" s="35"/>
      <c r="H686" s="35"/>
      <c r="I686" s="36"/>
      <c r="J686" s="36"/>
      <c r="K686" s="39"/>
      <c r="L686" s="39"/>
      <c r="M686" s="39"/>
    </row>
    <row r="687" spans="2:13" x14ac:dyDescent="0.25">
      <c r="B687" s="37"/>
      <c r="C687" s="37"/>
      <c r="D687" s="37"/>
      <c r="E687" s="37"/>
      <c r="F687" s="37"/>
      <c r="G687" s="37"/>
      <c r="H687" s="37"/>
      <c r="I687" s="38"/>
      <c r="J687" s="38"/>
      <c r="K687" s="40"/>
      <c r="L687" s="40"/>
      <c r="M687" s="40"/>
    </row>
    <row r="688" spans="2:13" x14ac:dyDescent="0.25">
      <c r="B688" s="35"/>
      <c r="C688" s="35"/>
      <c r="D688" s="35"/>
      <c r="E688" s="35"/>
      <c r="F688" s="35"/>
      <c r="G688" s="35"/>
      <c r="H688" s="35"/>
      <c r="I688" s="36"/>
      <c r="J688" s="36"/>
      <c r="K688" s="39"/>
      <c r="L688" s="39"/>
      <c r="M688" s="39"/>
    </row>
    <row r="689" spans="2:13" x14ac:dyDescent="0.25">
      <c r="B689" s="37"/>
      <c r="C689" s="37"/>
      <c r="D689" s="37"/>
      <c r="E689" s="37"/>
      <c r="F689" s="37"/>
      <c r="G689" s="37"/>
      <c r="H689" s="37"/>
      <c r="I689" s="38"/>
      <c r="J689" s="38"/>
      <c r="K689" s="40"/>
      <c r="L689" s="40"/>
      <c r="M689" s="40"/>
    </row>
    <row r="690" spans="2:13" x14ac:dyDescent="0.25">
      <c r="B690" s="35"/>
      <c r="C690" s="35"/>
      <c r="D690" s="35"/>
      <c r="E690" s="35"/>
      <c r="F690" s="35"/>
      <c r="G690" s="35"/>
      <c r="H690" s="35"/>
      <c r="I690" s="36"/>
      <c r="J690" s="36"/>
      <c r="K690" s="39"/>
      <c r="L690" s="39"/>
      <c r="M690" s="39"/>
    </row>
    <row r="691" spans="2:13" x14ac:dyDescent="0.25">
      <c r="B691" s="37"/>
      <c r="C691" s="37"/>
      <c r="D691" s="37"/>
      <c r="E691" s="37"/>
      <c r="F691" s="37"/>
      <c r="G691" s="37"/>
      <c r="H691" s="37"/>
      <c r="I691" s="38"/>
      <c r="J691" s="38"/>
      <c r="K691" s="40"/>
      <c r="L691" s="40"/>
      <c r="M691" s="40"/>
    </row>
    <row r="692" spans="2:13" x14ac:dyDescent="0.25">
      <c r="B692" s="35"/>
      <c r="C692" s="35"/>
      <c r="D692" s="35"/>
      <c r="E692" s="35"/>
      <c r="F692" s="35"/>
      <c r="G692" s="35"/>
      <c r="H692" s="35"/>
      <c r="I692" s="36"/>
      <c r="J692" s="36"/>
      <c r="K692" s="39"/>
      <c r="L692" s="39"/>
      <c r="M692" s="39"/>
    </row>
    <row r="693" spans="2:13" x14ac:dyDescent="0.25">
      <c r="B693" s="37"/>
      <c r="C693" s="37"/>
      <c r="D693" s="37"/>
      <c r="E693" s="37"/>
      <c r="F693" s="37"/>
      <c r="G693" s="37"/>
      <c r="H693" s="37"/>
      <c r="I693" s="38"/>
      <c r="J693" s="38"/>
      <c r="K693" s="40"/>
      <c r="L693" s="40"/>
      <c r="M693" s="40"/>
    </row>
    <row r="694" spans="2:13" x14ac:dyDescent="0.25">
      <c r="B694" s="35"/>
      <c r="C694" s="35"/>
      <c r="D694" s="35"/>
      <c r="E694" s="35"/>
      <c r="F694" s="35"/>
      <c r="G694" s="35"/>
      <c r="H694" s="35"/>
      <c r="I694" s="36"/>
      <c r="J694" s="36"/>
      <c r="K694" s="39"/>
      <c r="L694" s="39"/>
      <c r="M694" s="39"/>
    </row>
    <row r="695" spans="2:13" x14ac:dyDescent="0.25">
      <c r="B695" s="37"/>
      <c r="C695" s="37"/>
      <c r="D695" s="37"/>
      <c r="E695" s="37"/>
      <c r="F695" s="37"/>
      <c r="G695" s="37"/>
      <c r="H695" s="37"/>
      <c r="I695" s="38"/>
      <c r="J695" s="38"/>
      <c r="K695" s="40"/>
      <c r="L695" s="40"/>
      <c r="M695" s="40"/>
    </row>
    <row r="696" spans="2:13" x14ac:dyDescent="0.25">
      <c r="B696" s="35"/>
      <c r="C696" s="35"/>
      <c r="D696" s="35"/>
      <c r="E696" s="35"/>
      <c r="F696" s="35"/>
      <c r="G696" s="35"/>
      <c r="H696" s="35"/>
      <c r="I696" s="36"/>
      <c r="J696" s="36"/>
      <c r="K696" s="39"/>
      <c r="L696" s="39"/>
      <c r="M696" s="39"/>
    </row>
    <row r="697" spans="2:13" x14ac:dyDescent="0.25">
      <c r="B697" s="37"/>
      <c r="C697" s="37"/>
      <c r="D697" s="37"/>
      <c r="E697" s="37"/>
      <c r="F697" s="37"/>
      <c r="G697" s="37"/>
      <c r="H697" s="37"/>
      <c r="I697" s="38"/>
      <c r="J697" s="38"/>
      <c r="K697" s="40"/>
      <c r="L697" s="40"/>
      <c r="M697" s="40"/>
    </row>
    <row r="698" spans="2:13" x14ac:dyDescent="0.25">
      <c r="B698" s="35"/>
      <c r="C698" s="35"/>
      <c r="D698" s="35"/>
      <c r="E698" s="35"/>
      <c r="F698" s="35"/>
      <c r="G698" s="35"/>
      <c r="H698" s="35"/>
      <c r="I698" s="36"/>
      <c r="J698" s="36"/>
      <c r="K698" s="39"/>
      <c r="L698" s="39"/>
      <c r="M698" s="39"/>
    </row>
    <row r="699" spans="2:13" x14ac:dyDescent="0.25">
      <c r="B699" s="37"/>
      <c r="C699" s="37"/>
      <c r="D699" s="37"/>
      <c r="E699" s="37"/>
      <c r="F699" s="37"/>
      <c r="G699" s="37"/>
      <c r="H699" s="37"/>
      <c r="I699" s="38"/>
      <c r="J699" s="38"/>
      <c r="K699" s="40"/>
      <c r="L699" s="40"/>
      <c r="M699" s="40"/>
    </row>
    <row r="700" spans="2:13" x14ac:dyDescent="0.25">
      <c r="B700" s="35"/>
      <c r="C700" s="35"/>
      <c r="D700" s="35"/>
      <c r="E700" s="35"/>
      <c r="F700" s="35"/>
      <c r="G700" s="35"/>
      <c r="H700" s="35"/>
      <c r="I700" s="36"/>
      <c r="J700" s="36"/>
      <c r="K700" s="39"/>
      <c r="L700" s="39"/>
      <c r="M700" s="39"/>
    </row>
    <row r="701" spans="2:13" x14ac:dyDescent="0.25">
      <c r="B701" s="37"/>
      <c r="C701" s="37"/>
      <c r="D701" s="37"/>
      <c r="E701" s="37"/>
      <c r="F701" s="37"/>
      <c r="G701" s="37"/>
      <c r="H701" s="37"/>
      <c r="I701" s="38"/>
      <c r="J701" s="38"/>
      <c r="K701" s="40"/>
      <c r="L701" s="40"/>
      <c r="M701" s="40"/>
    </row>
    <row r="702" spans="2:13" x14ac:dyDescent="0.25">
      <c r="B702" s="35"/>
      <c r="C702" s="35"/>
      <c r="D702" s="35"/>
      <c r="E702" s="35"/>
      <c r="F702" s="35"/>
      <c r="G702" s="35"/>
      <c r="H702" s="35"/>
      <c r="I702" s="36"/>
      <c r="J702" s="36"/>
      <c r="K702" s="39"/>
      <c r="L702" s="39"/>
      <c r="M702" s="39"/>
    </row>
    <row r="703" spans="2:13" x14ac:dyDescent="0.25">
      <c r="B703" s="37"/>
      <c r="C703" s="37"/>
      <c r="D703" s="37"/>
      <c r="E703" s="37"/>
      <c r="F703" s="37"/>
      <c r="G703" s="37"/>
      <c r="H703" s="37"/>
      <c r="I703" s="38"/>
      <c r="J703" s="38"/>
      <c r="K703" s="40"/>
      <c r="L703" s="40"/>
      <c r="M703" s="40"/>
    </row>
    <row r="704" spans="2:13" x14ac:dyDescent="0.25">
      <c r="B704" s="35"/>
      <c r="C704" s="35"/>
      <c r="D704" s="35"/>
      <c r="E704" s="35"/>
      <c r="F704" s="35"/>
      <c r="G704" s="35"/>
      <c r="H704" s="35"/>
      <c r="I704" s="36"/>
      <c r="J704" s="36"/>
      <c r="K704" s="39"/>
      <c r="L704" s="39"/>
      <c r="M704" s="39"/>
    </row>
    <row r="705" spans="2:13" x14ac:dyDescent="0.25">
      <c r="B705" s="37"/>
      <c r="C705" s="37"/>
      <c r="D705" s="37"/>
      <c r="E705" s="37"/>
      <c r="F705" s="37"/>
      <c r="G705" s="37"/>
      <c r="H705" s="37"/>
      <c r="I705" s="38"/>
      <c r="J705" s="38"/>
      <c r="K705" s="40"/>
      <c r="L705" s="40"/>
      <c r="M705" s="40"/>
    </row>
    <row r="706" spans="2:13" x14ac:dyDescent="0.25">
      <c r="B706" s="35"/>
      <c r="C706" s="35"/>
      <c r="D706" s="35"/>
      <c r="E706" s="35"/>
      <c r="F706" s="35"/>
      <c r="G706" s="35"/>
      <c r="H706" s="35"/>
      <c r="I706" s="36"/>
      <c r="J706" s="36"/>
      <c r="K706" s="39"/>
      <c r="L706" s="39"/>
      <c r="M706" s="39"/>
    </row>
    <row r="707" spans="2:13" x14ac:dyDescent="0.25">
      <c r="B707" s="37"/>
      <c r="C707" s="37"/>
      <c r="D707" s="37"/>
      <c r="E707" s="37"/>
      <c r="F707" s="37"/>
      <c r="G707" s="37"/>
      <c r="H707" s="37"/>
      <c r="I707" s="38"/>
      <c r="J707" s="38"/>
      <c r="K707" s="40"/>
      <c r="L707" s="40"/>
      <c r="M707" s="40"/>
    </row>
    <row r="708" spans="2:13" x14ac:dyDescent="0.25">
      <c r="B708" s="35"/>
      <c r="C708" s="35"/>
      <c r="D708" s="35"/>
      <c r="E708" s="35"/>
      <c r="F708" s="35"/>
      <c r="G708" s="35"/>
      <c r="H708" s="35"/>
      <c r="I708" s="36"/>
      <c r="J708" s="36"/>
      <c r="K708" s="39"/>
      <c r="L708" s="39"/>
      <c r="M708" s="39"/>
    </row>
    <row r="709" spans="2:13" x14ac:dyDescent="0.25">
      <c r="B709" s="37"/>
      <c r="C709" s="37"/>
      <c r="D709" s="37"/>
      <c r="E709" s="37"/>
      <c r="F709" s="37"/>
      <c r="G709" s="37"/>
      <c r="H709" s="37"/>
      <c r="I709" s="38"/>
      <c r="J709" s="38"/>
      <c r="K709" s="40"/>
      <c r="L709" s="40"/>
      <c r="M709" s="40"/>
    </row>
    <row r="710" spans="2:13" x14ac:dyDescent="0.25">
      <c r="B710" s="35"/>
      <c r="C710" s="35"/>
      <c r="D710" s="35"/>
      <c r="E710" s="35"/>
      <c r="F710" s="35"/>
      <c r="G710" s="35"/>
      <c r="H710" s="35"/>
      <c r="I710" s="36"/>
      <c r="J710" s="36"/>
      <c r="K710" s="39"/>
      <c r="L710" s="39"/>
      <c r="M710" s="39"/>
    </row>
    <row r="711" spans="2:13" x14ac:dyDescent="0.25">
      <c r="B711" s="37"/>
      <c r="C711" s="37"/>
      <c r="D711" s="37"/>
      <c r="E711" s="37"/>
      <c r="F711" s="37"/>
      <c r="G711" s="37"/>
      <c r="H711" s="37"/>
      <c r="I711" s="38"/>
      <c r="J711" s="38"/>
      <c r="K711" s="40"/>
      <c r="L711" s="40"/>
      <c r="M711" s="40"/>
    </row>
    <row r="712" spans="2:13" x14ac:dyDescent="0.25">
      <c r="B712" s="35"/>
      <c r="C712" s="35"/>
      <c r="D712" s="35"/>
      <c r="E712" s="35"/>
      <c r="F712" s="35"/>
      <c r="G712" s="35"/>
      <c r="H712" s="35"/>
      <c r="I712" s="36"/>
      <c r="J712" s="36"/>
      <c r="K712" s="39"/>
      <c r="L712" s="39"/>
      <c r="M712" s="39"/>
    </row>
    <row r="713" spans="2:13" x14ac:dyDescent="0.25">
      <c r="B713" s="37"/>
      <c r="C713" s="37"/>
      <c r="D713" s="37"/>
      <c r="E713" s="37"/>
      <c r="F713" s="37"/>
      <c r="G713" s="37"/>
      <c r="H713" s="37"/>
      <c r="I713" s="38"/>
      <c r="J713" s="38"/>
      <c r="K713" s="40"/>
      <c r="L713" s="40"/>
      <c r="M713" s="40"/>
    </row>
    <row r="714" spans="2:13" x14ac:dyDescent="0.25">
      <c r="B714" s="35"/>
      <c r="C714" s="35"/>
      <c r="D714" s="35"/>
      <c r="E714" s="35"/>
      <c r="F714" s="35"/>
      <c r="G714" s="35"/>
      <c r="H714" s="35"/>
      <c r="I714" s="36"/>
      <c r="J714" s="36"/>
      <c r="K714" s="39"/>
      <c r="L714" s="39"/>
      <c r="M714" s="39"/>
    </row>
    <row r="715" spans="2:13" x14ac:dyDescent="0.25">
      <c r="B715" s="37"/>
      <c r="C715" s="37"/>
      <c r="D715" s="37"/>
      <c r="E715" s="37"/>
      <c r="F715" s="37"/>
      <c r="G715" s="37"/>
      <c r="H715" s="37"/>
      <c r="I715" s="38"/>
      <c r="J715" s="38"/>
      <c r="K715" s="40"/>
      <c r="L715" s="40"/>
      <c r="M715" s="40"/>
    </row>
    <row r="716" spans="2:13" x14ac:dyDescent="0.25">
      <c r="B716" s="35"/>
      <c r="C716" s="35"/>
      <c r="D716" s="35"/>
      <c r="E716" s="35"/>
      <c r="F716" s="35"/>
      <c r="G716" s="35"/>
      <c r="H716" s="35"/>
      <c r="I716" s="36"/>
      <c r="J716" s="36"/>
      <c r="K716" s="39"/>
      <c r="L716" s="39"/>
      <c r="M716" s="39"/>
    </row>
    <row r="717" spans="2:13" x14ac:dyDescent="0.25">
      <c r="B717" s="37"/>
      <c r="C717" s="37"/>
      <c r="D717" s="37"/>
      <c r="E717" s="37"/>
      <c r="F717" s="37"/>
      <c r="G717" s="37"/>
      <c r="H717" s="37"/>
      <c r="I717" s="38"/>
      <c r="J717" s="38"/>
      <c r="K717" s="40"/>
      <c r="L717" s="40"/>
      <c r="M717" s="40"/>
    </row>
    <row r="718" spans="2:13" x14ac:dyDescent="0.25">
      <c r="B718" s="35"/>
      <c r="C718" s="35"/>
      <c r="D718" s="35"/>
      <c r="E718" s="35"/>
      <c r="F718" s="35"/>
      <c r="G718" s="35"/>
      <c r="H718" s="35"/>
      <c r="I718" s="36"/>
      <c r="J718" s="36"/>
      <c r="K718" s="39"/>
      <c r="L718" s="39"/>
      <c r="M718" s="39"/>
    </row>
    <row r="719" spans="2:13" x14ac:dyDescent="0.25">
      <c r="B719" s="37"/>
      <c r="C719" s="37"/>
      <c r="D719" s="37"/>
      <c r="E719" s="37"/>
      <c r="F719" s="37"/>
      <c r="G719" s="37"/>
      <c r="H719" s="37"/>
      <c r="I719" s="38"/>
      <c r="J719" s="38"/>
      <c r="K719" s="40"/>
      <c r="L719" s="40"/>
      <c r="M719" s="40"/>
    </row>
    <row r="720" spans="2:13" x14ac:dyDescent="0.25">
      <c r="B720" s="35"/>
      <c r="C720" s="35"/>
      <c r="D720" s="35"/>
      <c r="E720" s="35"/>
      <c r="F720" s="35"/>
      <c r="G720" s="35"/>
      <c r="H720" s="35"/>
      <c r="I720" s="36"/>
      <c r="J720" s="36"/>
      <c r="K720" s="39"/>
      <c r="L720" s="39"/>
      <c r="M720" s="39"/>
    </row>
    <row r="721" spans="2:13" x14ac:dyDescent="0.25">
      <c r="B721" s="37"/>
      <c r="C721" s="37"/>
      <c r="D721" s="37"/>
      <c r="E721" s="37"/>
      <c r="F721" s="37"/>
      <c r="G721" s="37"/>
      <c r="H721" s="37"/>
      <c r="I721" s="38"/>
      <c r="J721" s="38"/>
      <c r="K721" s="40"/>
      <c r="L721" s="40"/>
      <c r="M721" s="40"/>
    </row>
    <row r="722" spans="2:13" x14ac:dyDescent="0.25">
      <c r="B722" s="35"/>
      <c r="C722" s="35"/>
      <c r="D722" s="35"/>
      <c r="E722" s="35"/>
      <c r="F722" s="35"/>
      <c r="G722" s="35"/>
      <c r="H722" s="35"/>
      <c r="I722" s="36"/>
      <c r="J722" s="36"/>
      <c r="K722" s="39"/>
      <c r="L722" s="39"/>
      <c r="M722" s="39"/>
    </row>
    <row r="723" spans="2:13" x14ac:dyDescent="0.25">
      <c r="B723" s="37"/>
      <c r="C723" s="37"/>
      <c r="D723" s="37"/>
      <c r="E723" s="37"/>
      <c r="F723" s="37"/>
      <c r="G723" s="37"/>
      <c r="H723" s="37"/>
      <c r="I723" s="38"/>
      <c r="J723" s="38"/>
      <c r="K723" s="40"/>
      <c r="L723" s="40"/>
      <c r="M723" s="40"/>
    </row>
    <row r="724" spans="2:13" x14ac:dyDescent="0.25">
      <c r="B724" s="35"/>
      <c r="C724" s="35"/>
      <c r="D724" s="35"/>
      <c r="E724" s="35"/>
      <c r="F724" s="35"/>
      <c r="G724" s="35"/>
      <c r="H724" s="35"/>
      <c r="I724" s="36"/>
      <c r="J724" s="36"/>
      <c r="K724" s="39"/>
      <c r="L724" s="39"/>
      <c r="M724" s="39"/>
    </row>
    <row r="725" spans="2:13" x14ac:dyDescent="0.25">
      <c r="B725" s="37"/>
      <c r="C725" s="37"/>
      <c r="D725" s="37"/>
      <c r="E725" s="37"/>
      <c r="F725" s="37"/>
      <c r="G725" s="37"/>
      <c r="H725" s="37"/>
      <c r="I725" s="38"/>
      <c r="J725" s="38"/>
      <c r="K725" s="40"/>
      <c r="L725" s="40"/>
      <c r="M725" s="40"/>
    </row>
    <row r="726" spans="2:13" x14ac:dyDescent="0.25">
      <c r="B726" s="35"/>
      <c r="C726" s="35"/>
      <c r="D726" s="35"/>
      <c r="E726" s="35"/>
      <c r="F726" s="35"/>
      <c r="G726" s="35"/>
      <c r="H726" s="35"/>
      <c r="I726" s="36"/>
      <c r="J726" s="36"/>
      <c r="K726" s="39"/>
      <c r="L726" s="39"/>
      <c r="M726" s="39"/>
    </row>
    <row r="727" spans="2:13" x14ac:dyDescent="0.25">
      <c r="B727" s="37"/>
      <c r="C727" s="37"/>
      <c r="D727" s="37"/>
      <c r="E727" s="37"/>
      <c r="F727" s="37"/>
      <c r="G727" s="37"/>
      <c r="H727" s="37"/>
      <c r="I727" s="38"/>
      <c r="J727" s="38"/>
      <c r="K727" s="40"/>
      <c r="L727" s="40"/>
      <c r="M727" s="40"/>
    </row>
    <row r="728" spans="2:13" x14ac:dyDescent="0.25">
      <c r="B728" s="35"/>
      <c r="C728" s="35"/>
      <c r="D728" s="35"/>
      <c r="E728" s="35"/>
      <c r="F728" s="35"/>
      <c r="G728" s="35"/>
      <c r="H728" s="35"/>
      <c r="I728" s="36"/>
      <c r="J728" s="36"/>
      <c r="K728" s="39"/>
      <c r="L728" s="39"/>
      <c r="M728" s="39"/>
    </row>
    <row r="729" spans="2:13" x14ac:dyDescent="0.25">
      <c r="B729" s="37"/>
      <c r="C729" s="37"/>
      <c r="D729" s="37"/>
      <c r="E729" s="37"/>
      <c r="F729" s="37"/>
      <c r="G729" s="37"/>
      <c r="H729" s="37"/>
      <c r="I729" s="38"/>
      <c r="J729" s="38"/>
      <c r="K729" s="40"/>
      <c r="L729" s="40"/>
      <c r="M729" s="40"/>
    </row>
    <row r="730" spans="2:13" x14ac:dyDescent="0.25">
      <c r="B730" s="35"/>
      <c r="C730" s="35"/>
      <c r="D730" s="35"/>
      <c r="E730" s="35"/>
      <c r="F730" s="35"/>
      <c r="G730" s="35"/>
      <c r="H730" s="35"/>
      <c r="I730" s="36"/>
      <c r="J730" s="36"/>
      <c r="K730" s="39"/>
      <c r="L730" s="39"/>
      <c r="M730" s="39"/>
    </row>
    <row r="731" spans="2:13" x14ac:dyDescent="0.25">
      <c r="B731" s="37"/>
      <c r="C731" s="37"/>
      <c r="D731" s="37"/>
      <c r="E731" s="37"/>
      <c r="F731" s="37"/>
      <c r="G731" s="37"/>
      <c r="H731" s="37"/>
      <c r="I731" s="38"/>
      <c r="J731" s="38"/>
      <c r="K731" s="40"/>
      <c r="L731" s="40"/>
      <c r="M731" s="40"/>
    </row>
    <row r="732" spans="2:13" x14ac:dyDescent="0.25">
      <c r="B732" s="35"/>
      <c r="C732" s="35"/>
      <c r="D732" s="35"/>
      <c r="E732" s="35"/>
      <c r="F732" s="35"/>
      <c r="G732" s="35"/>
      <c r="H732" s="35"/>
      <c r="I732" s="36"/>
      <c r="J732" s="36"/>
      <c r="K732" s="39"/>
      <c r="L732" s="39"/>
      <c r="M732" s="39"/>
    </row>
    <row r="733" spans="2:13" x14ac:dyDescent="0.25">
      <c r="B733" s="37"/>
      <c r="C733" s="37"/>
      <c r="D733" s="37"/>
      <c r="E733" s="37"/>
      <c r="F733" s="37"/>
      <c r="G733" s="37"/>
      <c r="H733" s="37"/>
      <c r="I733" s="38"/>
      <c r="J733" s="38"/>
      <c r="K733" s="40"/>
      <c r="L733" s="40"/>
      <c r="M733" s="40"/>
    </row>
    <row r="734" spans="2:13" x14ac:dyDescent="0.25">
      <c r="B734" s="35"/>
      <c r="C734" s="35"/>
      <c r="D734" s="35"/>
      <c r="E734" s="35"/>
      <c r="F734" s="35"/>
      <c r="G734" s="35"/>
      <c r="H734" s="35"/>
      <c r="I734" s="36"/>
      <c r="J734" s="36"/>
      <c r="K734" s="39"/>
      <c r="L734" s="39"/>
      <c r="M734" s="39"/>
    </row>
    <row r="735" spans="2:13" x14ac:dyDescent="0.25">
      <c r="B735" s="37"/>
      <c r="C735" s="37"/>
      <c r="D735" s="37"/>
      <c r="E735" s="37"/>
      <c r="F735" s="37"/>
      <c r="G735" s="37"/>
      <c r="H735" s="37"/>
      <c r="I735" s="38"/>
      <c r="J735" s="38"/>
      <c r="K735" s="40"/>
      <c r="L735" s="40"/>
      <c r="M735" s="40"/>
    </row>
    <row r="736" spans="2:13" x14ac:dyDescent="0.25">
      <c r="B736" s="35"/>
      <c r="C736" s="35"/>
      <c r="D736" s="35"/>
      <c r="E736" s="35"/>
      <c r="F736" s="35"/>
      <c r="G736" s="35"/>
      <c r="H736" s="35"/>
      <c r="I736" s="36"/>
      <c r="J736" s="36"/>
      <c r="K736" s="39"/>
      <c r="L736" s="39"/>
      <c r="M736" s="39"/>
    </row>
    <row r="737" spans="2:13" x14ac:dyDescent="0.25">
      <c r="B737" s="37"/>
      <c r="C737" s="37"/>
      <c r="D737" s="37"/>
      <c r="E737" s="37"/>
      <c r="F737" s="37"/>
      <c r="G737" s="37"/>
      <c r="H737" s="37"/>
      <c r="I737" s="38"/>
      <c r="J737" s="38"/>
      <c r="K737" s="40"/>
      <c r="L737" s="40"/>
      <c r="M737" s="40"/>
    </row>
    <row r="738" spans="2:13" x14ac:dyDescent="0.25">
      <c r="B738" s="35"/>
      <c r="C738" s="35"/>
      <c r="D738" s="35"/>
      <c r="E738" s="35"/>
      <c r="F738" s="35"/>
      <c r="G738" s="35"/>
      <c r="H738" s="35"/>
      <c r="I738" s="36"/>
      <c r="J738" s="36"/>
      <c r="K738" s="39"/>
      <c r="L738" s="39"/>
      <c r="M738" s="39"/>
    </row>
    <row r="739" spans="2:13" x14ac:dyDescent="0.25">
      <c r="B739" s="37"/>
      <c r="C739" s="37"/>
      <c r="D739" s="37"/>
      <c r="E739" s="37"/>
      <c r="F739" s="37"/>
      <c r="G739" s="37"/>
      <c r="H739" s="37"/>
      <c r="I739" s="38"/>
      <c r="J739" s="38"/>
      <c r="K739" s="40"/>
      <c r="L739" s="40"/>
      <c r="M739" s="40"/>
    </row>
    <row r="740" spans="2:13" x14ac:dyDescent="0.25">
      <c r="B740" s="35"/>
      <c r="C740" s="35"/>
      <c r="D740" s="35"/>
      <c r="E740" s="35"/>
      <c r="F740" s="35"/>
      <c r="G740" s="35"/>
      <c r="H740" s="35"/>
      <c r="I740" s="36"/>
      <c r="J740" s="36"/>
      <c r="K740" s="39"/>
      <c r="L740" s="39"/>
      <c r="M740" s="39"/>
    </row>
    <row r="741" spans="2:13" x14ac:dyDescent="0.25">
      <c r="B741" s="37"/>
      <c r="C741" s="37"/>
      <c r="D741" s="37"/>
      <c r="E741" s="37"/>
      <c r="F741" s="37"/>
      <c r="G741" s="37"/>
      <c r="H741" s="37"/>
      <c r="I741" s="38"/>
      <c r="J741" s="38"/>
      <c r="K741" s="40"/>
      <c r="L741" s="40"/>
      <c r="M741" s="40"/>
    </row>
    <row r="742" spans="2:13" x14ac:dyDescent="0.25">
      <c r="B742" s="35"/>
      <c r="C742" s="35"/>
      <c r="D742" s="35"/>
      <c r="E742" s="35"/>
      <c r="F742" s="35"/>
      <c r="G742" s="35"/>
      <c r="H742" s="35"/>
      <c r="I742" s="36"/>
      <c r="J742" s="36"/>
      <c r="K742" s="39"/>
      <c r="L742" s="39"/>
      <c r="M742" s="39"/>
    </row>
    <row r="743" spans="2:13" x14ac:dyDescent="0.25">
      <c r="B743" s="37"/>
      <c r="C743" s="37"/>
      <c r="D743" s="37"/>
      <c r="E743" s="37"/>
      <c r="F743" s="37"/>
      <c r="G743" s="37"/>
      <c r="H743" s="37"/>
      <c r="I743" s="38"/>
      <c r="J743" s="38"/>
      <c r="K743" s="40"/>
      <c r="L743" s="40"/>
      <c r="M743" s="40"/>
    </row>
    <row r="744" spans="2:13" x14ac:dyDescent="0.25">
      <c r="B744" s="35"/>
      <c r="C744" s="35"/>
      <c r="D744" s="35"/>
      <c r="E744" s="35"/>
      <c r="F744" s="35"/>
      <c r="G744" s="35"/>
      <c r="H744" s="35"/>
      <c r="I744" s="36"/>
      <c r="J744" s="36"/>
      <c r="K744" s="39"/>
      <c r="L744" s="39"/>
      <c r="M744" s="39"/>
    </row>
    <row r="745" spans="2:13" x14ac:dyDescent="0.25">
      <c r="B745" s="37"/>
      <c r="C745" s="37"/>
      <c r="D745" s="37"/>
      <c r="E745" s="37"/>
      <c r="F745" s="37"/>
      <c r="G745" s="37"/>
      <c r="H745" s="37"/>
      <c r="I745" s="38"/>
      <c r="J745" s="38"/>
      <c r="K745" s="40"/>
      <c r="L745" s="40"/>
      <c r="M745" s="40"/>
    </row>
    <row r="746" spans="2:13" x14ac:dyDescent="0.25">
      <c r="B746" s="35"/>
      <c r="C746" s="35"/>
      <c r="D746" s="35"/>
      <c r="E746" s="35"/>
      <c r="F746" s="35"/>
      <c r="G746" s="35"/>
      <c r="H746" s="35"/>
      <c r="I746" s="36"/>
      <c r="J746" s="36"/>
      <c r="K746" s="39"/>
      <c r="L746" s="39"/>
      <c r="M746" s="39"/>
    </row>
    <row r="747" spans="2:13" x14ac:dyDescent="0.25">
      <c r="B747" s="37"/>
      <c r="C747" s="37"/>
      <c r="D747" s="37"/>
      <c r="E747" s="37"/>
      <c r="F747" s="37"/>
      <c r="G747" s="37"/>
      <c r="H747" s="37"/>
      <c r="I747" s="38"/>
      <c r="J747" s="38"/>
      <c r="K747" s="40"/>
      <c r="L747" s="40"/>
      <c r="M747" s="40"/>
    </row>
    <row r="748" spans="2:13" x14ac:dyDescent="0.25">
      <c r="B748" s="35"/>
      <c r="C748" s="35"/>
      <c r="D748" s="35"/>
      <c r="E748" s="35"/>
      <c r="F748" s="35"/>
      <c r="G748" s="35"/>
      <c r="H748" s="35"/>
      <c r="I748" s="36"/>
      <c r="J748" s="36"/>
      <c r="K748" s="39"/>
      <c r="L748" s="39"/>
      <c r="M748" s="39"/>
    </row>
    <row r="749" spans="2:13" x14ac:dyDescent="0.25">
      <c r="B749" s="37"/>
      <c r="C749" s="37"/>
      <c r="D749" s="37"/>
      <c r="E749" s="37"/>
      <c r="F749" s="37"/>
      <c r="G749" s="37"/>
      <c r="H749" s="37"/>
      <c r="I749" s="38"/>
      <c r="J749" s="38"/>
      <c r="K749" s="40"/>
      <c r="L749" s="40"/>
      <c r="M749" s="40"/>
    </row>
  </sheetData>
  <dataConsolidate/>
  <mergeCells count="5">
    <mergeCell ref="B1:O1"/>
    <mergeCell ref="G2:O2"/>
    <mergeCell ref="I10:L11"/>
    <mergeCell ref="B14:M14"/>
    <mergeCell ref="I12:L12"/>
  </mergeCells>
  <hyperlinks>
    <hyperlink ref="G4" location="Overview!$G$4" display="Kleinbild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U1748"/>
  <sheetViews>
    <sheetView tabSelected="1" workbookViewId="0">
      <selection activeCell="K12" sqref="K12"/>
    </sheetView>
  </sheetViews>
  <sheetFormatPr baseColWidth="10" defaultRowHeight="15" x14ac:dyDescent="0.25"/>
  <cols>
    <col min="1" max="1" width="44.5703125" bestFit="1" customWidth="1"/>
    <col min="2" max="2" width="16.140625" bestFit="1" customWidth="1"/>
    <col min="3" max="3" width="10.140625" style="2" customWidth="1"/>
    <col min="4" max="4" width="9" style="2" customWidth="1"/>
    <col min="5" max="5" width="12" bestFit="1" customWidth="1"/>
    <col min="6" max="6" width="11" style="7" customWidth="1"/>
    <col min="7" max="7" width="9.85546875" style="7" customWidth="1"/>
    <col min="8" max="8" width="8.85546875" bestFit="1" customWidth="1"/>
    <col min="9" max="9" width="8.85546875" style="2" customWidth="1"/>
    <col min="10" max="10" width="25.42578125" style="2" customWidth="1"/>
    <col min="11" max="11" width="24" style="2" customWidth="1"/>
    <col min="12" max="12" width="24" bestFit="1" customWidth="1"/>
    <col min="13" max="13" width="9.42578125" bestFit="1" customWidth="1"/>
    <col min="14" max="14" width="15.5703125" bestFit="1" customWidth="1"/>
    <col min="15" max="15" width="11.28515625" bestFit="1" customWidth="1"/>
    <col min="16" max="16" width="9.85546875" style="2" customWidth="1"/>
    <col min="17" max="17" width="15.42578125" bestFit="1" customWidth="1"/>
    <col min="18" max="18" width="12.28515625" style="23" customWidth="1"/>
    <col min="19" max="19" width="9.28515625" style="23" customWidth="1"/>
  </cols>
  <sheetData>
    <row r="1" spans="1:21" ht="19.5" x14ac:dyDescent="0.25">
      <c r="A1" s="24" t="s">
        <v>881</v>
      </c>
      <c r="B1" s="24" t="s">
        <v>882</v>
      </c>
      <c r="C1" s="24" t="s">
        <v>883</v>
      </c>
      <c r="D1" s="24" t="s">
        <v>884</v>
      </c>
      <c r="E1" s="24" t="s">
        <v>885</v>
      </c>
      <c r="F1" s="25" t="s">
        <v>886</v>
      </c>
      <c r="G1" s="25" t="s">
        <v>887</v>
      </c>
      <c r="H1" s="24" t="s">
        <v>900</v>
      </c>
      <c r="I1" s="24" t="s">
        <v>899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888</v>
      </c>
      <c r="O1" s="24" t="s">
        <v>897</v>
      </c>
      <c r="P1" s="24" t="s">
        <v>898</v>
      </c>
      <c r="Q1" s="24" t="s">
        <v>867</v>
      </c>
      <c r="R1" s="26" t="s">
        <v>890</v>
      </c>
      <c r="S1" s="26" t="s">
        <v>889</v>
      </c>
      <c r="U1" t="s">
        <v>4077</v>
      </c>
    </row>
    <row r="2" spans="1:21" x14ac:dyDescent="0.25">
      <c r="A2" t="s">
        <v>1463</v>
      </c>
      <c r="B2" t="s">
        <v>216</v>
      </c>
      <c r="E2" t="s">
        <v>2638</v>
      </c>
      <c r="F2" s="9">
        <f t="shared" ref="F2:G8" si="0">convertNumberStringPointToNumberComma(LEFT(MID(E2,3,9),IFERROR(FIND("-",MID(E2,3,9))-2,3)))</f>
        <v>2</v>
      </c>
      <c r="G2" s="9">
        <f t="shared" ref="G2:G8" si="1">convertNumberStringPointToNumberComma(RIGHT(E2,IF(ISERROR(FIND(".",RIGHT(E2,3))),1,3)))</f>
        <v>2</v>
      </c>
      <c r="H2" t="s">
        <v>21</v>
      </c>
      <c r="L2" t="s">
        <v>2684</v>
      </c>
      <c r="M2" t="s">
        <v>2681</v>
      </c>
      <c r="N2" t="s">
        <v>2681</v>
      </c>
      <c r="O2" t="s">
        <v>2909</v>
      </c>
      <c r="P2" s="5">
        <f>convertNumberStringPointToNumberComma(LEFT(O2,LEN(O2)-IF(ISERROR(FIND("kg",O2)&gt;0),1,2)))</f>
        <v>1.61</v>
      </c>
      <c r="Q2" t="s">
        <v>3507</v>
      </c>
      <c r="R2" s="52">
        <f>_xlfn.NUMBERVALUE(convertNumberStringPointToNumberComma(LEFT(Q2,FIND("x",Q2)-2)))</f>
        <v>100</v>
      </c>
      <c r="S2" s="52">
        <f>_xlfn.NUMBERVALUE(convertNumberStringPointToNumberComma(LEFT(RIGHT(Q2,LEN(Q2)-FIND("x",Q2)-1),LEN(RIGHT(Q2,LEN(Q2)-FIND("x",Q2)-1))-2)))</f>
        <v>150</v>
      </c>
      <c r="U2" t="str">
        <f>REPLACE(Q2,FIND("x",Q2),1," x ")</f>
        <v>100  x  150mm</v>
      </c>
    </row>
    <row r="3" spans="1:21" x14ac:dyDescent="0.25">
      <c r="A3" t="s">
        <v>2627</v>
      </c>
      <c r="B3" t="s">
        <v>407</v>
      </c>
      <c r="E3" t="s">
        <v>2632</v>
      </c>
      <c r="F3" s="9">
        <f t="shared" si="0"/>
        <v>2.8</v>
      </c>
      <c r="G3" s="9">
        <f t="shared" si="1"/>
        <v>2.8</v>
      </c>
      <c r="H3" t="s">
        <v>27</v>
      </c>
      <c r="L3" t="s">
        <v>3194</v>
      </c>
      <c r="M3" t="s">
        <v>2674</v>
      </c>
      <c r="N3" t="s">
        <v>913</v>
      </c>
      <c r="O3" t="s">
        <v>223</v>
      </c>
      <c r="P3" s="5">
        <f t="shared" ref="P3:P17" si="2">convertNumberStringPointToNumberComma(LEFT(O3,LEN(O3)-IF(ISERROR(FIND("kg",O3)&gt;0),1,2)))</f>
        <v>330</v>
      </c>
      <c r="Q3" t="s">
        <v>4075</v>
      </c>
      <c r="R3" s="52">
        <f>_xlfn.NUMBERVALUE(convertNumberStringPointToNumberComma(LEFT(Q3,FIND("x",Q3)-2)))</f>
        <v>100</v>
      </c>
      <c r="S3" s="52">
        <f>_xlfn.NUMBERVALUE(convertNumberStringPointToNumberComma(LEFT(RIGHT(Q3,LEN(Q3)-FIND("x",Q3)-1),LEN(RIGHT(Q3,LEN(Q3)-FIND("x",Q3)-1))-2)))</f>
        <v>80</v>
      </c>
    </row>
    <row r="4" spans="1:21" x14ac:dyDescent="0.25">
      <c r="B4" t="s">
        <v>505</v>
      </c>
      <c r="E4" t="s">
        <v>2649</v>
      </c>
      <c r="F4" s="9">
        <f t="shared" si="0"/>
        <v>3.5</v>
      </c>
      <c r="G4" s="9">
        <f t="shared" si="1"/>
        <v>3.5</v>
      </c>
      <c r="H4" t="s">
        <v>203</v>
      </c>
      <c r="L4" t="s">
        <v>3006</v>
      </c>
      <c r="M4" t="s">
        <v>3047</v>
      </c>
      <c r="N4" t="s">
        <v>913</v>
      </c>
      <c r="O4" t="s">
        <v>3070</v>
      </c>
      <c r="P4" s="5">
        <f t="shared" si="2"/>
        <v>1.1100000000000001</v>
      </c>
      <c r="Q4" t="s">
        <v>3978</v>
      </c>
      <c r="R4" s="52">
        <f>_xlfn.NUMBERVALUE(convertNumberStringPointToNumberComma(LEFT(Q4,FIND("x",Q4)-2)))</f>
        <v>101</v>
      </c>
      <c r="S4" s="52">
        <f>_xlfn.NUMBERVALUE(convertNumberStringPointToNumberComma(LEFT(RIGHT(Q4,LEN(Q4)-FIND("x",Q4)-1),LEN(RIGHT(Q4,LEN(Q4)-FIND("x",Q4)-1))-2)))</f>
        <v>112</v>
      </c>
    </row>
    <row r="5" spans="1:21" x14ac:dyDescent="0.25">
      <c r="A5" t="s">
        <v>1898</v>
      </c>
      <c r="B5" t="s">
        <v>822</v>
      </c>
      <c r="E5" t="s">
        <v>2643</v>
      </c>
      <c r="F5" s="9">
        <f t="shared" si="0"/>
        <v>1.4</v>
      </c>
      <c r="G5" s="9">
        <f t="shared" si="1"/>
        <v>1.4</v>
      </c>
      <c r="H5" t="s">
        <v>197</v>
      </c>
      <c r="L5" t="s">
        <v>2766</v>
      </c>
      <c r="M5" t="s">
        <v>8</v>
      </c>
      <c r="N5" t="s">
        <v>913</v>
      </c>
      <c r="O5" t="s">
        <v>3031</v>
      </c>
      <c r="P5" s="5">
        <f t="shared" si="2"/>
        <v>1.1399999999999999</v>
      </c>
      <c r="Q5" t="s">
        <v>3741</v>
      </c>
      <c r="R5" s="52">
        <f>_xlfn.NUMBERVALUE(convertNumberStringPointToNumberComma(LEFT(Q5,FIND("x",Q5)-2)))</f>
        <v>101</v>
      </c>
      <c r="S5" s="52">
        <f>_xlfn.NUMBERVALUE(convertNumberStringPointToNumberComma(LEFT(RIGHT(Q5,LEN(Q5)-FIND("x",Q5)-1),LEN(RIGHT(Q5,LEN(Q5)-FIND("x",Q5)-1))-2)))</f>
        <v>113.5</v>
      </c>
      <c r="U5" t="e">
        <f>convertNumberStringPointToNumberComma(LEFT(O2,LEN(O2)-IF(ISERROR(FIND("kg",O3)&gt;0),1,2)))</f>
        <v>#VALUE!</v>
      </c>
    </row>
    <row r="6" spans="1:21" x14ac:dyDescent="0.25">
      <c r="B6" t="s">
        <v>2421</v>
      </c>
      <c r="E6" t="s">
        <v>2639</v>
      </c>
      <c r="F6" s="9">
        <f t="shared" si="0"/>
        <v>3</v>
      </c>
      <c r="G6" s="9">
        <f t="shared" si="1"/>
        <v>5.6</v>
      </c>
      <c r="H6" t="s">
        <v>203</v>
      </c>
      <c r="L6" t="s">
        <v>2992</v>
      </c>
      <c r="M6" t="s">
        <v>3047</v>
      </c>
      <c r="N6" t="s">
        <v>913</v>
      </c>
      <c r="O6" t="s">
        <v>3163</v>
      </c>
      <c r="P6" s="5">
        <f t="shared" si="2"/>
        <v>1.27</v>
      </c>
      <c r="Q6" t="s">
        <v>3980</v>
      </c>
      <c r="R6" s="52">
        <f>_xlfn.NUMBERVALUE(convertNumberStringPointToNumberComma(LEFT(Q6,FIND("x",Q6)-2)))</f>
        <v>101</v>
      </c>
      <c r="S6" s="52">
        <f>_xlfn.NUMBERVALUE(convertNumberStringPointToNumberComma(LEFT(RIGHT(Q6,LEN(Q6)-FIND("x",Q6)-1),LEN(RIGHT(Q6,LEN(Q6)-FIND("x",Q6)-1))-2)))</f>
        <v>114</v>
      </c>
      <c r="U6" t="str">
        <f>LEFT(O2,LEN(O2)-IF(ISERROR(FIND("kg",O2)&gt;0),1,2))</f>
        <v>1.61</v>
      </c>
    </row>
    <row r="7" spans="1:21" x14ac:dyDescent="0.25">
      <c r="A7" t="s">
        <v>1900</v>
      </c>
      <c r="B7" t="s">
        <v>822</v>
      </c>
      <c r="E7" t="s">
        <v>2643</v>
      </c>
      <c r="F7" s="9">
        <f t="shared" si="0"/>
        <v>1.4</v>
      </c>
      <c r="G7" s="9">
        <f t="shared" si="1"/>
        <v>1.4</v>
      </c>
      <c r="H7" t="s">
        <v>197</v>
      </c>
      <c r="L7" t="s">
        <v>2766</v>
      </c>
      <c r="M7" t="s">
        <v>2682</v>
      </c>
      <c r="N7" t="s">
        <v>913</v>
      </c>
      <c r="O7" t="s">
        <v>3000</v>
      </c>
      <c r="P7" s="5">
        <f t="shared" si="2"/>
        <v>1.2</v>
      </c>
      <c r="Q7" t="s">
        <v>3742</v>
      </c>
      <c r="R7" s="52">
        <f>_xlfn.NUMBERVALUE(convertNumberStringPointToNumberComma(LEFT(Q7,FIND("x",Q7)-2)))</f>
        <v>101</v>
      </c>
      <c r="S7" s="52">
        <f>_xlfn.NUMBERVALUE(convertNumberStringPointToNumberComma(LEFT(RIGHT(Q7,LEN(Q7)-FIND("x",Q7)-1),LEN(RIGHT(Q7,LEN(Q7)-FIND("x",Q7)-1))-2)))</f>
        <v>116</v>
      </c>
    </row>
    <row r="8" spans="1:21" x14ac:dyDescent="0.25">
      <c r="A8" t="s">
        <v>2606</v>
      </c>
      <c r="B8" t="s">
        <v>948</v>
      </c>
      <c r="E8" t="s">
        <v>2633</v>
      </c>
      <c r="F8" s="9">
        <f t="shared" si="0"/>
        <v>4</v>
      </c>
      <c r="G8" s="9">
        <f t="shared" si="1"/>
        <v>4</v>
      </c>
      <c r="H8" t="s">
        <v>2668</v>
      </c>
      <c r="L8" t="s">
        <v>2810</v>
      </c>
      <c r="M8" t="s">
        <v>8</v>
      </c>
      <c r="N8" t="s">
        <v>913</v>
      </c>
      <c r="O8" t="s">
        <v>2811</v>
      </c>
      <c r="P8" s="5">
        <f t="shared" si="2"/>
        <v>1.1499999999999999</v>
      </c>
      <c r="Q8" t="s">
        <v>4078</v>
      </c>
      <c r="R8" s="52">
        <f>_xlfn.NUMBERVALUE(convertNumberStringPointToNumberComma(LEFT(Q8,FIND("x",Q8)-2)))</f>
        <v>102</v>
      </c>
      <c r="S8" s="52">
        <f>_xlfn.NUMBERVALUE(convertNumberStringPointToNumberComma(LEFT(RIGHT(Q8,LEN(Q8)-FIND("x",Q8)-1),LEN(RIGHT(Q8,LEN(Q8)-FIND("x",Q8)-1))-2)))</f>
        <v>131.5</v>
      </c>
    </row>
    <row r="9" spans="1:21" x14ac:dyDescent="0.25">
      <c r="A9" t="s">
        <v>1146</v>
      </c>
      <c r="B9" t="s">
        <v>948</v>
      </c>
      <c r="C9" s="5">
        <f>convertNumberStringPointToNumberComma(IFERROR(LEFT(B9,(FIND("-",B9)-1)),LEFT(B9,FIND("mm",B9)-1)))</f>
        <v>12</v>
      </c>
      <c r="D9" s="5">
        <f>convertNumberStringPointToNumberComma(IFERROR(RIGHT(LEFT(B9,FIND("m",B9)-1),LEN(LEFT(B9,FIND("m",B9)-1))-FIND("-",LEFT(B9,FIND("m",B9)-1))-1),C9))</f>
        <v>4</v>
      </c>
      <c r="E9" t="s">
        <v>2633</v>
      </c>
      <c r="F9" s="9">
        <f>convertNumberStringPointToNumberComma(LEFT(MID(E9,3,9),IFERROR(FIND("-",MID(E9,3,9))-2,3)))</f>
        <v>4</v>
      </c>
      <c r="G9" s="9">
        <f>convertNumberStringPointToNumberComma(RIGHT(E9,IF(ISERROR(FIND(".",RIGHT(E9,3))),1,3)))</f>
        <v>4</v>
      </c>
      <c r="H9" t="s">
        <v>2668</v>
      </c>
      <c r="I9" s="5" t="str">
        <f>IF(H9="none",0,LEFT(H9,LEN(H9)-2))</f>
        <v>ne</v>
      </c>
      <c r="J9" s="5" t="s">
        <v>343</v>
      </c>
      <c r="K9" s="10">
        <f>IF(J9="",0,convertNumberStringPointToNumberComma(LEFT(J9,LEN(J9)-1)))</f>
        <v>0.28000000000000003</v>
      </c>
      <c r="L9" t="s">
        <v>2810</v>
      </c>
      <c r="M9" t="s">
        <v>2682</v>
      </c>
      <c r="N9" t="s">
        <v>913</v>
      </c>
      <c r="O9" t="s">
        <v>2811</v>
      </c>
      <c r="P9" s="5">
        <f t="shared" si="2"/>
        <v>1.1499999999999999</v>
      </c>
      <c r="Q9" t="s">
        <v>4078</v>
      </c>
      <c r="R9" s="52">
        <f>_xlfn.NUMBERVALUE(convertNumberStringPointToNumberComma(LEFT(Q9,FIND("x",Q9)-2)))</f>
        <v>102</v>
      </c>
      <c r="S9" s="52">
        <f>_xlfn.NUMBERVALUE(convertNumberStringPointToNumberComma(LEFT(RIGHT(Q9,LEN(Q9)-FIND("x",Q9)-1),LEN(RIGHT(Q9,LEN(Q9)-FIND("x",Q9)-1))-2)))</f>
        <v>131.5</v>
      </c>
    </row>
    <row r="10" spans="1:21" x14ac:dyDescent="0.25">
      <c r="A10" t="s">
        <v>1739</v>
      </c>
      <c r="B10" t="s">
        <v>948</v>
      </c>
      <c r="E10" t="s">
        <v>2633</v>
      </c>
      <c r="F10" s="9">
        <f t="shared" ref="F10:F73" si="3">convertNumberStringPointToNumberComma(LEFT(MID(E10,3,9),IFERROR(FIND("-",MID(E10,3,9))-2,3)))</f>
        <v>4</v>
      </c>
      <c r="G10" s="9">
        <f t="shared" ref="G10:G73" si="4">convertNumberStringPointToNumberComma(RIGHT(E10,IF(ISERROR(FIND(".",RIGHT(E10,3))),1,3)))</f>
        <v>4</v>
      </c>
      <c r="H10" t="s">
        <v>2668</v>
      </c>
      <c r="L10" t="s">
        <v>2810</v>
      </c>
      <c r="M10" t="s">
        <v>2793</v>
      </c>
      <c r="N10" t="s">
        <v>913</v>
      </c>
      <c r="O10" t="s">
        <v>2811</v>
      </c>
      <c r="P10" s="5">
        <f t="shared" si="2"/>
        <v>1.1499999999999999</v>
      </c>
      <c r="Q10" t="s">
        <v>4078</v>
      </c>
      <c r="R10" s="52">
        <f>_xlfn.NUMBERVALUE(convertNumberStringPointToNumberComma(LEFT(Q10,FIND("x",Q10)-2)))</f>
        <v>102</v>
      </c>
      <c r="S10" s="52">
        <f>_xlfn.NUMBERVALUE(convertNumberStringPointToNumberComma(LEFT(RIGHT(Q10,LEN(Q10)-FIND("x",Q10)-1),LEN(RIGHT(Q10,LEN(Q10)-FIND("x",Q10)-1))-2)))</f>
        <v>131.5</v>
      </c>
    </row>
    <row r="11" spans="1:21" x14ac:dyDescent="0.25">
      <c r="A11" t="s">
        <v>2078</v>
      </c>
      <c r="B11" t="s">
        <v>222</v>
      </c>
      <c r="E11" t="s">
        <v>2632</v>
      </c>
      <c r="F11" s="9">
        <f t="shared" si="3"/>
        <v>2.8</v>
      </c>
      <c r="G11" s="9">
        <f t="shared" si="4"/>
        <v>2.8</v>
      </c>
      <c r="H11" t="s">
        <v>203</v>
      </c>
      <c r="L11" t="s">
        <v>2922</v>
      </c>
      <c r="M11" t="s">
        <v>8</v>
      </c>
      <c r="N11" t="s">
        <v>913</v>
      </c>
      <c r="O11" t="s">
        <v>229</v>
      </c>
      <c r="P11" s="5">
        <f t="shared" si="2"/>
        <v>880</v>
      </c>
      <c r="Q11" t="s">
        <v>3826</v>
      </c>
      <c r="R11" s="52">
        <f>_xlfn.NUMBERVALUE(convertNumberStringPointToNumberComma(LEFT(Q11,FIND("x",Q11)-2)))</f>
        <v>102.3</v>
      </c>
      <c r="S11" s="52">
        <f>_xlfn.NUMBERVALUE(convertNumberStringPointToNumberComma(LEFT(RIGHT(Q11,LEN(Q11)-FIND("x",Q11)-1),LEN(RIGHT(Q11,LEN(Q11)-FIND("x",Q11)-1))-2)))</f>
        <v>99</v>
      </c>
    </row>
    <row r="12" spans="1:21" x14ac:dyDescent="0.25">
      <c r="A12" t="s">
        <v>1752</v>
      </c>
      <c r="B12" t="s">
        <v>222</v>
      </c>
      <c r="E12" t="s">
        <v>2632</v>
      </c>
      <c r="F12" s="9">
        <f t="shared" si="3"/>
        <v>2.8</v>
      </c>
      <c r="G12" s="9">
        <f t="shared" si="4"/>
        <v>2.8</v>
      </c>
      <c r="H12" t="s">
        <v>203</v>
      </c>
      <c r="L12" t="s">
        <v>3001</v>
      </c>
      <c r="M12" t="s">
        <v>8</v>
      </c>
      <c r="N12" t="s">
        <v>913</v>
      </c>
      <c r="O12" t="s">
        <v>513</v>
      </c>
      <c r="P12" s="5">
        <f t="shared" si="2"/>
        <v>730</v>
      </c>
      <c r="Q12" t="s">
        <v>3661</v>
      </c>
      <c r="R12" s="52">
        <f>_xlfn.NUMBERVALUE(convertNumberStringPointToNumberComma(LEFT(Q12,FIND("x",Q12)-2)))</f>
        <v>103</v>
      </c>
      <c r="S12" s="52">
        <f>_xlfn.NUMBERVALUE(convertNumberStringPointToNumberComma(LEFT(RIGHT(Q12,LEN(Q12)-FIND("x",Q12)-1),LEN(RIGHT(Q12,LEN(Q12)-FIND("x",Q12)-1))-2)))</f>
        <v>132</v>
      </c>
    </row>
    <row r="13" spans="1:21" x14ac:dyDescent="0.25">
      <c r="B13" t="s">
        <v>2420</v>
      </c>
      <c r="E13" t="s">
        <v>2645</v>
      </c>
      <c r="F13" s="9">
        <f t="shared" si="3"/>
        <v>3</v>
      </c>
      <c r="G13" s="9">
        <f t="shared" si="4"/>
        <v>4.5</v>
      </c>
      <c r="H13" t="s">
        <v>203</v>
      </c>
      <c r="L13" t="s">
        <v>3150</v>
      </c>
      <c r="M13" t="s">
        <v>3134</v>
      </c>
      <c r="N13" t="s">
        <v>2959</v>
      </c>
      <c r="O13" t="s">
        <v>2823</v>
      </c>
      <c r="P13" s="5">
        <f t="shared" si="2"/>
        <v>1.65</v>
      </c>
      <c r="Q13" t="s">
        <v>3960</v>
      </c>
      <c r="R13" s="52">
        <f>_xlfn.NUMBERVALUE(convertNumberStringPointToNumberComma(LEFT(Q13,FIND("x",Q13)-2)))</f>
        <v>103</v>
      </c>
      <c r="S13" s="52">
        <f>_xlfn.NUMBERVALUE(convertNumberStringPointToNumberComma(LEFT(RIGHT(Q13,LEN(Q13)-FIND("x",Q13)-1),LEN(RIGHT(Q13,LEN(Q13)-FIND("x",Q13)-1))-2)))</f>
        <v>152</v>
      </c>
    </row>
    <row r="14" spans="1:21" x14ac:dyDescent="0.25">
      <c r="A14" t="s">
        <v>1152</v>
      </c>
      <c r="B14" t="s">
        <v>1153</v>
      </c>
      <c r="C14" s="5">
        <f>convertNumberStringPointToNumberComma(IFERROR(LEFT(B14,(FIND("-",B14)-1)),LEFT(B14,FIND("mm",B14)-1)))</f>
        <v>50</v>
      </c>
      <c r="D14" s="5">
        <f>convertNumberStringPointToNumberComma(IFERROR(RIGHT(LEFT(B14,FIND("m",B14)-1),LEN(LEFT(B14,FIND("m",B14)-1))-FIND("-",LEFT(B14,FIND("m",B14)-1))-1),C14))</f>
        <v>0</v>
      </c>
      <c r="E14" t="s">
        <v>2642</v>
      </c>
      <c r="F14" s="9">
        <f t="shared" si="3"/>
        <v>4</v>
      </c>
      <c r="G14" s="9">
        <f t="shared" si="4"/>
        <v>6.3</v>
      </c>
      <c r="H14" t="s">
        <v>203</v>
      </c>
      <c r="I14" s="5" t="str">
        <f>IF(H14="none",0,LEFT(H14,LEN(H14)-2))</f>
        <v>95</v>
      </c>
      <c r="J14" s="5" t="s">
        <v>63</v>
      </c>
      <c r="K14" s="10">
        <f>IF(J14="",0,convertNumberStringPointToNumberComma(LEFT(J14,LEN(J14)-1)))</f>
        <v>1</v>
      </c>
      <c r="L14" t="s">
        <v>2814</v>
      </c>
      <c r="M14" t="s">
        <v>2757</v>
      </c>
      <c r="N14" t="s">
        <v>913</v>
      </c>
      <c r="O14" t="s">
        <v>2815</v>
      </c>
      <c r="P14" s="5">
        <f t="shared" si="2"/>
        <v>1.97</v>
      </c>
      <c r="Q14" t="s">
        <v>3332</v>
      </c>
      <c r="R14" s="52">
        <f>_xlfn.NUMBERVALUE(convertNumberStringPointToNumberComma(LEFT(Q14,FIND("x",Q14)-2)))</f>
        <v>104.4</v>
      </c>
      <c r="S14" s="52">
        <f>_xlfn.NUMBERVALUE(convertNumberStringPointToNumberComma(LEFT(RIGHT(Q14,LEN(Q14)-FIND("x",Q14)-1),LEN(RIGHT(Q14,LEN(Q14)-FIND("x",Q14)-1))-2)))</f>
        <v>219</v>
      </c>
    </row>
    <row r="15" spans="1:21" x14ac:dyDescent="0.25">
      <c r="A15" t="s">
        <v>1154</v>
      </c>
      <c r="B15" t="s">
        <v>1153</v>
      </c>
      <c r="C15" s="5">
        <f>convertNumberStringPointToNumberComma(IFERROR(LEFT(B15,(FIND("-",B15)-1)),LEFT(B15,FIND("mm",B15)-1)))</f>
        <v>50</v>
      </c>
      <c r="D15" s="5">
        <f>convertNumberStringPointToNumberComma(IFERROR(RIGHT(LEFT(B15,FIND("m",B15)-1),LEN(LEFT(B15,FIND("m",B15)-1))-FIND("-",LEFT(B15,FIND("m",B15)-1))-1),C15))</f>
        <v>0</v>
      </c>
      <c r="E15" t="s">
        <v>2642</v>
      </c>
      <c r="F15" s="9">
        <f t="shared" si="3"/>
        <v>4</v>
      </c>
      <c r="G15" s="9">
        <f t="shared" si="4"/>
        <v>6.3</v>
      </c>
      <c r="H15" t="s">
        <v>203</v>
      </c>
      <c r="I15" s="5" t="str">
        <f>IF(H15="none",0,LEFT(H15,LEN(H15)-2))</f>
        <v>95</v>
      </c>
      <c r="J15" s="5" t="s">
        <v>466</v>
      </c>
      <c r="K15" s="10">
        <f>IF(J15="",0,convertNumberStringPointToNumberComma(LEFT(J15,LEN(J15)-1)))</f>
        <v>0.21</v>
      </c>
      <c r="L15" t="s">
        <v>2814</v>
      </c>
      <c r="M15" t="s">
        <v>2682</v>
      </c>
      <c r="N15" t="s">
        <v>913</v>
      </c>
      <c r="O15" t="s">
        <v>2815</v>
      </c>
      <c r="P15" s="5">
        <f t="shared" si="2"/>
        <v>1.97</v>
      </c>
      <c r="Q15" t="s">
        <v>3332</v>
      </c>
      <c r="R15" s="52">
        <f>_xlfn.NUMBERVALUE(convertNumberStringPointToNumberComma(LEFT(Q15,FIND("x",Q15)-2)))</f>
        <v>104.4</v>
      </c>
      <c r="S15" s="52">
        <f>_xlfn.NUMBERVALUE(convertNumberStringPointToNumberComma(LEFT(RIGHT(Q15,LEN(Q15)-FIND("x",Q15)-1),LEN(RIGHT(Q15,LEN(Q15)-FIND("x",Q15)-1))-2)))</f>
        <v>219</v>
      </c>
    </row>
    <row r="16" spans="1:21" x14ac:dyDescent="0.25">
      <c r="A16" t="s">
        <v>1155</v>
      </c>
      <c r="B16" t="s">
        <v>1153</v>
      </c>
      <c r="C16" s="5">
        <f>convertNumberStringPointToNumberComma(IFERROR(LEFT(B16,(FIND("-",B16)-1)),LEFT(B16,FIND("mm",B16)-1)))</f>
        <v>50</v>
      </c>
      <c r="D16" s="5">
        <f>convertNumberStringPointToNumberComma(IFERROR(RIGHT(LEFT(B16,FIND("m",B16)-1),LEN(LEFT(B16,FIND("m",B16)-1))-FIND("-",LEFT(B16,FIND("m",B16)-1))-1),C16))</f>
        <v>0</v>
      </c>
      <c r="E16" t="s">
        <v>2642</v>
      </c>
      <c r="F16" s="9">
        <f t="shared" si="3"/>
        <v>4</v>
      </c>
      <c r="G16" s="9">
        <f t="shared" si="4"/>
        <v>6.3</v>
      </c>
      <c r="H16" t="s">
        <v>203</v>
      </c>
      <c r="I16" s="5" t="str">
        <f>IF(H16="none",0,LEFT(H16,LEN(H16)-2))</f>
        <v>95</v>
      </c>
      <c r="J16" s="5" t="s">
        <v>32</v>
      </c>
      <c r="K16" s="10">
        <f>IF(J16="",0,convertNumberStringPointToNumberComma(LEFT(J16,LEN(J16)-1)))</f>
        <v>0.12</v>
      </c>
      <c r="L16" t="s">
        <v>2814</v>
      </c>
      <c r="M16" t="s">
        <v>8</v>
      </c>
      <c r="N16" t="s">
        <v>913</v>
      </c>
      <c r="O16" t="s">
        <v>2815</v>
      </c>
      <c r="P16" s="5">
        <f t="shared" si="2"/>
        <v>1.97</v>
      </c>
      <c r="Q16" t="s">
        <v>3332</v>
      </c>
      <c r="R16" s="52">
        <f>_xlfn.NUMBERVALUE(convertNumberStringPointToNumberComma(LEFT(Q16,FIND("x",Q16)-2)))</f>
        <v>104.4</v>
      </c>
      <c r="S16" s="52">
        <f>_xlfn.NUMBERVALUE(convertNumberStringPointToNumberComma(LEFT(RIGHT(Q16,LEN(Q16)-FIND("x",Q16)-1),LEN(RIGHT(Q16,LEN(Q16)-FIND("x",Q16)-1))-2)))</f>
        <v>219</v>
      </c>
    </row>
    <row r="17" spans="1:19" x14ac:dyDescent="0.25">
      <c r="A17" t="s">
        <v>1156</v>
      </c>
      <c r="B17" t="s">
        <v>1153</v>
      </c>
      <c r="C17" s="5">
        <f>convertNumberStringPointToNumberComma(IFERROR(LEFT(B17,(FIND("-",B17)-1)),LEFT(B17,FIND("mm",B17)-1)))</f>
        <v>50</v>
      </c>
      <c r="D17" s="5">
        <f>convertNumberStringPointToNumberComma(IFERROR(RIGHT(LEFT(B17,FIND("m",B17)-1),LEN(LEFT(B17,FIND("m",B17)-1))-FIND("-",LEFT(B17,FIND("m",B17)-1))-1),C17))</f>
        <v>0</v>
      </c>
      <c r="E17" t="s">
        <v>2642</v>
      </c>
      <c r="F17" s="9">
        <f t="shared" si="3"/>
        <v>4</v>
      </c>
      <c r="G17" s="9">
        <f t="shared" si="4"/>
        <v>6.3</v>
      </c>
      <c r="H17" t="s">
        <v>203</v>
      </c>
      <c r="I17" s="5" t="str">
        <f>IF(H17="none",0,LEFT(H17,LEN(H17)-2))</f>
        <v>95</v>
      </c>
      <c r="J17" s="5" t="s">
        <v>32</v>
      </c>
      <c r="K17" s="10">
        <f>IF(J17="",0,convertNumberStringPointToNumberComma(LEFT(J17,LEN(J17)-1)))</f>
        <v>0.12</v>
      </c>
      <c r="L17" t="s">
        <v>2814</v>
      </c>
      <c r="M17" t="s">
        <v>2802</v>
      </c>
      <c r="N17" t="s">
        <v>913</v>
      </c>
      <c r="O17" t="s">
        <v>2815</v>
      </c>
      <c r="P17" s="5">
        <f t="shared" si="2"/>
        <v>1.97</v>
      </c>
      <c r="Q17" t="s">
        <v>3332</v>
      </c>
      <c r="R17" s="52">
        <f>_xlfn.NUMBERVALUE(convertNumberStringPointToNumberComma(LEFT(Q17,FIND("x",Q17)-2)))</f>
        <v>104.4</v>
      </c>
      <c r="S17" s="52">
        <f>_xlfn.NUMBERVALUE(convertNumberStringPointToNumberComma(LEFT(RIGHT(Q17,LEN(Q17)-FIND("x",Q17)-1),LEN(RIGHT(Q17,LEN(Q17)-FIND("x",Q17)-1))-2)))</f>
        <v>219</v>
      </c>
    </row>
    <row r="18" spans="1:19" x14ac:dyDescent="0.25">
      <c r="A18" t="s">
        <v>1742</v>
      </c>
      <c r="B18" t="s">
        <v>1153</v>
      </c>
      <c r="E18" t="s">
        <v>2642</v>
      </c>
      <c r="F18" s="9">
        <f t="shared" si="3"/>
        <v>4</v>
      </c>
      <c r="G18" s="9">
        <f t="shared" si="4"/>
        <v>6.3</v>
      </c>
      <c r="H18" t="s">
        <v>203</v>
      </c>
      <c r="L18" t="s">
        <v>2814</v>
      </c>
      <c r="M18" t="s">
        <v>2793</v>
      </c>
      <c r="N18" t="s">
        <v>903</v>
      </c>
      <c r="O18" t="s">
        <v>2815</v>
      </c>
      <c r="Q18" t="s">
        <v>3332</v>
      </c>
      <c r="R18" s="52">
        <f>_xlfn.NUMBERVALUE(convertNumberStringPointToNumberComma(LEFT(Q18,FIND("x",Q18)-2)))</f>
        <v>104.4</v>
      </c>
      <c r="S18" s="52">
        <f>_xlfn.NUMBERVALUE(convertNumberStringPointToNumberComma(LEFT(RIGHT(Q18,LEN(Q18)-FIND("x",Q18)-1),LEN(RIGHT(Q18,LEN(Q18)-FIND("x",Q18)-1))-2)))</f>
        <v>219</v>
      </c>
    </row>
    <row r="19" spans="1:19" x14ac:dyDescent="0.25">
      <c r="A19" t="s">
        <v>2622</v>
      </c>
      <c r="B19" t="s">
        <v>1249</v>
      </c>
      <c r="E19" t="s">
        <v>2633</v>
      </c>
      <c r="F19" s="9">
        <f t="shared" si="3"/>
        <v>4</v>
      </c>
      <c r="G19" s="9">
        <f t="shared" si="4"/>
        <v>4</v>
      </c>
      <c r="H19" t="s">
        <v>203</v>
      </c>
      <c r="L19" t="s">
        <v>2686</v>
      </c>
      <c r="M19" t="s">
        <v>2674</v>
      </c>
      <c r="N19" t="s">
        <v>913</v>
      </c>
      <c r="O19" t="s">
        <v>3142</v>
      </c>
      <c r="Q19" t="s">
        <v>4071</v>
      </c>
      <c r="R19" s="52">
        <f>_xlfn.NUMBERVALUE(convertNumberStringPointToNumberComma(LEFT(Q19,FIND("x",Q19)-2)))</f>
        <v>105</v>
      </c>
      <c r="S19" s="52">
        <f>_xlfn.NUMBERVALUE(convertNumberStringPointToNumberComma(LEFT(RIGHT(Q19,LEN(Q19)-FIND("x",Q19)-1),LEN(RIGHT(Q19,LEN(Q19)-FIND("x",Q19)-1))-2)))</f>
        <v>162.5</v>
      </c>
    </row>
    <row r="20" spans="1:19" x14ac:dyDescent="0.25">
      <c r="A20" t="s">
        <v>1055</v>
      </c>
      <c r="B20" t="s">
        <v>1056</v>
      </c>
      <c r="C20" s="5">
        <f>convertNumberStringPointToNumberComma(IFERROR(LEFT(B20,(FIND("-",B20)-1)),LEFT(B20,FIND("mm",B20)-1)))</f>
        <v>150</v>
      </c>
      <c r="D20" s="5">
        <f>convertNumberStringPointToNumberComma(IFERROR(RIGHT(LEFT(B20,FIND("m",B20)-1),LEN(LEFT(B20,FIND("m",B20)-1))-FIND("-",LEFT(B20,FIND("m",B20)-1))-1),C20))</f>
        <v>0</v>
      </c>
      <c r="E20" t="s">
        <v>2650</v>
      </c>
      <c r="F20" s="9">
        <f t="shared" si="3"/>
        <v>5</v>
      </c>
      <c r="G20" s="9">
        <f t="shared" si="4"/>
        <v>6.3</v>
      </c>
      <c r="H20" t="s">
        <v>203</v>
      </c>
      <c r="I20" s="5" t="str">
        <f>IF(H20="none",0,LEFT(H20,LEN(H20)-2))</f>
        <v>95</v>
      </c>
      <c r="J20" s="5" t="s">
        <v>333</v>
      </c>
      <c r="K20" s="10">
        <f>IF(J20="",0,convertNumberStringPointToNumberComma(LEFT(J20,LEN(J20)-1)))</f>
        <v>0.27</v>
      </c>
      <c r="L20" t="s">
        <v>2698</v>
      </c>
      <c r="M20" t="s">
        <v>2682</v>
      </c>
      <c r="N20" t="s">
        <v>913</v>
      </c>
      <c r="O20" t="s">
        <v>2767</v>
      </c>
      <c r="P20" s="5" t="str">
        <f>LEFT(O20,LEN(O20)-1)</f>
        <v>1.93k</v>
      </c>
      <c r="Q20" t="s">
        <v>3286</v>
      </c>
      <c r="R20" s="52">
        <f>_xlfn.NUMBERVALUE(convertNumberStringPointToNumberComma(LEFT(Q20,FIND("x",Q20)-2)))</f>
        <v>105</v>
      </c>
      <c r="S20" s="52">
        <f>_xlfn.NUMBERVALUE(convertNumberStringPointToNumberComma(LEFT(RIGHT(Q20,LEN(Q20)-FIND("x",Q20)-1),LEN(RIGHT(Q20,LEN(Q20)-FIND("x",Q20)-1))-2)))</f>
        <v>260.10000000000002</v>
      </c>
    </row>
    <row r="21" spans="1:19" x14ac:dyDescent="0.25">
      <c r="A21" t="s">
        <v>1088</v>
      </c>
      <c r="B21" t="s">
        <v>1056</v>
      </c>
      <c r="C21" s="5">
        <f>convertNumberStringPointToNumberComma(IFERROR(LEFT(B21,(FIND("-",B21)-1)),LEFT(B21,FIND("mm",B21)-1)))</f>
        <v>150</v>
      </c>
      <c r="D21" s="5">
        <f>convertNumberStringPointToNumberComma(IFERROR(RIGHT(LEFT(B21,FIND("m",B21)-1),LEN(LEFT(B21,FIND("m",B21)-1))-FIND("-",LEFT(B21,FIND("m",B21)-1))-1),C21))</f>
        <v>0</v>
      </c>
      <c r="E21" t="s">
        <v>2650</v>
      </c>
      <c r="F21" s="9">
        <f t="shared" si="3"/>
        <v>5</v>
      </c>
      <c r="G21" s="9">
        <f t="shared" si="4"/>
        <v>6.3</v>
      </c>
      <c r="H21" t="s">
        <v>203</v>
      </c>
      <c r="I21" s="5" t="str">
        <f>IF(H21="none",0,LEFT(H21,LEN(H21)-2))</f>
        <v>95</v>
      </c>
      <c r="J21" s="5" t="s">
        <v>162</v>
      </c>
      <c r="K21" s="10">
        <f>IF(J21="",0,convertNumberStringPointToNumberComma(LEFT(J21,LEN(J21)-1)))</f>
        <v>0.25</v>
      </c>
      <c r="L21" t="s">
        <v>2698</v>
      </c>
      <c r="M21" t="s">
        <v>8</v>
      </c>
      <c r="N21" t="s">
        <v>913</v>
      </c>
      <c r="O21" t="s">
        <v>2767</v>
      </c>
      <c r="P21" s="5" t="str">
        <f>LEFT(O21,LEN(O21)-1)</f>
        <v>1.93k</v>
      </c>
      <c r="Q21" t="s">
        <v>3286</v>
      </c>
      <c r="R21" s="52">
        <f>_xlfn.NUMBERVALUE(convertNumberStringPointToNumberComma(LEFT(Q21,FIND("x",Q21)-2)))</f>
        <v>105</v>
      </c>
      <c r="S21" s="52">
        <f>_xlfn.NUMBERVALUE(convertNumberStringPointToNumberComma(LEFT(RIGHT(Q21,LEN(Q21)-FIND("x",Q21)-1),LEN(RIGHT(Q21,LEN(Q21)-FIND("x",Q21)-1))-2)))</f>
        <v>260.10000000000002</v>
      </c>
    </row>
    <row r="22" spans="1:19" x14ac:dyDescent="0.25">
      <c r="A22" t="s">
        <v>1089</v>
      </c>
      <c r="B22" t="s">
        <v>1056</v>
      </c>
      <c r="C22" s="5">
        <f>convertNumberStringPointToNumberComma(IFERROR(LEFT(B22,(FIND("-",B22)-1)),LEFT(B22,FIND("mm",B22)-1)))</f>
        <v>150</v>
      </c>
      <c r="D22" s="5">
        <f>convertNumberStringPointToNumberComma(IFERROR(RIGHT(LEFT(B22,FIND("m",B22)-1),LEN(LEFT(B22,FIND("m",B22)-1))-FIND("-",LEFT(B22,FIND("m",B22)-1))-1),C22))</f>
        <v>0</v>
      </c>
      <c r="E22" t="s">
        <v>2650</v>
      </c>
      <c r="F22" s="9">
        <f t="shared" si="3"/>
        <v>5</v>
      </c>
      <c r="G22" s="9">
        <f t="shared" si="4"/>
        <v>6.3</v>
      </c>
      <c r="H22" t="s">
        <v>203</v>
      </c>
      <c r="I22" s="5" t="str">
        <f>IF(H22="none",0,LEFT(H22,LEN(H22)-2))</f>
        <v>95</v>
      </c>
      <c r="J22" s="5" t="s">
        <v>36</v>
      </c>
      <c r="K22" s="10">
        <f>IF(J22="",0,convertNumberStringPointToNumberComma(LEFT(J22,LEN(J22)-1)))</f>
        <v>0.18</v>
      </c>
      <c r="L22" t="s">
        <v>2698</v>
      </c>
      <c r="M22" t="s">
        <v>2682</v>
      </c>
      <c r="N22" t="s">
        <v>913</v>
      </c>
      <c r="O22" t="s">
        <v>2767</v>
      </c>
      <c r="P22" s="5" t="str">
        <f>LEFT(O22,LEN(O22)-1)</f>
        <v>1.93k</v>
      </c>
      <c r="Q22" t="s">
        <v>3286</v>
      </c>
      <c r="R22" s="52">
        <f>_xlfn.NUMBERVALUE(convertNumberStringPointToNumberComma(LEFT(Q22,FIND("x",Q22)-2)))</f>
        <v>105</v>
      </c>
      <c r="S22" s="52">
        <f>_xlfn.NUMBERVALUE(convertNumberStringPointToNumberComma(LEFT(RIGHT(Q22,LEN(Q22)-FIND("x",Q22)-1),LEN(RIGHT(Q22,LEN(Q22)-FIND("x",Q22)-1))-2)))</f>
        <v>260.10000000000002</v>
      </c>
    </row>
    <row r="23" spans="1:19" x14ac:dyDescent="0.25">
      <c r="A23" t="s">
        <v>1107</v>
      </c>
      <c r="B23" t="s">
        <v>1056</v>
      </c>
      <c r="C23" s="5">
        <f>convertNumberStringPointToNumberComma(IFERROR(LEFT(B23,(FIND("-",B23)-1)),LEFT(B23,FIND("mm",B23)-1)))</f>
        <v>150</v>
      </c>
      <c r="D23" s="5">
        <f>convertNumberStringPointToNumberComma(IFERROR(RIGHT(LEFT(B23,FIND("m",B23)-1),LEN(LEFT(B23,FIND("m",B23)-1))-FIND("-",LEFT(B23,FIND("m",B23)-1))-1),C23))</f>
        <v>0</v>
      </c>
      <c r="E23" t="s">
        <v>2650</v>
      </c>
      <c r="F23" s="9">
        <f t="shared" si="3"/>
        <v>5</v>
      </c>
      <c r="G23" s="9">
        <f t="shared" si="4"/>
        <v>6.3</v>
      </c>
      <c r="H23" t="s">
        <v>203</v>
      </c>
      <c r="I23" s="5" t="str">
        <f>IF(H23="none",0,LEFT(H23,LEN(H23)-2))</f>
        <v>95</v>
      </c>
      <c r="J23" s="5" t="s">
        <v>466</v>
      </c>
      <c r="K23" s="10">
        <f>IF(J23="",0,convertNumberStringPointToNumberComma(LEFT(J23,LEN(J23)-1)))</f>
        <v>0.21</v>
      </c>
      <c r="L23" t="s">
        <v>2698</v>
      </c>
      <c r="M23" t="s">
        <v>2793</v>
      </c>
      <c r="N23" t="s">
        <v>903</v>
      </c>
      <c r="O23" t="s">
        <v>2767</v>
      </c>
      <c r="P23" s="5" t="str">
        <f>LEFT(O23,LEN(O23)-1)</f>
        <v>1.93k</v>
      </c>
      <c r="Q23" t="s">
        <v>3286</v>
      </c>
      <c r="R23" s="52">
        <f>_xlfn.NUMBERVALUE(convertNumberStringPointToNumberComma(LEFT(Q23,FIND("x",Q23)-2)))</f>
        <v>105</v>
      </c>
      <c r="S23" s="52">
        <f>_xlfn.NUMBERVALUE(convertNumberStringPointToNumberComma(LEFT(RIGHT(Q23,LEN(Q23)-FIND("x",Q23)-1),LEN(RIGHT(Q23,LEN(Q23)-FIND("x",Q23)-1))-2)))</f>
        <v>260.10000000000002</v>
      </c>
    </row>
    <row r="24" spans="1:19" x14ac:dyDescent="0.25">
      <c r="A24" t="s">
        <v>1131</v>
      </c>
      <c r="B24" t="s">
        <v>1056</v>
      </c>
      <c r="C24" s="5">
        <f>convertNumberStringPointToNumberComma(IFERROR(LEFT(B24,(FIND("-",B24)-1)),LEFT(B24,FIND("mm",B24)-1)))</f>
        <v>150</v>
      </c>
      <c r="D24" s="5">
        <f>convertNumberStringPointToNumberComma(IFERROR(RIGHT(LEFT(B24,FIND("m",B24)-1),LEN(LEFT(B24,FIND("m",B24)-1))-FIND("-",LEFT(B24,FIND("m",B24)-1))-1),C24))</f>
        <v>0</v>
      </c>
      <c r="E24" t="s">
        <v>2650</v>
      </c>
      <c r="F24" s="9">
        <f t="shared" si="3"/>
        <v>5</v>
      </c>
      <c r="G24" s="9">
        <f t="shared" si="4"/>
        <v>6.3</v>
      </c>
      <c r="H24" t="s">
        <v>203</v>
      </c>
      <c r="I24" s="5" t="str">
        <f>IF(H24="none",0,LEFT(H24,LEN(H24)-2))</f>
        <v>95</v>
      </c>
      <c r="J24" s="5" t="s">
        <v>76</v>
      </c>
      <c r="K24" s="10">
        <f>IF(J24="",0,convertNumberStringPointToNumberComma(LEFT(J24,LEN(J24)-1)))</f>
        <v>0.13</v>
      </c>
      <c r="L24" t="s">
        <v>2698</v>
      </c>
      <c r="M24" t="s">
        <v>2793</v>
      </c>
      <c r="N24" t="s">
        <v>903</v>
      </c>
      <c r="O24" t="s">
        <v>2767</v>
      </c>
      <c r="P24" s="5" t="str">
        <f>LEFT(O24,LEN(O24)-1)</f>
        <v>1.93k</v>
      </c>
      <c r="Q24" t="s">
        <v>3286</v>
      </c>
      <c r="R24" s="52">
        <f>_xlfn.NUMBERVALUE(convertNumberStringPointToNumberComma(LEFT(Q24,FIND("x",Q24)-2)))</f>
        <v>105</v>
      </c>
      <c r="S24" s="52">
        <f>_xlfn.NUMBERVALUE(convertNumberStringPointToNumberComma(LEFT(RIGHT(Q24,LEN(Q24)-FIND("x",Q24)-1),LEN(RIGHT(Q24,LEN(Q24)-FIND("x",Q24)-1))-2)))</f>
        <v>260.10000000000002</v>
      </c>
    </row>
    <row r="25" spans="1:19" x14ac:dyDescent="0.25">
      <c r="A25" t="s">
        <v>2529</v>
      </c>
      <c r="B25" t="s">
        <v>1056</v>
      </c>
      <c r="E25" t="s">
        <v>2650</v>
      </c>
      <c r="F25" s="9">
        <f t="shared" si="3"/>
        <v>5</v>
      </c>
      <c r="G25" s="9">
        <f t="shared" si="4"/>
        <v>6.3</v>
      </c>
      <c r="H25" t="s">
        <v>203</v>
      </c>
      <c r="L25" t="s">
        <v>2698</v>
      </c>
      <c r="M25" t="s">
        <v>8</v>
      </c>
      <c r="N25" t="s">
        <v>913</v>
      </c>
      <c r="O25" t="s">
        <v>2767</v>
      </c>
      <c r="Q25" t="s">
        <v>3286</v>
      </c>
      <c r="R25" s="52">
        <f>_xlfn.NUMBERVALUE(convertNumberStringPointToNumberComma(LEFT(Q25,FIND("x",Q25)-2)))</f>
        <v>105</v>
      </c>
      <c r="S25" s="52">
        <f>_xlfn.NUMBERVALUE(convertNumberStringPointToNumberComma(LEFT(RIGHT(Q25,LEN(Q25)-FIND("x",Q25)-1),LEN(RIGHT(Q25,LEN(Q25)-FIND("x",Q25)-1))-2)))</f>
        <v>260.10000000000002</v>
      </c>
    </row>
    <row r="26" spans="1:19" x14ac:dyDescent="0.25">
      <c r="A26" t="s">
        <v>1735</v>
      </c>
      <c r="B26" t="s">
        <v>1736</v>
      </c>
      <c r="E26" t="s">
        <v>2994</v>
      </c>
      <c r="F26" s="9">
        <f t="shared" si="3"/>
        <v>8</v>
      </c>
      <c r="G26" s="9">
        <f t="shared" si="4"/>
        <v>6</v>
      </c>
      <c r="H26" t="s">
        <v>203</v>
      </c>
      <c r="M26" t="s">
        <v>2682</v>
      </c>
      <c r="N26" t="s">
        <v>903</v>
      </c>
      <c r="O26" t="s">
        <v>2995</v>
      </c>
      <c r="Q26" t="s">
        <v>909</v>
      </c>
      <c r="R26" s="52">
        <f>_xlfn.NUMBERVALUE(convertNumberStringPointToNumberComma(LEFT(Q26,FIND("x",Q26)-2)))</f>
        <v>105</v>
      </c>
      <c r="S26" s="52">
        <f>_xlfn.NUMBERVALUE(convertNumberStringPointToNumberComma(LEFT(RIGHT(Q26,LEN(Q26)-FIND("x",Q26)-1),LEN(RIGHT(Q26,LEN(Q26)-FIND("x",Q26)-1))-2)))</f>
        <v>463</v>
      </c>
    </row>
    <row r="27" spans="1:19" x14ac:dyDescent="0.25">
      <c r="A27" t="s">
        <v>2397</v>
      </c>
      <c r="B27" t="s">
        <v>1736</v>
      </c>
      <c r="E27" t="s">
        <v>2994</v>
      </c>
      <c r="F27" s="9">
        <f t="shared" si="3"/>
        <v>8</v>
      </c>
      <c r="G27" s="9">
        <f t="shared" si="4"/>
        <v>6</v>
      </c>
      <c r="H27" t="s">
        <v>203</v>
      </c>
      <c r="M27" t="s">
        <v>2682</v>
      </c>
      <c r="N27" t="s">
        <v>903</v>
      </c>
      <c r="O27" t="s">
        <v>2995</v>
      </c>
      <c r="Q27" t="s">
        <v>909</v>
      </c>
      <c r="R27" s="52">
        <f>_xlfn.NUMBERVALUE(convertNumberStringPointToNumberComma(LEFT(Q27,FIND("x",Q27)-2)))</f>
        <v>105</v>
      </c>
      <c r="S27" s="52">
        <f>_xlfn.NUMBERVALUE(convertNumberStringPointToNumberComma(LEFT(RIGHT(Q27,LEN(Q27)-FIND("x",Q27)-1),LEN(RIGHT(Q27,LEN(Q27)-FIND("x",Q27)-1))-2)))</f>
        <v>463</v>
      </c>
    </row>
    <row r="28" spans="1:19" x14ac:dyDescent="0.25">
      <c r="A28" t="s">
        <v>2398</v>
      </c>
      <c r="B28" t="s">
        <v>1736</v>
      </c>
      <c r="E28" t="s">
        <v>2994</v>
      </c>
      <c r="F28" s="9">
        <f t="shared" si="3"/>
        <v>8</v>
      </c>
      <c r="G28" s="9">
        <f t="shared" si="4"/>
        <v>6</v>
      </c>
      <c r="H28" t="s">
        <v>203</v>
      </c>
      <c r="M28" t="s">
        <v>2763</v>
      </c>
      <c r="N28" t="s">
        <v>903</v>
      </c>
      <c r="O28" t="s">
        <v>2995</v>
      </c>
      <c r="Q28" t="s">
        <v>909</v>
      </c>
      <c r="R28" s="52">
        <f>_xlfn.NUMBERVALUE(convertNumberStringPointToNumberComma(LEFT(Q28,FIND("x",Q28)-2)))</f>
        <v>105</v>
      </c>
      <c r="S28" s="52">
        <f>_xlfn.NUMBERVALUE(convertNumberStringPointToNumberComma(LEFT(RIGHT(Q28,LEN(Q28)-FIND("x",Q28)-1),LEN(RIGHT(Q28,LEN(Q28)-FIND("x",Q28)-1))-2)))</f>
        <v>463</v>
      </c>
    </row>
    <row r="29" spans="1:19" x14ac:dyDescent="0.25">
      <c r="A29" t="s">
        <v>2399</v>
      </c>
      <c r="B29" t="s">
        <v>1736</v>
      </c>
      <c r="E29" t="s">
        <v>2994</v>
      </c>
      <c r="F29" s="9">
        <f t="shared" si="3"/>
        <v>8</v>
      </c>
      <c r="G29" s="9">
        <f t="shared" si="4"/>
        <v>6</v>
      </c>
      <c r="H29" t="s">
        <v>203</v>
      </c>
      <c r="M29" t="s">
        <v>2674</v>
      </c>
      <c r="N29" t="s">
        <v>903</v>
      </c>
      <c r="O29" t="s">
        <v>2995</v>
      </c>
      <c r="Q29" t="s">
        <v>909</v>
      </c>
      <c r="R29" s="52">
        <f>_xlfn.NUMBERVALUE(convertNumberStringPointToNumberComma(LEFT(Q29,FIND("x",Q29)-2)))</f>
        <v>105</v>
      </c>
      <c r="S29" s="52">
        <f>_xlfn.NUMBERVALUE(convertNumberStringPointToNumberComma(LEFT(RIGHT(Q29,LEN(Q29)-FIND("x",Q29)-1),LEN(RIGHT(Q29,LEN(Q29)-FIND("x",Q29)-1))-2)))</f>
        <v>463</v>
      </c>
    </row>
    <row r="30" spans="1:19" x14ac:dyDescent="0.25">
      <c r="A30" t="s">
        <v>2400</v>
      </c>
      <c r="B30" t="s">
        <v>1736</v>
      </c>
      <c r="E30" t="s">
        <v>2994</v>
      </c>
      <c r="F30" s="9">
        <f t="shared" si="3"/>
        <v>8</v>
      </c>
      <c r="G30" s="9">
        <f t="shared" si="4"/>
        <v>6</v>
      </c>
      <c r="H30" t="s">
        <v>203</v>
      </c>
      <c r="M30" t="s">
        <v>8</v>
      </c>
      <c r="N30" t="s">
        <v>903</v>
      </c>
      <c r="O30" t="s">
        <v>2995</v>
      </c>
      <c r="Q30" t="s">
        <v>909</v>
      </c>
      <c r="R30" s="52">
        <f>_xlfn.NUMBERVALUE(convertNumberStringPointToNumberComma(LEFT(Q30,FIND("x",Q30)-2)))</f>
        <v>105</v>
      </c>
      <c r="S30" s="52">
        <f>_xlfn.NUMBERVALUE(convertNumberStringPointToNumberComma(LEFT(RIGHT(Q30,LEN(Q30)-FIND("x",Q30)-1),LEN(RIGHT(Q30,LEN(Q30)-FIND("x",Q30)-1))-2)))</f>
        <v>463</v>
      </c>
    </row>
    <row r="31" spans="1:19" x14ac:dyDescent="0.25">
      <c r="A31" t="s">
        <v>1370</v>
      </c>
      <c r="B31" t="s">
        <v>1056</v>
      </c>
      <c r="E31" t="s">
        <v>2650</v>
      </c>
      <c r="F31" s="9">
        <f t="shared" si="3"/>
        <v>5</v>
      </c>
      <c r="G31" s="9">
        <f t="shared" si="4"/>
        <v>6.3</v>
      </c>
      <c r="H31" t="s">
        <v>203</v>
      </c>
      <c r="L31" t="s">
        <v>2698</v>
      </c>
      <c r="M31" t="s">
        <v>2682</v>
      </c>
      <c r="N31" t="s">
        <v>913</v>
      </c>
      <c r="O31" t="s">
        <v>2885</v>
      </c>
      <c r="Q31" t="s">
        <v>3455</v>
      </c>
      <c r="R31" s="52">
        <f>_xlfn.NUMBERVALUE(convertNumberStringPointToNumberComma(LEFT(Q31,FIND("x",Q31)-2)))</f>
        <v>105.6</v>
      </c>
      <c r="S31" s="52">
        <f>_xlfn.NUMBERVALUE(convertNumberStringPointToNumberComma(LEFT(RIGHT(Q31,LEN(Q31)-FIND("x",Q31)-1),LEN(RIGHT(Q31,LEN(Q31)-FIND("x",Q31)-1))-2)))</f>
        <v>257.8</v>
      </c>
    </row>
    <row r="32" spans="1:19" x14ac:dyDescent="0.25">
      <c r="A32" t="s">
        <v>1371</v>
      </c>
      <c r="B32" t="s">
        <v>1056</v>
      </c>
      <c r="E32" t="s">
        <v>2650</v>
      </c>
      <c r="F32" s="9">
        <f t="shared" si="3"/>
        <v>5</v>
      </c>
      <c r="G32" s="9">
        <f t="shared" si="4"/>
        <v>6.3</v>
      </c>
      <c r="H32" t="s">
        <v>203</v>
      </c>
      <c r="L32" t="s">
        <v>2698</v>
      </c>
      <c r="M32" t="s">
        <v>8</v>
      </c>
      <c r="N32" t="s">
        <v>913</v>
      </c>
      <c r="O32" t="s">
        <v>2885</v>
      </c>
      <c r="Q32" t="s">
        <v>3455</v>
      </c>
      <c r="R32" s="52">
        <f>_xlfn.NUMBERVALUE(convertNumberStringPointToNumberComma(LEFT(Q32,FIND("x",Q32)-2)))</f>
        <v>105.6</v>
      </c>
      <c r="S32" s="52">
        <f>_xlfn.NUMBERVALUE(convertNumberStringPointToNumberComma(LEFT(RIGHT(Q32,LEN(Q32)-FIND("x",Q32)-1),LEN(RIGHT(Q32,LEN(Q32)-FIND("x",Q32)-1))-2)))</f>
        <v>257.8</v>
      </c>
    </row>
    <row r="33" spans="1:19" x14ac:dyDescent="0.25">
      <c r="A33" t="s">
        <v>1372</v>
      </c>
      <c r="B33" t="s">
        <v>1056</v>
      </c>
      <c r="E33" t="s">
        <v>2650</v>
      </c>
      <c r="F33" s="9">
        <f t="shared" si="3"/>
        <v>5</v>
      </c>
      <c r="G33" s="9">
        <f t="shared" si="4"/>
        <v>6.3</v>
      </c>
      <c r="H33" t="s">
        <v>203</v>
      </c>
      <c r="L33" t="s">
        <v>2698</v>
      </c>
      <c r="M33" t="s">
        <v>2757</v>
      </c>
      <c r="N33" t="s">
        <v>913</v>
      </c>
      <c r="O33" t="s">
        <v>2885</v>
      </c>
      <c r="Q33" t="s">
        <v>3455</v>
      </c>
      <c r="R33" s="52">
        <f>_xlfn.NUMBERVALUE(convertNumberStringPointToNumberComma(LEFT(Q33,FIND("x",Q33)-2)))</f>
        <v>105.6</v>
      </c>
      <c r="S33" s="52">
        <f>_xlfn.NUMBERVALUE(convertNumberStringPointToNumberComma(LEFT(RIGHT(Q33,LEN(Q33)-FIND("x",Q33)-1),LEN(RIGHT(Q33,LEN(Q33)-FIND("x",Q33)-1))-2)))</f>
        <v>257.8</v>
      </c>
    </row>
    <row r="34" spans="1:19" x14ac:dyDescent="0.25">
      <c r="A34" t="s">
        <v>2316</v>
      </c>
      <c r="B34" t="s">
        <v>2317</v>
      </c>
      <c r="E34" t="s">
        <v>3117</v>
      </c>
      <c r="F34" s="9">
        <f t="shared" si="3"/>
        <v>4.4000000000000004</v>
      </c>
      <c r="G34" s="9">
        <f t="shared" si="4"/>
        <v>4.4000000000000004</v>
      </c>
      <c r="M34" t="s">
        <v>2682</v>
      </c>
      <c r="N34" t="s">
        <v>913</v>
      </c>
      <c r="O34" t="s">
        <v>3000</v>
      </c>
      <c r="Q34" t="s">
        <v>3908</v>
      </c>
      <c r="R34" s="52">
        <f>_xlfn.NUMBERVALUE(convertNumberStringPointToNumberComma(LEFT(Q34,FIND("x",Q34)-2)))</f>
        <v>107.2</v>
      </c>
      <c r="S34" s="52">
        <f>_xlfn.NUMBERVALUE(convertNumberStringPointToNumberComma(LEFT(RIGHT(Q34,LEN(Q34)-FIND("x",Q34)-1),LEN(RIGHT(Q34,LEN(Q34)-FIND("x",Q34)-1))-2)))</f>
        <v>182.3</v>
      </c>
    </row>
    <row r="35" spans="1:19" x14ac:dyDescent="0.25">
      <c r="A35" t="s">
        <v>2490</v>
      </c>
      <c r="B35" t="s">
        <v>2491</v>
      </c>
      <c r="E35" t="s">
        <v>2633</v>
      </c>
      <c r="F35" s="9">
        <f t="shared" si="3"/>
        <v>4</v>
      </c>
      <c r="G35" s="9">
        <f t="shared" si="4"/>
        <v>4</v>
      </c>
      <c r="L35" t="s">
        <v>2704</v>
      </c>
      <c r="M35" t="s">
        <v>2682</v>
      </c>
      <c r="N35" t="s">
        <v>913</v>
      </c>
      <c r="O35" t="s">
        <v>3008</v>
      </c>
      <c r="Q35" t="s">
        <v>4021</v>
      </c>
      <c r="R35" s="52">
        <f>_xlfn.NUMBERVALUE(convertNumberStringPointToNumberComma(LEFT(Q35,FIND("x",Q35)-2)))</f>
        <v>108</v>
      </c>
      <c r="S35" s="52">
        <f>_xlfn.NUMBERVALUE(convertNumberStringPointToNumberComma(LEFT(RIGHT(Q35,LEN(Q35)-FIND("x",Q35)-1),LEN(RIGHT(Q35,LEN(Q35)-FIND("x",Q35)-1))-2)))</f>
        <v>132</v>
      </c>
    </row>
    <row r="36" spans="1:19" x14ac:dyDescent="0.25">
      <c r="B36" t="s">
        <v>1930</v>
      </c>
      <c r="E36" t="s">
        <v>2647</v>
      </c>
      <c r="F36" s="9">
        <f t="shared" si="3"/>
        <v>5.6</v>
      </c>
      <c r="G36" s="9">
        <f t="shared" si="4"/>
        <v>5.6</v>
      </c>
      <c r="H36" t="s">
        <v>203</v>
      </c>
      <c r="L36" t="s">
        <v>2732</v>
      </c>
      <c r="M36" t="s">
        <v>3047</v>
      </c>
      <c r="N36" t="s">
        <v>913</v>
      </c>
      <c r="O36" t="s">
        <v>3070</v>
      </c>
      <c r="Q36" t="s">
        <v>3979</v>
      </c>
      <c r="R36" s="52">
        <f>_xlfn.NUMBERVALUE(convertNumberStringPointToNumberComma(LEFT(Q36,FIND("x",Q36)-2)))</f>
        <v>108</v>
      </c>
      <c r="S36" s="52">
        <f>_xlfn.NUMBERVALUE(convertNumberStringPointToNumberComma(LEFT(RIGHT(Q36,LEN(Q36)-FIND("x",Q36)-1),LEN(RIGHT(Q36,LEN(Q36)-FIND("x",Q36)-1))-2)))</f>
        <v>144</v>
      </c>
    </row>
    <row r="37" spans="1:19" x14ac:dyDescent="0.25">
      <c r="A37" t="s">
        <v>1022</v>
      </c>
      <c r="B37" t="s">
        <v>1023</v>
      </c>
      <c r="C37" s="5">
        <f>convertNumberStringPointToNumberComma(IFERROR(LEFT(B37,(FIND("-",B37)-1)),LEFT(B37,FIND("mm",B37)-1)))</f>
        <v>200</v>
      </c>
      <c r="D37" s="5">
        <f>convertNumberStringPointToNumberComma(IFERROR(RIGHT(LEFT(B37,FIND("m",B37)-1),LEN(LEFT(B37,FIND("m",B37)-1))-FIND("-",LEFT(B37,FIND("m",B37)-1))-1),C37))</f>
        <v>0</v>
      </c>
      <c r="E37" t="s">
        <v>2647</v>
      </c>
      <c r="F37" s="9">
        <f t="shared" si="3"/>
        <v>5.6</v>
      </c>
      <c r="G37" s="9">
        <f t="shared" si="4"/>
        <v>5.6</v>
      </c>
      <c r="H37" t="s">
        <v>203</v>
      </c>
      <c r="I37" s="5" t="str">
        <f>IF(H37="none",0,LEFT(H37,LEN(H37)-2))</f>
        <v>95</v>
      </c>
      <c r="J37" s="5" t="s">
        <v>144</v>
      </c>
      <c r="K37" s="10">
        <f>IF(J37="",0,convertNumberStringPointToNumberComma(LEFT(J37,LEN(J37)-1)))</f>
        <v>0.24</v>
      </c>
      <c r="L37" t="s">
        <v>2717</v>
      </c>
      <c r="M37" t="s">
        <v>8</v>
      </c>
      <c r="N37" t="s">
        <v>913</v>
      </c>
      <c r="O37" t="s">
        <v>2752</v>
      </c>
      <c r="P37" s="5" t="str">
        <f>LEFT(O37,LEN(O37)-1)</f>
        <v>2.30k</v>
      </c>
      <c r="Q37" t="s">
        <v>3269</v>
      </c>
      <c r="R37" s="52">
        <f>_xlfn.NUMBERVALUE(convertNumberStringPointToNumberComma(LEFT(Q37,FIND("x",Q37)-2)))</f>
        <v>108</v>
      </c>
      <c r="S37" s="52">
        <f>_xlfn.NUMBERVALUE(convertNumberStringPointToNumberComma(LEFT(RIGHT(Q37,LEN(Q37)-FIND("x",Q37)-1),LEN(RIGHT(Q37,LEN(Q37)-FIND("x",Q37)-1))-2)))</f>
        <v>267.5</v>
      </c>
    </row>
    <row r="38" spans="1:19" x14ac:dyDescent="0.25">
      <c r="A38" t="s">
        <v>1882</v>
      </c>
      <c r="B38" t="s">
        <v>1056</v>
      </c>
      <c r="E38" t="s">
        <v>2650</v>
      </c>
      <c r="F38" s="9">
        <f t="shared" si="3"/>
        <v>5</v>
      </c>
      <c r="G38" s="9">
        <f t="shared" si="4"/>
        <v>6.3</v>
      </c>
      <c r="H38" t="s">
        <v>203</v>
      </c>
      <c r="L38" t="s">
        <v>2806</v>
      </c>
      <c r="M38" t="s">
        <v>2682</v>
      </c>
      <c r="N38" t="s">
        <v>913</v>
      </c>
      <c r="O38" t="s">
        <v>3037</v>
      </c>
      <c r="Q38" t="s">
        <v>3734</v>
      </c>
      <c r="R38" s="52">
        <f>_xlfn.NUMBERVALUE(convertNumberStringPointToNumberComma(LEFT(Q38,FIND("x",Q38)-2)))</f>
        <v>108.4</v>
      </c>
      <c r="S38" s="52">
        <f>_xlfn.NUMBERVALUE(convertNumberStringPointToNumberComma(LEFT(RIGHT(Q38,LEN(Q38)-FIND("x",Q38)-1),LEN(RIGHT(Q38,LEN(Q38)-FIND("x",Q38)-1))-2)))</f>
        <v>260.2</v>
      </c>
    </row>
    <row r="39" spans="1:19" x14ac:dyDescent="0.25">
      <c r="A39" t="s">
        <v>2446</v>
      </c>
      <c r="B39" t="s">
        <v>1056</v>
      </c>
      <c r="E39" t="s">
        <v>2650</v>
      </c>
      <c r="F39" s="9">
        <f t="shared" si="3"/>
        <v>5</v>
      </c>
      <c r="G39" s="9">
        <f t="shared" si="4"/>
        <v>6.3</v>
      </c>
      <c r="H39" t="s">
        <v>203</v>
      </c>
      <c r="L39" t="s">
        <v>2806</v>
      </c>
      <c r="M39" t="s">
        <v>8</v>
      </c>
      <c r="N39" t="s">
        <v>913</v>
      </c>
      <c r="O39" t="s">
        <v>3037</v>
      </c>
      <c r="Q39" t="s">
        <v>3734</v>
      </c>
      <c r="R39" s="52">
        <f>_xlfn.NUMBERVALUE(convertNumberStringPointToNumberComma(LEFT(Q39,FIND("x",Q39)-2)))</f>
        <v>108.4</v>
      </c>
      <c r="S39" s="52">
        <f>_xlfn.NUMBERVALUE(convertNumberStringPointToNumberComma(LEFT(RIGHT(Q39,LEN(Q39)-FIND("x",Q39)-1),LEN(RIGHT(Q39,LEN(Q39)-FIND("x",Q39)-1))-2)))</f>
        <v>260.2</v>
      </c>
    </row>
    <row r="40" spans="1:19" x14ac:dyDescent="0.25">
      <c r="A40" t="s">
        <v>2368</v>
      </c>
      <c r="B40" t="s">
        <v>552</v>
      </c>
      <c r="E40" t="s">
        <v>2643</v>
      </c>
      <c r="F40" s="9">
        <f t="shared" si="3"/>
        <v>1.4</v>
      </c>
      <c r="G40" s="9">
        <f t="shared" si="4"/>
        <v>1.4</v>
      </c>
      <c r="H40" t="s">
        <v>203</v>
      </c>
      <c r="L40" t="s">
        <v>2704</v>
      </c>
      <c r="M40" t="s">
        <v>8</v>
      </c>
      <c r="N40" t="s">
        <v>913</v>
      </c>
      <c r="O40" t="s">
        <v>3017</v>
      </c>
      <c r="Q40" t="s">
        <v>3930</v>
      </c>
      <c r="R40" s="52">
        <f>_xlfn.NUMBERVALUE(convertNumberStringPointToNumberComma(LEFT(Q40,FIND("x",Q40)-2)))</f>
        <v>108.9</v>
      </c>
      <c r="S40" s="52">
        <f>_xlfn.NUMBERVALUE(convertNumberStringPointToNumberComma(LEFT(RIGHT(Q40,LEN(Q40)-FIND("x",Q40)-1),LEN(RIGHT(Q40,LEN(Q40)-FIND("x",Q40)-1))-2)))</f>
        <v>127</v>
      </c>
    </row>
    <row r="41" spans="1:19" x14ac:dyDescent="0.25">
      <c r="A41" t="s">
        <v>2367</v>
      </c>
      <c r="B41" t="s">
        <v>552</v>
      </c>
      <c r="E41" t="s">
        <v>2643</v>
      </c>
      <c r="F41" s="9">
        <f t="shared" si="3"/>
        <v>1.4</v>
      </c>
      <c r="G41" s="9">
        <f t="shared" si="4"/>
        <v>1.4</v>
      </c>
      <c r="H41" t="s">
        <v>203</v>
      </c>
      <c r="L41" t="s">
        <v>2704</v>
      </c>
      <c r="M41" t="s">
        <v>2682</v>
      </c>
      <c r="N41" t="s">
        <v>913</v>
      </c>
      <c r="O41" t="s">
        <v>3015</v>
      </c>
      <c r="Q41" t="s">
        <v>3929</v>
      </c>
      <c r="R41" s="52">
        <f>_xlfn.NUMBERVALUE(convertNumberStringPointToNumberComma(LEFT(Q41,FIND("x",Q41)-2)))</f>
        <v>108.9</v>
      </c>
      <c r="S41" s="52">
        <f>_xlfn.NUMBERVALUE(convertNumberStringPointToNumberComma(LEFT(RIGHT(Q41,LEN(Q41)-FIND("x",Q41)-1),LEN(RIGHT(Q41,LEN(Q41)-FIND("x",Q41)-1))-2)))</f>
        <v>129.5</v>
      </c>
    </row>
    <row r="42" spans="1:19" x14ac:dyDescent="0.25">
      <c r="A42" t="s">
        <v>2287</v>
      </c>
      <c r="B42" t="s">
        <v>2288</v>
      </c>
      <c r="E42" t="s">
        <v>2651</v>
      </c>
      <c r="F42" s="9">
        <f t="shared" si="3"/>
        <v>8</v>
      </c>
      <c r="G42" s="9">
        <f t="shared" si="4"/>
        <v>8</v>
      </c>
      <c r="H42" t="s">
        <v>75</v>
      </c>
      <c r="M42" t="s">
        <v>3106</v>
      </c>
      <c r="O42" t="s">
        <v>2713</v>
      </c>
      <c r="Q42" t="s">
        <v>3899</v>
      </c>
      <c r="R42" s="52">
        <f>_xlfn.NUMBERVALUE(convertNumberStringPointToNumberComma(LEFT(Q42,FIND("x",Q42)-2)))</f>
        <v>110</v>
      </c>
      <c r="S42" s="52">
        <f>_xlfn.NUMBERVALUE(convertNumberStringPointToNumberComma(LEFT(RIGHT(Q42,LEN(Q42)-FIND("x",Q42)-1),LEN(RIGHT(Q42,LEN(Q42)-FIND("x",Q42)-1))-2)))</f>
        <v>135</v>
      </c>
    </row>
    <row r="43" spans="1:19" x14ac:dyDescent="0.25">
      <c r="A43" t="s">
        <v>2108</v>
      </c>
      <c r="B43" t="s">
        <v>2109</v>
      </c>
      <c r="E43" t="s">
        <v>2633</v>
      </c>
      <c r="F43" s="9">
        <f t="shared" si="3"/>
        <v>4</v>
      </c>
      <c r="G43" s="9">
        <f t="shared" si="4"/>
        <v>4</v>
      </c>
      <c r="H43" t="s">
        <v>203</v>
      </c>
      <c r="L43" t="s">
        <v>3069</v>
      </c>
      <c r="M43" t="s">
        <v>2674</v>
      </c>
      <c r="N43" t="s">
        <v>903</v>
      </c>
      <c r="O43" t="s">
        <v>3070</v>
      </c>
      <c r="Q43" t="s">
        <v>3842</v>
      </c>
      <c r="R43" s="52">
        <f>_xlfn.NUMBERVALUE(convertNumberStringPointToNumberComma(LEFT(Q43,FIND("x",Q43)-2)))</f>
        <v>110</v>
      </c>
      <c r="S43" s="52">
        <f>_xlfn.NUMBERVALUE(convertNumberStringPointToNumberComma(LEFT(RIGHT(Q43,LEN(Q43)-FIND("x",Q43)-1),LEN(RIGHT(Q43,LEN(Q43)-FIND("x",Q43)-1))-2)))</f>
        <v>167.5</v>
      </c>
    </row>
    <row r="44" spans="1:19" x14ac:dyDescent="0.25">
      <c r="A44" t="s">
        <v>1738</v>
      </c>
      <c r="B44" t="s">
        <v>815</v>
      </c>
      <c r="E44" t="s">
        <v>2651</v>
      </c>
      <c r="F44" s="9">
        <f t="shared" si="3"/>
        <v>8</v>
      </c>
      <c r="G44" s="9">
        <f t="shared" si="4"/>
        <v>8</v>
      </c>
      <c r="H44" t="s">
        <v>592</v>
      </c>
      <c r="M44" t="s">
        <v>2763</v>
      </c>
      <c r="N44" t="s">
        <v>903</v>
      </c>
      <c r="O44" t="s">
        <v>2997</v>
      </c>
      <c r="Q44" t="s">
        <v>3657</v>
      </c>
      <c r="R44" s="52">
        <f>_xlfn.NUMBERVALUE(convertNumberStringPointToNumberComma(LEFT(Q44,FIND("x",Q44)-2)))</f>
        <v>111</v>
      </c>
      <c r="S44" s="52">
        <f>_xlfn.NUMBERVALUE(convertNumberStringPointToNumberComma(LEFT(RIGHT(Q44,LEN(Q44)-FIND("x",Q44)-1),LEN(RIGHT(Q44,LEN(Q44)-FIND("x",Q44)-1))-2)))</f>
        <v>113</v>
      </c>
    </row>
    <row r="45" spans="1:19" x14ac:dyDescent="0.25">
      <c r="A45" t="s">
        <v>2130</v>
      </c>
      <c r="B45" t="s">
        <v>815</v>
      </c>
      <c r="E45" t="s">
        <v>2651</v>
      </c>
      <c r="F45" s="9">
        <f t="shared" si="3"/>
        <v>8</v>
      </c>
      <c r="G45" s="9">
        <f t="shared" si="4"/>
        <v>8</v>
      </c>
      <c r="H45" t="s">
        <v>592</v>
      </c>
      <c r="M45" t="s">
        <v>8</v>
      </c>
      <c r="N45" t="s">
        <v>913</v>
      </c>
      <c r="O45" t="s">
        <v>3075</v>
      </c>
      <c r="Q45" t="s">
        <v>3657</v>
      </c>
      <c r="R45" s="52">
        <f>_xlfn.NUMBERVALUE(convertNumberStringPointToNumberComma(LEFT(Q45,FIND("x",Q45)-2)))</f>
        <v>111</v>
      </c>
      <c r="S45" s="52">
        <f>_xlfn.NUMBERVALUE(convertNumberStringPointToNumberComma(LEFT(RIGHT(Q45,LEN(Q45)-FIND("x",Q45)-1),LEN(RIGHT(Q45,LEN(Q45)-FIND("x",Q45)-1))-2)))</f>
        <v>113</v>
      </c>
    </row>
    <row r="46" spans="1:19" x14ac:dyDescent="0.25">
      <c r="A46" t="s">
        <v>2134</v>
      </c>
      <c r="B46" t="s">
        <v>815</v>
      </c>
      <c r="E46" t="s">
        <v>2651</v>
      </c>
      <c r="F46" s="9">
        <f t="shared" si="3"/>
        <v>8</v>
      </c>
      <c r="G46" s="9">
        <f t="shared" si="4"/>
        <v>8</v>
      </c>
      <c r="H46" t="s">
        <v>592</v>
      </c>
      <c r="M46" t="s">
        <v>2681</v>
      </c>
      <c r="N46" t="s">
        <v>2681</v>
      </c>
      <c r="O46" t="s">
        <v>3075</v>
      </c>
      <c r="Q46" t="s">
        <v>3657</v>
      </c>
      <c r="R46" s="52">
        <f>_xlfn.NUMBERVALUE(convertNumberStringPointToNumberComma(LEFT(Q46,FIND("x",Q46)-2)))</f>
        <v>111</v>
      </c>
      <c r="S46" s="52">
        <f>_xlfn.NUMBERVALUE(convertNumberStringPointToNumberComma(LEFT(RIGHT(Q46,LEN(Q46)-FIND("x",Q46)-1),LEN(RIGHT(Q46,LEN(Q46)-FIND("x",Q46)-1))-2)))</f>
        <v>113</v>
      </c>
    </row>
    <row r="47" spans="1:19" x14ac:dyDescent="0.25">
      <c r="A47" t="s">
        <v>2136</v>
      </c>
      <c r="B47" t="s">
        <v>815</v>
      </c>
      <c r="E47" t="s">
        <v>2651</v>
      </c>
      <c r="F47" s="9">
        <f t="shared" si="3"/>
        <v>8</v>
      </c>
      <c r="G47" s="9">
        <f t="shared" si="4"/>
        <v>8</v>
      </c>
      <c r="H47" t="s">
        <v>592</v>
      </c>
      <c r="M47" t="s">
        <v>2680</v>
      </c>
      <c r="N47" t="s">
        <v>2681</v>
      </c>
      <c r="O47" t="s">
        <v>3075</v>
      </c>
      <c r="Q47" t="s">
        <v>3657</v>
      </c>
      <c r="R47" s="52">
        <f>_xlfn.NUMBERVALUE(convertNumberStringPointToNumberComma(LEFT(Q47,FIND("x",Q47)-2)))</f>
        <v>111</v>
      </c>
      <c r="S47" s="52">
        <f>_xlfn.NUMBERVALUE(convertNumberStringPointToNumberComma(LEFT(RIGHT(Q47,LEN(Q47)-FIND("x",Q47)-1),LEN(RIGHT(Q47,LEN(Q47)-FIND("x",Q47)-1))-2)))</f>
        <v>113</v>
      </c>
    </row>
    <row r="48" spans="1:19" x14ac:dyDescent="0.25">
      <c r="A48" t="s">
        <v>2147</v>
      </c>
      <c r="B48" t="s">
        <v>815</v>
      </c>
      <c r="E48" t="s">
        <v>2651</v>
      </c>
      <c r="F48" s="9">
        <f t="shared" si="3"/>
        <v>8</v>
      </c>
      <c r="G48" s="9">
        <f t="shared" si="4"/>
        <v>8</v>
      </c>
      <c r="H48" t="s">
        <v>592</v>
      </c>
      <c r="M48" t="s">
        <v>2674</v>
      </c>
      <c r="N48" t="s">
        <v>903</v>
      </c>
      <c r="O48" t="s">
        <v>3075</v>
      </c>
      <c r="Q48" t="s">
        <v>3657</v>
      </c>
      <c r="R48" s="52">
        <f>_xlfn.NUMBERVALUE(convertNumberStringPointToNumberComma(LEFT(Q48,FIND("x",Q48)-2)))</f>
        <v>111</v>
      </c>
      <c r="S48" s="52">
        <f>_xlfn.NUMBERVALUE(convertNumberStringPointToNumberComma(LEFT(RIGHT(Q48,LEN(Q48)-FIND("x",Q48)-1),LEN(RIGHT(Q48,LEN(Q48)-FIND("x",Q48)-1))-2)))</f>
        <v>113</v>
      </c>
    </row>
    <row r="49" spans="1:19" x14ac:dyDescent="0.25">
      <c r="A49" t="s">
        <v>2150</v>
      </c>
      <c r="B49" t="s">
        <v>815</v>
      </c>
      <c r="E49" t="s">
        <v>2651</v>
      </c>
      <c r="F49" s="9">
        <f t="shared" si="3"/>
        <v>8</v>
      </c>
      <c r="G49" s="9">
        <f t="shared" si="4"/>
        <v>8</v>
      </c>
      <c r="H49" t="s">
        <v>592</v>
      </c>
      <c r="M49" t="s">
        <v>2748</v>
      </c>
      <c r="N49" t="s">
        <v>913</v>
      </c>
      <c r="O49" t="s">
        <v>3075</v>
      </c>
      <c r="Q49" t="s">
        <v>3657</v>
      </c>
      <c r="R49" s="52">
        <f>_xlfn.NUMBERVALUE(convertNumberStringPointToNumberComma(LEFT(Q49,FIND("x",Q49)-2)))</f>
        <v>111</v>
      </c>
      <c r="S49" s="52">
        <f>_xlfn.NUMBERVALUE(convertNumberStringPointToNumberComma(LEFT(RIGHT(Q49,LEN(Q49)-FIND("x",Q49)-1),LEN(RIGHT(Q49,LEN(Q49)-FIND("x",Q49)-1))-2)))</f>
        <v>113</v>
      </c>
    </row>
    <row r="50" spans="1:19" x14ac:dyDescent="0.25">
      <c r="A50" t="s">
        <v>1223</v>
      </c>
      <c r="B50" t="s">
        <v>222</v>
      </c>
      <c r="C50" s="5">
        <f>convertNumberStringPointToNumberComma(IFERROR(LEFT(B50,(FIND("-",B50)-1)),LEFT(B50,FIND("mm",B50)-1)))</f>
        <v>15</v>
      </c>
      <c r="D50" s="5">
        <f>convertNumberStringPointToNumberComma(IFERROR(RIGHT(LEFT(B50,FIND("m",B50)-1),LEN(LEFT(B50,FIND("m",B50)-1))-FIND("-",LEFT(B50,FIND("m",B50)-1))-1),C50))</f>
        <v>15</v>
      </c>
      <c r="E50" t="s">
        <v>2656</v>
      </c>
      <c r="F50" s="9">
        <f t="shared" si="3"/>
        <v>2.4</v>
      </c>
      <c r="G50" s="9">
        <f t="shared" si="4"/>
        <v>2.4</v>
      </c>
      <c r="H50" t="s">
        <v>2847</v>
      </c>
      <c r="I50" s="5" t="str">
        <f>IF(H50="none",0,LEFT(H50,LEN(H50)-2))</f>
        <v>95m</v>
      </c>
      <c r="J50" s="5" t="s">
        <v>63</v>
      </c>
      <c r="K50" s="10">
        <f>IF(J50="",0,convertNumberStringPointToNumberComma(LEFT(J50,LEN(J50)-1)))</f>
        <v>1</v>
      </c>
      <c r="M50" t="s">
        <v>8</v>
      </c>
      <c r="N50" t="s">
        <v>913</v>
      </c>
      <c r="O50" t="s">
        <v>2848</v>
      </c>
      <c r="P50" s="5" t="str">
        <f>LEFT(O50,LEN(O50)-1)</f>
        <v>653</v>
      </c>
      <c r="Q50" t="s">
        <v>3373</v>
      </c>
      <c r="R50" s="52">
        <f>_xlfn.NUMBERVALUE(convertNumberStringPointToNumberComma(LEFT(Q50,FIND("x",Q50)-2)))</f>
        <v>114</v>
      </c>
      <c r="S50" s="52">
        <f>_xlfn.NUMBERVALUE(convertNumberStringPointToNumberComma(LEFT(RIGHT(Q50,LEN(Q50)-FIND("x",Q50)-1),LEN(RIGHT(Q50,LEN(Q50)-FIND("x",Q50)-1))-2)))</f>
        <v>100</v>
      </c>
    </row>
    <row r="51" spans="1:19" x14ac:dyDescent="0.25">
      <c r="A51" t="s">
        <v>1517</v>
      </c>
      <c r="B51" t="s">
        <v>222</v>
      </c>
      <c r="E51" t="s">
        <v>2656</v>
      </c>
      <c r="F51" s="9">
        <f t="shared" si="3"/>
        <v>2.4</v>
      </c>
      <c r="G51" s="9">
        <f t="shared" si="4"/>
        <v>2.4</v>
      </c>
      <c r="H51" t="s">
        <v>2847</v>
      </c>
      <c r="M51" t="s">
        <v>2682</v>
      </c>
      <c r="N51" t="s">
        <v>913</v>
      </c>
      <c r="O51" t="s">
        <v>2918</v>
      </c>
      <c r="Q51" t="s">
        <v>3373</v>
      </c>
      <c r="R51" s="52">
        <f>_xlfn.NUMBERVALUE(convertNumberStringPointToNumberComma(LEFT(Q51,FIND("x",Q51)-2)))</f>
        <v>114</v>
      </c>
      <c r="S51" s="52">
        <f>_xlfn.NUMBERVALUE(convertNumberStringPointToNumberComma(LEFT(RIGHT(Q51,LEN(Q51)-FIND("x",Q51)-1),LEN(RIGHT(Q51,LEN(Q51)-FIND("x",Q51)-1))-2)))</f>
        <v>100</v>
      </c>
    </row>
    <row r="52" spans="1:19" x14ac:dyDescent="0.25">
      <c r="A52" t="s">
        <v>1518</v>
      </c>
      <c r="B52" t="s">
        <v>222</v>
      </c>
      <c r="E52" t="s">
        <v>2656</v>
      </c>
      <c r="F52" s="9">
        <f t="shared" si="3"/>
        <v>2.4</v>
      </c>
      <c r="G52" s="9">
        <f t="shared" si="4"/>
        <v>2.4</v>
      </c>
      <c r="H52" t="s">
        <v>2847</v>
      </c>
      <c r="M52" t="s">
        <v>2802</v>
      </c>
      <c r="N52" t="s">
        <v>913</v>
      </c>
      <c r="Q52" t="s">
        <v>3373</v>
      </c>
      <c r="R52" s="52">
        <f>_xlfn.NUMBERVALUE(convertNumberStringPointToNumberComma(LEFT(Q52,FIND("x",Q52)-2)))</f>
        <v>114</v>
      </c>
      <c r="S52" s="52">
        <f>_xlfn.NUMBERVALUE(convertNumberStringPointToNumberComma(LEFT(RIGHT(Q52,LEN(Q52)-FIND("x",Q52)-1),LEN(RIGHT(Q52,LEN(Q52)-FIND("x",Q52)-1))-2)))</f>
        <v>100</v>
      </c>
    </row>
    <row r="53" spans="1:19" x14ac:dyDescent="0.25">
      <c r="A53" t="s">
        <v>1519</v>
      </c>
      <c r="B53" t="s">
        <v>222</v>
      </c>
      <c r="E53" t="s">
        <v>2656</v>
      </c>
      <c r="F53" s="9">
        <f t="shared" si="3"/>
        <v>2.4</v>
      </c>
      <c r="G53" s="9">
        <f t="shared" si="4"/>
        <v>2.4</v>
      </c>
      <c r="H53" t="s">
        <v>2847</v>
      </c>
      <c r="M53" t="s">
        <v>2682</v>
      </c>
      <c r="N53" t="s">
        <v>913</v>
      </c>
      <c r="O53" t="s">
        <v>2853</v>
      </c>
      <c r="Q53" t="s">
        <v>3373</v>
      </c>
      <c r="R53" s="52">
        <f>_xlfn.NUMBERVALUE(convertNumberStringPointToNumberComma(LEFT(Q53,FIND("x",Q53)-2)))</f>
        <v>114</v>
      </c>
      <c r="S53" s="52">
        <f>_xlfn.NUMBERVALUE(convertNumberStringPointToNumberComma(LEFT(RIGHT(Q53,LEN(Q53)-FIND("x",Q53)-1),LEN(RIGHT(Q53,LEN(Q53)-FIND("x",Q53)-1))-2)))</f>
        <v>100</v>
      </c>
    </row>
    <row r="54" spans="1:19" x14ac:dyDescent="0.25">
      <c r="A54" t="s">
        <v>1520</v>
      </c>
      <c r="B54" t="s">
        <v>222</v>
      </c>
      <c r="E54" t="s">
        <v>2656</v>
      </c>
      <c r="F54" s="9">
        <f t="shared" si="3"/>
        <v>2.4</v>
      </c>
      <c r="G54" s="9">
        <f t="shared" si="4"/>
        <v>2.4</v>
      </c>
      <c r="H54" t="s">
        <v>2847</v>
      </c>
      <c r="M54" t="s">
        <v>2802</v>
      </c>
      <c r="N54" t="s">
        <v>913</v>
      </c>
      <c r="Q54" t="s">
        <v>3373</v>
      </c>
      <c r="R54" s="52">
        <f>_xlfn.NUMBERVALUE(convertNumberStringPointToNumberComma(LEFT(Q54,FIND("x",Q54)-2)))</f>
        <v>114</v>
      </c>
      <c r="S54" s="52">
        <f>_xlfn.NUMBERVALUE(convertNumberStringPointToNumberComma(LEFT(RIGHT(Q54,LEN(Q54)-FIND("x",Q54)-1),LEN(RIGHT(Q54,LEN(Q54)-FIND("x",Q54)-1))-2)))</f>
        <v>100</v>
      </c>
    </row>
    <row r="55" spans="1:19" x14ac:dyDescent="0.25">
      <c r="B55" t="s">
        <v>222</v>
      </c>
      <c r="E55" t="s">
        <v>2656</v>
      </c>
      <c r="F55" s="9">
        <f t="shared" si="3"/>
        <v>2.4</v>
      </c>
      <c r="G55" s="9">
        <f t="shared" si="4"/>
        <v>2.4</v>
      </c>
      <c r="H55" t="s">
        <v>2847</v>
      </c>
      <c r="M55" t="s">
        <v>8</v>
      </c>
      <c r="N55" t="s">
        <v>913</v>
      </c>
      <c r="O55" t="s">
        <v>2970</v>
      </c>
      <c r="Q55" t="s">
        <v>3373</v>
      </c>
      <c r="R55" s="52">
        <f>_xlfn.NUMBERVALUE(convertNumberStringPointToNumberComma(LEFT(Q55,FIND("x",Q55)-2)))</f>
        <v>114</v>
      </c>
      <c r="S55" s="52">
        <f>_xlfn.NUMBERVALUE(convertNumberStringPointToNumberComma(LEFT(RIGHT(Q55,LEN(Q55)-FIND("x",Q55)-1),LEN(RIGHT(Q55,LEN(Q55)-FIND("x",Q55)-1))-2)))</f>
        <v>100</v>
      </c>
    </row>
    <row r="56" spans="1:19" x14ac:dyDescent="0.25">
      <c r="A56" t="s">
        <v>1202</v>
      </c>
      <c r="B56" t="s">
        <v>1203</v>
      </c>
      <c r="C56" s="5">
        <f>convertNumberStringPointToNumberComma(IFERROR(LEFT(B56,(FIND("-",B56)-1)),LEFT(B56,FIND("mm",B56)-1)))</f>
        <v>120</v>
      </c>
      <c r="D56" s="5">
        <f>convertNumberStringPointToNumberComma(IFERROR(RIGHT(LEFT(B56,FIND("m",B56)-1),LEN(LEFT(B56,FIND("m",B56)-1))-FIND("-",LEFT(B56,FIND("m",B56)-1))-1),C56))</f>
        <v>0</v>
      </c>
      <c r="E56" t="s">
        <v>2632</v>
      </c>
      <c r="F56" s="9">
        <f t="shared" si="3"/>
        <v>2.8</v>
      </c>
      <c r="G56" s="9">
        <f t="shared" si="4"/>
        <v>2.8</v>
      </c>
      <c r="H56" t="s">
        <v>75</v>
      </c>
      <c r="I56" s="5" t="str">
        <f>IF(H56="none",0,LEFT(H56,LEN(H56)-2))</f>
        <v>105</v>
      </c>
      <c r="J56" s="5" t="s">
        <v>68</v>
      </c>
      <c r="K56" s="10">
        <f>IF(J56="",0,convertNumberStringPointToNumberComma(LEFT(J56,LEN(J56)-1)))</f>
        <v>0.5</v>
      </c>
      <c r="L56" t="s">
        <v>2838</v>
      </c>
      <c r="M56" t="s">
        <v>2682</v>
      </c>
      <c r="N56" t="s">
        <v>913</v>
      </c>
      <c r="O56" t="s">
        <v>2839</v>
      </c>
      <c r="P56" s="5" t="str">
        <f>LEFT(O56,LEN(O56)-1)</f>
        <v>2.98k</v>
      </c>
      <c r="Q56" t="s">
        <v>3362</v>
      </c>
      <c r="R56" s="52">
        <f>_xlfn.NUMBERVALUE(convertNumberStringPointToNumberComma(LEFT(Q56,FIND("x",Q56)-2)))</f>
        <v>114.4</v>
      </c>
      <c r="S56" s="52">
        <f>_xlfn.NUMBERVALUE(convertNumberStringPointToNumberComma(LEFT(RIGHT(Q56,LEN(Q56)-FIND("x",Q56)-1),LEN(RIGHT(Q56,LEN(Q56)-FIND("x",Q56)-1))-2)))</f>
        <v>289.2</v>
      </c>
    </row>
    <row r="57" spans="1:19" x14ac:dyDescent="0.25">
      <c r="A57" t="s">
        <v>1786</v>
      </c>
      <c r="B57" t="s">
        <v>176</v>
      </c>
      <c r="E57" t="s">
        <v>2981</v>
      </c>
      <c r="F57" s="9">
        <f t="shared" si="3"/>
        <v>3.1</v>
      </c>
      <c r="G57" s="9">
        <f t="shared" si="4"/>
        <v>3.1</v>
      </c>
      <c r="H57" t="s">
        <v>2668</v>
      </c>
      <c r="M57" t="s">
        <v>2680</v>
      </c>
      <c r="N57" t="s">
        <v>2680</v>
      </c>
      <c r="O57" t="s">
        <v>3008</v>
      </c>
      <c r="Q57" t="s">
        <v>3687</v>
      </c>
      <c r="R57" s="52">
        <f>_xlfn.NUMBERVALUE(convertNumberStringPointToNumberComma(LEFT(Q57,FIND("x",Q57)-2)))</f>
        <v>117.6</v>
      </c>
      <c r="S57" s="52">
        <f>_xlfn.NUMBERVALUE(convertNumberStringPointToNumberComma(LEFT(RIGHT(Q57,LEN(Q57)-FIND("x",Q57)-1),LEN(RIGHT(Q57,LEN(Q57)-FIND("x",Q57)-1))-2)))</f>
        <v>113.1</v>
      </c>
    </row>
    <row r="58" spans="1:19" x14ac:dyDescent="0.25">
      <c r="A58" t="s">
        <v>1791</v>
      </c>
      <c r="B58" t="s">
        <v>592</v>
      </c>
      <c r="E58" t="s">
        <v>2980</v>
      </c>
      <c r="F58" s="9">
        <f t="shared" si="3"/>
        <v>1.5</v>
      </c>
      <c r="G58" s="9">
        <f t="shared" si="4"/>
        <v>1.5</v>
      </c>
      <c r="H58" t="s">
        <v>2668</v>
      </c>
      <c r="M58" t="s">
        <v>3009</v>
      </c>
      <c r="N58" t="s">
        <v>913</v>
      </c>
      <c r="O58" t="s">
        <v>3012</v>
      </c>
      <c r="Q58" t="s">
        <v>3692</v>
      </c>
      <c r="R58" s="52">
        <f>_xlfn.NUMBERVALUE(convertNumberStringPointToNumberComma(LEFT(Q58,FIND("x",Q58)-2)))</f>
        <v>117.6</v>
      </c>
      <c r="S58" s="52">
        <f>_xlfn.NUMBERVALUE(convertNumberStringPointToNumberComma(LEFT(RIGHT(Q58,LEN(Q58)-FIND("x",Q58)-1),LEN(RIGHT(Q58,LEN(Q58)-FIND("x",Q58)-1))-2)))</f>
        <v>113.7</v>
      </c>
    </row>
    <row r="59" spans="1:19" x14ac:dyDescent="0.25">
      <c r="A59" t="s">
        <v>1800</v>
      </c>
      <c r="B59" t="s">
        <v>148</v>
      </c>
      <c r="E59" t="s">
        <v>3014</v>
      </c>
      <c r="F59" s="9">
        <f t="shared" si="3"/>
        <v>2.2000000000000002</v>
      </c>
      <c r="G59" s="9">
        <f t="shared" si="4"/>
        <v>2.2000000000000002</v>
      </c>
      <c r="H59" t="s">
        <v>2668</v>
      </c>
      <c r="M59" t="s">
        <v>3009</v>
      </c>
      <c r="N59" t="s">
        <v>913</v>
      </c>
      <c r="O59" t="s">
        <v>2801</v>
      </c>
      <c r="Q59" t="s">
        <v>3692</v>
      </c>
      <c r="R59" s="52">
        <f>_xlfn.NUMBERVALUE(convertNumberStringPointToNumberComma(LEFT(Q59,FIND("x",Q59)-2)))</f>
        <v>117.6</v>
      </c>
      <c r="S59" s="52">
        <f>_xlfn.NUMBERVALUE(convertNumberStringPointToNumberComma(LEFT(RIGHT(Q59,LEN(Q59)-FIND("x",Q59)-1),LEN(RIGHT(Q59,LEN(Q59)-FIND("x",Q59)-1))-2)))</f>
        <v>113.7</v>
      </c>
    </row>
    <row r="60" spans="1:19" x14ac:dyDescent="0.25">
      <c r="B60" t="s">
        <v>822</v>
      </c>
      <c r="E60" t="s">
        <v>2980</v>
      </c>
      <c r="F60" s="9">
        <f t="shared" si="3"/>
        <v>1.5</v>
      </c>
      <c r="G60" s="9">
        <f t="shared" si="4"/>
        <v>1.5</v>
      </c>
      <c r="H60" t="s">
        <v>2668</v>
      </c>
      <c r="M60" t="s">
        <v>3009</v>
      </c>
      <c r="N60" t="s">
        <v>913</v>
      </c>
      <c r="O60" t="s">
        <v>3018</v>
      </c>
      <c r="Q60" t="s">
        <v>3692</v>
      </c>
      <c r="R60" s="52">
        <f>_xlfn.NUMBERVALUE(convertNumberStringPointToNumberComma(LEFT(Q60,FIND("x",Q60)-2)))</f>
        <v>117.6</v>
      </c>
      <c r="S60" s="52">
        <f>_xlfn.NUMBERVALUE(convertNumberStringPointToNumberComma(LEFT(RIGHT(Q60,LEN(Q60)-FIND("x",Q60)-1),LEN(RIGHT(Q60,LEN(Q60)-FIND("x",Q60)-1))-2)))</f>
        <v>113.7</v>
      </c>
    </row>
    <row r="61" spans="1:19" x14ac:dyDescent="0.25">
      <c r="B61" t="s">
        <v>678</v>
      </c>
      <c r="E61" t="s">
        <v>2980</v>
      </c>
      <c r="F61" s="9">
        <f t="shared" si="3"/>
        <v>1.5</v>
      </c>
      <c r="G61" s="9">
        <f t="shared" si="4"/>
        <v>1.5</v>
      </c>
      <c r="H61" t="s">
        <v>2668</v>
      </c>
      <c r="M61" t="s">
        <v>3009</v>
      </c>
      <c r="N61" t="s">
        <v>913</v>
      </c>
      <c r="O61" t="s">
        <v>2778</v>
      </c>
      <c r="Q61" t="s">
        <v>3692</v>
      </c>
      <c r="R61" s="52">
        <f>_xlfn.NUMBERVALUE(convertNumberStringPointToNumberComma(LEFT(Q61,FIND("x",Q61)-2)))</f>
        <v>117.6</v>
      </c>
      <c r="S61" s="52">
        <f>_xlfn.NUMBERVALUE(convertNumberStringPointToNumberComma(LEFT(RIGHT(Q61,LEN(Q61)-FIND("x",Q61)-1),LEN(RIGHT(Q61,LEN(Q61)-FIND("x",Q61)-1))-2)))</f>
        <v>113.7</v>
      </c>
    </row>
    <row r="62" spans="1:19" x14ac:dyDescent="0.25">
      <c r="B62" t="s">
        <v>505</v>
      </c>
      <c r="E62" t="s">
        <v>2980</v>
      </c>
      <c r="F62" s="9">
        <f t="shared" si="3"/>
        <v>1.5</v>
      </c>
      <c r="G62" s="9">
        <f t="shared" si="4"/>
        <v>1.5</v>
      </c>
      <c r="H62" t="s">
        <v>2668</v>
      </c>
      <c r="M62" t="s">
        <v>3009</v>
      </c>
      <c r="N62" t="s">
        <v>913</v>
      </c>
      <c r="O62" t="s">
        <v>3008</v>
      </c>
      <c r="Q62" t="s">
        <v>3692</v>
      </c>
      <c r="R62" s="52">
        <f>_xlfn.NUMBERVALUE(convertNumberStringPointToNumberComma(LEFT(Q62,FIND("x",Q62)-2)))</f>
        <v>117.6</v>
      </c>
      <c r="S62" s="52">
        <f>_xlfn.NUMBERVALUE(convertNumberStringPointToNumberComma(LEFT(RIGHT(Q62,LEN(Q62)-FIND("x",Q62)-1),LEN(RIGHT(Q62,LEN(Q62)-FIND("x",Q62)-1))-2)))</f>
        <v>113.7</v>
      </c>
    </row>
    <row r="63" spans="1:19" x14ac:dyDescent="0.25">
      <c r="A63" t="s">
        <v>1785</v>
      </c>
      <c r="B63" t="s">
        <v>176</v>
      </c>
      <c r="E63" t="s">
        <v>2981</v>
      </c>
      <c r="F63" s="9">
        <f t="shared" si="3"/>
        <v>3.1</v>
      </c>
      <c r="G63" s="9">
        <f t="shared" si="4"/>
        <v>3.1</v>
      </c>
      <c r="H63" t="s">
        <v>2668</v>
      </c>
      <c r="M63" t="s">
        <v>2674</v>
      </c>
      <c r="N63" t="s">
        <v>913</v>
      </c>
      <c r="O63" t="s">
        <v>3008</v>
      </c>
      <c r="Q63" t="s">
        <v>3686</v>
      </c>
      <c r="R63" s="52">
        <f>_xlfn.NUMBERVALUE(convertNumberStringPointToNumberComma(LEFT(Q63,FIND("x",Q63)-2)))</f>
        <v>117.6</v>
      </c>
      <c r="S63" s="52">
        <f>_xlfn.NUMBERVALUE(convertNumberStringPointToNumberComma(LEFT(RIGHT(Q63,LEN(Q63)-FIND("x",Q63)-1),LEN(RIGHT(Q63,LEN(Q63)-FIND("x",Q63)-1))-2)))</f>
        <v>114.3</v>
      </c>
    </row>
    <row r="64" spans="1:19" x14ac:dyDescent="0.25">
      <c r="A64" t="s">
        <v>1793</v>
      </c>
      <c r="B64" t="s">
        <v>592</v>
      </c>
      <c r="E64" t="s">
        <v>2980</v>
      </c>
      <c r="F64" s="9">
        <f t="shared" si="3"/>
        <v>1.5</v>
      </c>
      <c r="G64" s="9">
        <f t="shared" si="4"/>
        <v>1.5</v>
      </c>
      <c r="H64" t="s">
        <v>2668</v>
      </c>
      <c r="M64" t="s">
        <v>8</v>
      </c>
      <c r="N64" t="s">
        <v>913</v>
      </c>
      <c r="O64" t="s">
        <v>3013</v>
      </c>
      <c r="Q64" t="s">
        <v>3693</v>
      </c>
      <c r="R64" s="52">
        <f>_xlfn.NUMBERVALUE(convertNumberStringPointToNumberComma(LEFT(Q64,FIND("x",Q64)-2)))</f>
        <v>117.6</v>
      </c>
      <c r="S64" s="52">
        <f>_xlfn.NUMBERVALUE(convertNumberStringPointToNumberComma(LEFT(RIGHT(Q64,LEN(Q64)-FIND("x",Q64)-1),LEN(RIGHT(Q64,LEN(Q64)-FIND("x",Q64)-1))-2)))</f>
        <v>119.2</v>
      </c>
    </row>
    <row r="65" spans="1:19" x14ac:dyDescent="0.25">
      <c r="A65" t="s">
        <v>1802</v>
      </c>
      <c r="B65" t="s">
        <v>148</v>
      </c>
      <c r="E65" t="s">
        <v>3014</v>
      </c>
      <c r="F65" s="9">
        <f t="shared" si="3"/>
        <v>2.2000000000000002</v>
      </c>
      <c r="G65" s="9">
        <f t="shared" si="4"/>
        <v>2.2000000000000002</v>
      </c>
      <c r="H65" t="s">
        <v>2668</v>
      </c>
      <c r="M65" t="s">
        <v>8</v>
      </c>
      <c r="N65" t="s">
        <v>913</v>
      </c>
      <c r="O65" t="s">
        <v>3017</v>
      </c>
      <c r="Q65" t="s">
        <v>3693</v>
      </c>
      <c r="R65" s="52">
        <f>_xlfn.NUMBERVALUE(convertNumberStringPointToNumberComma(LEFT(Q65,FIND("x",Q65)-2)))</f>
        <v>117.6</v>
      </c>
      <c r="S65" s="52">
        <f>_xlfn.NUMBERVALUE(convertNumberStringPointToNumberComma(LEFT(RIGHT(Q65,LEN(Q65)-FIND("x",Q65)-1),LEN(RIGHT(Q65,LEN(Q65)-FIND("x",Q65)-1))-2)))</f>
        <v>119.2</v>
      </c>
    </row>
    <row r="66" spans="1:19" x14ac:dyDescent="0.25">
      <c r="B66" t="s">
        <v>505</v>
      </c>
      <c r="E66" t="s">
        <v>2980</v>
      </c>
      <c r="F66" s="9">
        <f t="shared" si="3"/>
        <v>1.5</v>
      </c>
      <c r="G66" s="9">
        <f t="shared" si="4"/>
        <v>1.5</v>
      </c>
      <c r="H66" t="s">
        <v>2668</v>
      </c>
      <c r="M66" t="s">
        <v>8</v>
      </c>
      <c r="N66" t="s">
        <v>913</v>
      </c>
      <c r="O66" t="s">
        <v>3031</v>
      </c>
      <c r="Q66" t="s">
        <v>3693</v>
      </c>
      <c r="R66" s="52">
        <f>_xlfn.NUMBERVALUE(convertNumberStringPointToNumberComma(LEFT(Q66,FIND("x",Q66)-2)))</f>
        <v>117.6</v>
      </c>
      <c r="S66" s="52">
        <f>_xlfn.NUMBERVALUE(convertNumberStringPointToNumberComma(LEFT(RIGHT(Q66,LEN(Q66)-FIND("x",Q66)-1),LEN(RIGHT(Q66,LEN(Q66)-FIND("x",Q66)-1))-2)))</f>
        <v>119.2</v>
      </c>
    </row>
    <row r="67" spans="1:19" x14ac:dyDescent="0.25">
      <c r="B67" t="s">
        <v>678</v>
      </c>
      <c r="E67" t="s">
        <v>2980</v>
      </c>
      <c r="F67" s="9">
        <f t="shared" si="3"/>
        <v>1.5</v>
      </c>
      <c r="G67" s="9">
        <f t="shared" si="4"/>
        <v>1.5</v>
      </c>
      <c r="H67" t="s">
        <v>2668</v>
      </c>
      <c r="M67" t="s">
        <v>8</v>
      </c>
      <c r="N67" t="s">
        <v>913</v>
      </c>
      <c r="O67" t="s">
        <v>3142</v>
      </c>
      <c r="Q67" t="s">
        <v>3693</v>
      </c>
      <c r="R67" s="52">
        <f>_xlfn.NUMBERVALUE(convertNumberStringPointToNumberComma(LEFT(Q67,FIND("x",Q67)-2)))</f>
        <v>117.6</v>
      </c>
      <c r="S67" s="52">
        <f>_xlfn.NUMBERVALUE(convertNumberStringPointToNumberComma(LEFT(RIGHT(Q67,LEN(Q67)-FIND("x",Q67)-1),LEN(RIGHT(Q67,LEN(Q67)-FIND("x",Q67)-1))-2)))</f>
        <v>119.2</v>
      </c>
    </row>
    <row r="68" spans="1:19" x14ac:dyDescent="0.25">
      <c r="A68" t="s">
        <v>2204</v>
      </c>
      <c r="B68" t="s">
        <v>505</v>
      </c>
      <c r="E68" t="s">
        <v>2980</v>
      </c>
      <c r="F68" s="9">
        <f t="shared" si="3"/>
        <v>1.5</v>
      </c>
      <c r="G68" s="9">
        <f t="shared" si="4"/>
        <v>1.5</v>
      </c>
      <c r="H68" t="s">
        <v>2668</v>
      </c>
      <c r="M68" t="s">
        <v>2680</v>
      </c>
      <c r="N68" t="s">
        <v>2680</v>
      </c>
      <c r="O68" t="s">
        <v>2751</v>
      </c>
      <c r="Q68" t="s">
        <v>3864</v>
      </c>
      <c r="R68" s="52">
        <f>_xlfn.NUMBERVALUE(convertNumberStringPointToNumberComma(LEFT(Q68,FIND("x",Q68)-2)))</f>
        <v>117.6</v>
      </c>
      <c r="S68" s="52">
        <f>_xlfn.NUMBERVALUE(convertNumberStringPointToNumberComma(LEFT(RIGHT(Q68,LEN(Q68)-FIND("x",Q68)-1),LEN(RIGHT(Q68,LEN(Q68)-FIND("x",Q68)-1))-2)))</f>
        <v>120</v>
      </c>
    </row>
    <row r="69" spans="1:19" x14ac:dyDescent="0.25">
      <c r="A69" t="s">
        <v>1772</v>
      </c>
      <c r="B69" t="s">
        <v>263</v>
      </c>
      <c r="E69" t="s">
        <v>3007</v>
      </c>
      <c r="F69" s="9">
        <f t="shared" si="3"/>
        <v>2.6</v>
      </c>
      <c r="G69" s="9">
        <f t="shared" si="4"/>
        <v>2.6</v>
      </c>
      <c r="H69" t="s">
        <v>2668</v>
      </c>
      <c r="M69" t="s">
        <v>2680</v>
      </c>
      <c r="N69" t="s">
        <v>913</v>
      </c>
      <c r="O69" t="s">
        <v>3008</v>
      </c>
      <c r="Q69" t="s">
        <v>3678</v>
      </c>
      <c r="R69" s="52">
        <f>_xlfn.NUMBERVALUE(convertNumberStringPointToNumberComma(LEFT(Q69,FIND("x",Q69)-2)))</f>
        <v>117.6</v>
      </c>
      <c r="S69" s="52">
        <f>_xlfn.NUMBERVALUE(convertNumberStringPointToNumberComma(LEFT(RIGHT(Q69,LEN(Q69)-FIND("x",Q69)-1),LEN(RIGHT(Q69,LEN(Q69)-FIND("x",Q69)-1))-2)))</f>
        <v>120.1</v>
      </c>
    </row>
    <row r="70" spans="1:19" x14ac:dyDescent="0.25">
      <c r="A70" t="s">
        <v>2200</v>
      </c>
      <c r="B70" t="s">
        <v>505</v>
      </c>
      <c r="E70" t="s">
        <v>2980</v>
      </c>
      <c r="F70" s="9">
        <f t="shared" si="3"/>
        <v>1.5</v>
      </c>
      <c r="G70" s="9">
        <f t="shared" si="4"/>
        <v>1.5</v>
      </c>
      <c r="H70" t="s">
        <v>2668</v>
      </c>
      <c r="M70" t="s">
        <v>2674</v>
      </c>
      <c r="N70" t="s">
        <v>913</v>
      </c>
      <c r="O70" t="s">
        <v>3096</v>
      </c>
      <c r="Q70" t="s">
        <v>3861</v>
      </c>
      <c r="R70" s="52">
        <f>_xlfn.NUMBERVALUE(convertNumberStringPointToNumberComma(LEFT(Q70,FIND("x",Q70)-2)))</f>
        <v>117.6</v>
      </c>
      <c r="S70" s="52">
        <f>_xlfn.NUMBERVALUE(convertNumberStringPointToNumberComma(LEFT(RIGHT(Q70,LEN(Q70)-FIND("x",Q70)-1),LEN(RIGHT(Q70,LEN(Q70)-FIND("x",Q70)-1))-2)))</f>
        <v>121</v>
      </c>
    </row>
    <row r="71" spans="1:19" x14ac:dyDescent="0.25">
      <c r="A71" t="s">
        <v>1774</v>
      </c>
      <c r="B71" t="s">
        <v>263</v>
      </c>
      <c r="E71" t="s">
        <v>3007</v>
      </c>
      <c r="F71" s="9">
        <f t="shared" si="3"/>
        <v>2.6</v>
      </c>
      <c r="G71" s="9">
        <f t="shared" si="4"/>
        <v>2.6</v>
      </c>
      <c r="H71" t="s">
        <v>2668</v>
      </c>
      <c r="M71" t="s">
        <v>2674</v>
      </c>
      <c r="N71" t="s">
        <v>913</v>
      </c>
      <c r="O71" t="s">
        <v>3008</v>
      </c>
      <c r="Q71" t="s">
        <v>3680</v>
      </c>
      <c r="R71" s="52">
        <f>_xlfn.NUMBERVALUE(convertNumberStringPointToNumberComma(LEFT(Q71,FIND("x",Q71)-2)))</f>
        <v>117.6</v>
      </c>
      <c r="S71" s="52">
        <f>_xlfn.NUMBERVALUE(convertNumberStringPointToNumberComma(LEFT(RIGHT(Q71,LEN(Q71)-FIND("x",Q71)-1),LEN(RIGHT(Q71,LEN(Q71)-FIND("x",Q71)-1))-2)))</f>
        <v>121.3</v>
      </c>
    </row>
    <row r="72" spans="1:19" x14ac:dyDescent="0.25">
      <c r="A72" t="s">
        <v>1788</v>
      </c>
      <c r="B72" t="s">
        <v>505</v>
      </c>
      <c r="E72" t="s">
        <v>2980</v>
      </c>
      <c r="F72" s="9">
        <f t="shared" si="3"/>
        <v>1.5</v>
      </c>
      <c r="G72" s="9">
        <f t="shared" si="4"/>
        <v>1.5</v>
      </c>
      <c r="H72" t="s">
        <v>2668</v>
      </c>
      <c r="M72" t="s">
        <v>2682</v>
      </c>
      <c r="N72" t="s">
        <v>913</v>
      </c>
      <c r="O72" t="s">
        <v>3008</v>
      </c>
      <c r="Q72" t="s">
        <v>3689</v>
      </c>
      <c r="R72" s="52">
        <f>_xlfn.NUMBERVALUE(convertNumberStringPointToNumberComma(LEFT(Q72,FIND("x",Q72)-2)))</f>
        <v>117.6</v>
      </c>
      <c r="S72" s="52">
        <f>_xlfn.NUMBERVALUE(convertNumberStringPointToNumberComma(LEFT(RIGHT(Q72,LEN(Q72)-FIND("x",Q72)-1),LEN(RIGHT(Q72,LEN(Q72)-FIND("x",Q72)-1))-2)))</f>
        <v>121.7</v>
      </c>
    </row>
    <row r="73" spans="1:19" x14ac:dyDescent="0.25">
      <c r="A73" t="s">
        <v>1792</v>
      </c>
      <c r="B73" t="s">
        <v>592</v>
      </c>
      <c r="E73" t="s">
        <v>2980</v>
      </c>
      <c r="F73" s="9">
        <f t="shared" si="3"/>
        <v>1.5</v>
      </c>
      <c r="G73" s="9">
        <f t="shared" si="4"/>
        <v>1.5</v>
      </c>
      <c r="H73" t="s">
        <v>2668</v>
      </c>
      <c r="M73" t="s">
        <v>2682</v>
      </c>
      <c r="N73" t="s">
        <v>913</v>
      </c>
      <c r="O73" t="s">
        <v>2801</v>
      </c>
      <c r="Q73" t="s">
        <v>3689</v>
      </c>
      <c r="R73" s="52">
        <f>_xlfn.NUMBERVALUE(convertNumberStringPointToNumberComma(LEFT(Q73,FIND("x",Q73)-2)))</f>
        <v>117.6</v>
      </c>
      <c r="S73" s="52">
        <f>_xlfn.NUMBERVALUE(convertNumberStringPointToNumberComma(LEFT(RIGHT(Q73,LEN(Q73)-FIND("x",Q73)-1),LEN(RIGHT(Q73,LEN(Q73)-FIND("x",Q73)-1))-2)))</f>
        <v>121.7</v>
      </c>
    </row>
    <row r="74" spans="1:19" x14ac:dyDescent="0.25">
      <c r="A74" t="s">
        <v>1796</v>
      </c>
      <c r="B74" t="s">
        <v>678</v>
      </c>
      <c r="E74" t="s">
        <v>2980</v>
      </c>
      <c r="F74" s="9">
        <f t="shared" ref="F74:F137" si="5">convertNumberStringPointToNumberComma(LEFT(MID(E74,3,9),IFERROR(FIND("-",MID(E74,3,9))-2,3)))</f>
        <v>1.5</v>
      </c>
      <c r="G74" s="9">
        <f t="shared" ref="G74:G137" si="6">convertNumberStringPointToNumberComma(RIGHT(E74,IF(ISERROR(FIND(".",RIGHT(E74,3))),1,3)))</f>
        <v>1.5</v>
      </c>
      <c r="H74" t="s">
        <v>2668</v>
      </c>
      <c r="M74" t="s">
        <v>2682</v>
      </c>
      <c r="N74" t="s">
        <v>913</v>
      </c>
      <c r="O74" t="s">
        <v>2778</v>
      </c>
      <c r="Q74" t="s">
        <v>3689</v>
      </c>
      <c r="R74" s="52">
        <f>_xlfn.NUMBERVALUE(convertNumberStringPointToNumberComma(LEFT(Q74,FIND("x",Q74)-2)))</f>
        <v>117.6</v>
      </c>
      <c r="S74" s="52">
        <f>_xlfn.NUMBERVALUE(convertNumberStringPointToNumberComma(LEFT(RIGHT(Q74,LEN(Q74)-FIND("x",Q74)-1),LEN(RIGHT(Q74,LEN(Q74)-FIND("x",Q74)-1))-2)))</f>
        <v>121.7</v>
      </c>
    </row>
    <row r="75" spans="1:19" x14ac:dyDescent="0.25">
      <c r="A75" t="s">
        <v>1797</v>
      </c>
      <c r="B75" t="s">
        <v>148</v>
      </c>
      <c r="E75" t="s">
        <v>3014</v>
      </c>
      <c r="F75" s="9">
        <f t="shared" si="5"/>
        <v>2.2000000000000002</v>
      </c>
      <c r="G75" s="9">
        <f t="shared" si="6"/>
        <v>2.2000000000000002</v>
      </c>
      <c r="H75" t="s">
        <v>2668</v>
      </c>
      <c r="M75" t="s">
        <v>2682</v>
      </c>
      <c r="N75" t="s">
        <v>913</v>
      </c>
      <c r="O75" t="s">
        <v>3015</v>
      </c>
      <c r="Q75" t="s">
        <v>3689</v>
      </c>
      <c r="R75" s="52">
        <f>_xlfn.NUMBERVALUE(convertNumberStringPointToNumberComma(LEFT(Q75,FIND("x",Q75)-2)))</f>
        <v>117.6</v>
      </c>
      <c r="S75" s="52">
        <f>_xlfn.NUMBERVALUE(convertNumberStringPointToNumberComma(LEFT(RIGHT(Q75,LEN(Q75)-FIND("x",Q75)-1),LEN(RIGHT(Q75,LEN(Q75)-FIND("x",Q75)-1))-2)))</f>
        <v>121.7</v>
      </c>
    </row>
    <row r="76" spans="1:19" x14ac:dyDescent="0.25">
      <c r="A76" t="s">
        <v>1805</v>
      </c>
      <c r="B76" t="s">
        <v>822</v>
      </c>
      <c r="E76" t="s">
        <v>2980</v>
      </c>
      <c r="F76" s="9">
        <f t="shared" si="5"/>
        <v>1.5</v>
      </c>
      <c r="G76" s="9">
        <f t="shared" si="6"/>
        <v>1.5</v>
      </c>
      <c r="H76" t="s">
        <v>2668</v>
      </c>
      <c r="M76" t="s">
        <v>2682</v>
      </c>
      <c r="N76" t="s">
        <v>913</v>
      </c>
      <c r="O76" t="s">
        <v>3018</v>
      </c>
      <c r="Q76" t="s">
        <v>3689</v>
      </c>
      <c r="R76" s="52">
        <f>_xlfn.NUMBERVALUE(convertNumberStringPointToNumberComma(LEFT(Q76,FIND("x",Q76)-2)))</f>
        <v>117.6</v>
      </c>
      <c r="S76" s="52">
        <f>_xlfn.NUMBERVALUE(convertNumberStringPointToNumberComma(LEFT(RIGHT(Q76,LEN(Q76)-FIND("x",Q76)-1),LEN(RIGHT(Q76,LEN(Q76)-FIND("x",Q76)-1))-2)))</f>
        <v>121.7</v>
      </c>
    </row>
    <row r="77" spans="1:19" x14ac:dyDescent="0.25">
      <c r="A77" t="s">
        <v>1790</v>
      </c>
      <c r="B77" t="s">
        <v>505</v>
      </c>
      <c r="E77" t="s">
        <v>2980</v>
      </c>
      <c r="F77" s="9">
        <f t="shared" si="5"/>
        <v>1.5</v>
      </c>
      <c r="G77" s="9">
        <f t="shared" si="6"/>
        <v>1.5</v>
      </c>
      <c r="H77" t="s">
        <v>2668</v>
      </c>
      <c r="M77" t="s">
        <v>2680</v>
      </c>
      <c r="N77" t="s">
        <v>2680</v>
      </c>
      <c r="O77" t="s">
        <v>2856</v>
      </c>
      <c r="Q77" t="s">
        <v>3691</v>
      </c>
      <c r="R77" s="52">
        <f>_xlfn.NUMBERVALUE(convertNumberStringPointToNumberComma(LEFT(Q77,FIND("x",Q77)-2)))</f>
        <v>117.6</v>
      </c>
      <c r="S77" s="52">
        <f>_xlfn.NUMBERVALUE(convertNumberStringPointToNumberComma(LEFT(RIGHT(Q77,LEN(Q77)-FIND("x",Q77)-1),LEN(RIGHT(Q77,LEN(Q77)-FIND("x",Q77)-1))-2)))</f>
        <v>146.5</v>
      </c>
    </row>
    <row r="78" spans="1:19" x14ac:dyDescent="0.25">
      <c r="A78" t="s">
        <v>1795</v>
      </c>
      <c r="B78" t="s">
        <v>592</v>
      </c>
      <c r="E78" t="s">
        <v>2980</v>
      </c>
      <c r="F78" s="9">
        <f t="shared" si="5"/>
        <v>1.5</v>
      </c>
      <c r="G78" s="9">
        <f t="shared" si="6"/>
        <v>1.5</v>
      </c>
      <c r="H78" t="s">
        <v>2668</v>
      </c>
      <c r="M78" t="s">
        <v>2680</v>
      </c>
      <c r="N78" t="s">
        <v>2680</v>
      </c>
      <c r="O78" t="s">
        <v>2801</v>
      </c>
      <c r="Q78" t="s">
        <v>3691</v>
      </c>
      <c r="R78" s="52">
        <f>_xlfn.NUMBERVALUE(convertNumberStringPointToNumberComma(LEFT(Q78,FIND("x",Q78)-2)))</f>
        <v>117.6</v>
      </c>
      <c r="S78" s="52">
        <f>_xlfn.NUMBERVALUE(convertNumberStringPointToNumberComma(LEFT(RIGHT(Q78,LEN(Q78)-FIND("x",Q78)-1),LEN(RIGHT(Q78,LEN(Q78)-FIND("x",Q78)-1))-2)))</f>
        <v>146.5</v>
      </c>
    </row>
    <row r="79" spans="1:19" x14ac:dyDescent="0.25">
      <c r="A79" t="s">
        <v>1801</v>
      </c>
      <c r="B79" t="s">
        <v>678</v>
      </c>
      <c r="E79" t="s">
        <v>2980</v>
      </c>
      <c r="F79" s="9">
        <f t="shared" si="5"/>
        <v>1.5</v>
      </c>
      <c r="G79" s="9">
        <f t="shared" si="6"/>
        <v>1.5</v>
      </c>
      <c r="H79" t="s">
        <v>2668</v>
      </c>
      <c r="M79" t="s">
        <v>2680</v>
      </c>
      <c r="N79" t="s">
        <v>2680</v>
      </c>
      <c r="O79" t="s">
        <v>2983</v>
      </c>
      <c r="Q79" t="s">
        <v>3691</v>
      </c>
      <c r="R79" s="52">
        <f>_xlfn.NUMBERVALUE(convertNumberStringPointToNumberComma(LEFT(Q79,FIND("x",Q79)-2)))</f>
        <v>117.6</v>
      </c>
      <c r="S79" s="52">
        <f>_xlfn.NUMBERVALUE(convertNumberStringPointToNumberComma(LEFT(RIGHT(Q79,LEN(Q79)-FIND("x",Q79)-1),LEN(RIGHT(Q79,LEN(Q79)-FIND("x",Q79)-1))-2)))</f>
        <v>146.5</v>
      </c>
    </row>
    <row r="80" spans="1:19" x14ac:dyDescent="0.25">
      <c r="A80" t="s">
        <v>1807</v>
      </c>
      <c r="B80" t="s">
        <v>822</v>
      </c>
      <c r="E80" t="s">
        <v>2980</v>
      </c>
      <c r="F80" s="9">
        <f t="shared" si="5"/>
        <v>1.5</v>
      </c>
      <c r="G80" s="9">
        <f t="shared" si="6"/>
        <v>1.5</v>
      </c>
      <c r="H80" t="s">
        <v>2668</v>
      </c>
      <c r="M80" t="s">
        <v>2680</v>
      </c>
      <c r="N80" t="s">
        <v>2680</v>
      </c>
      <c r="O80" t="s">
        <v>3018</v>
      </c>
      <c r="Q80" t="s">
        <v>3691</v>
      </c>
      <c r="R80" s="52">
        <f>_xlfn.NUMBERVALUE(convertNumberStringPointToNumberComma(LEFT(Q80,FIND("x",Q80)-2)))</f>
        <v>117.6</v>
      </c>
      <c r="S80" s="52">
        <f>_xlfn.NUMBERVALUE(convertNumberStringPointToNumberComma(LEFT(RIGHT(Q80,LEN(Q80)-FIND("x",Q80)-1),LEN(RIGHT(Q80,LEN(Q80)-FIND("x",Q80)-1))-2)))</f>
        <v>146.5</v>
      </c>
    </row>
    <row r="81" spans="1:19" x14ac:dyDescent="0.25">
      <c r="A81" t="s">
        <v>1789</v>
      </c>
      <c r="B81" t="s">
        <v>505</v>
      </c>
      <c r="E81" t="s">
        <v>2980</v>
      </c>
      <c r="F81" s="9">
        <f t="shared" si="5"/>
        <v>1.5</v>
      </c>
      <c r="G81" s="9">
        <f t="shared" si="6"/>
        <v>1.5</v>
      </c>
      <c r="H81" t="s">
        <v>2668</v>
      </c>
      <c r="M81" t="s">
        <v>2674</v>
      </c>
      <c r="N81" t="s">
        <v>913</v>
      </c>
      <c r="O81" t="s">
        <v>2856</v>
      </c>
      <c r="Q81" t="s">
        <v>3690</v>
      </c>
      <c r="R81" s="52">
        <f>_xlfn.NUMBERVALUE(convertNumberStringPointToNumberComma(LEFT(Q81,FIND("x",Q81)-2)))</f>
        <v>117.6</v>
      </c>
      <c r="S81" s="52">
        <f>_xlfn.NUMBERVALUE(convertNumberStringPointToNumberComma(LEFT(RIGHT(Q81,LEN(Q81)-FIND("x",Q81)-1),LEN(RIGHT(Q81,LEN(Q81)-FIND("x",Q81)-1))-2)))</f>
        <v>147.69999999999999</v>
      </c>
    </row>
    <row r="82" spans="1:19" x14ac:dyDescent="0.25">
      <c r="A82" t="s">
        <v>1794</v>
      </c>
      <c r="B82" t="s">
        <v>592</v>
      </c>
      <c r="E82" t="s">
        <v>2980</v>
      </c>
      <c r="F82" s="9">
        <f t="shared" si="5"/>
        <v>1.5</v>
      </c>
      <c r="G82" s="9">
        <f t="shared" si="6"/>
        <v>1.5</v>
      </c>
      <c r="H82" t="s">
        <v>2668</v>
      </c>
      <c r="M82" t="s">
        <v>2674</v>
      </c>
      <c r="N82" t="s">
        <v>913</v>
      </c>
      <c r="O82" t="s">
        <v>2801</v>
      </c>
      <c r="Q82" t="s">
        <v>3690</v>
      </c>
      <c r="R82" s="52">
        <f>_xlfn.NUMBERVALUE(convertNumberStringPointToNumberComma(LEFT(Q82,FIND("x",Q82)-2)))</f>
        <v>117.6</v>
      </c>
      <c r="S82" s="52">
        <f>_xlfn.NUMBERVALUE(convertNumberStringPointToNumberComma(LEFT(RIGHT(Q82,LEN(Q82)-FIND("x",Q82)-1),LEN(RIGHT(Q82,LEN(Q82)-FIND("x",Q82)-1))-2)))</f>
        <v>147.69999999999999</v>
      </c>
    </row>
    <row r="83" spans="1:19" x14ac:dyDescent="0.25">
      <c r="A83" t="s">
        <v>1798</v>
      </c>
      <c r="B83" t="s">
        <v>148</v>
      </c>
      <c r="E83" t="s">
        <v>3014</v>
      </c>
      <c r="F83" s="9">
        <f t="shared" si="5"/>
        <v>2.2000000000000002</v>
      </c>
      <c r="G83" s="9">
        <f t="shared" si="6"/>
        <v>2.2000000000000002</v>
      </c>
      <c r="H83" t="s">
        <v>2668</v>
      </c>
      <c r="M83" t="s">
        <v>2674</v>
      </c>
      <c r="N83" t="s">
        <v>913</v>
      </c>
      <c r="O83" t="s">
        <v>3016</v>
      </c>
      <c r="Q83" t="s">
        <v>3690</v>
      </c>
      <c r="R83" s="52">
        <f>_xlfn.NUMBERVALUE(convertNumberStringPointToNumberComma(LEFT(Q83,FIND("x",Q83)-2)))</f>
        <v>117.6</v>
      </c>
      <c r="S83" s="52">
        <f>_xlfn.NUMBERVALUE(convertNumberStringPointToNumberComma(LEFT(RIGHT(Q83,LEN(Q83)-FIND("x",Q83)-1),LEN(RIGHT(Q83,LEN(Q83)-FIND("x",Q83)-1))-2)))</f>
        <v>147.69999999999999</v>
      </c>
    </row>
    <row r="84" spans="1:19" x14ac:dyDescent="0.25">
      <c r="A84" t="s">
        <v>1799</v>
      </c>
      <c r="B84" t="s">
        <v>678</v>
      </c>
      <c r="E84" t="s">
        <v>2980</v>
      </c>
      <c r="F84" s="9">
        <f t="shared" si="5"/>
        <v>1.5</v>
      </c>
      <c r="G84" s="9">
        <f t="shared" si="6"/>
        <v>1.5</v>
      </c>
      <c r="H84" t="s">
        <v>2668</v>
      </c>
      <c r="M84" t="s">
        <v>2674</v>
      </c>
      <c r="N84" t="s">
        <v>913</v>
      </c>
      <c r="O84" t="s">
        <v>2983</v>
      </c>
      <c r="Q84" t="s">
        <v>3690</v>
      </c>
      <c r="R84" s="52">
        <f>_xlfn.NUMBERVALUE(convertNumberStringPointToNumberComma(LEFT(Q84,FIND("x",Q84)-2)))</f>
        <v>117.6</v>
      </c>
      <c r="S84" s="52">
        <f>_xlfn.NUMBERVALUE(convertNumberStringPointToNumberComma(LEFT(RIGHT(Q84,LEN(Q84)-FIND("x",Q84)-1),LEN(RIGHT(Q84,LEN(Q84)-FIND("x",Q84)-1))-2)))</f>
        <v>147.69999999999999</v>
      </c>
    </row>
    <row r="85" spans="1:19" x14ac:dyDescent="0.25">
      <c r="B85" t="s">
        <v>822</v>
      </c>
      <c r="E85" t="s">
        <v>2980</v>
      </c>
      <c r="F85" s="9">
        <f t="shared" si="5"/>
        <v>1.5</v>
      </c>
      <c r="G85" s="9">
        <f t="shared" si="6"/>
        <v>1.5</v>
      </c>
      <c r="H85" t="s">
        <v>2668</v>
      </c>
      <c r="M85" t="s">
        <v>2674</v>
      </c>
      <c r="N85" t="s">
        <v>913</v>
      </c>
      <c r="O85" t="s">
        <v>3018</v>
      </c>
      <c r="Q85" t="s">
        <v>3690</v>
      </c>
      <c r="R85" s="52">
        <f>_xlfn.NUMBERVALUE(convertNumberStringPointToNumberComma(LEFT(Q85,FIND("x",Q85)-2)))</f>
        <v>117.6</v>
      </c>
      <c r="S85" s="52">
        <f>_xlfn.NUMBERVALUE(convertNumberStringPointToNumberComma(LEFT(RIGHT(Q85,LEN(Q85)-FIND("x",Q85)-1),LEN(RIGHT(Q85,LEN(Q85)-FIND("x",Q85)-1))-2)))</f>
        <v>147.69999999999999</v>
      </c>
    </row>
    <row r="86" spans="1:19" x14ac:dyDescent="0.25">
      <c r="A86" t="s">
        <v>1787</v>
      </c>
      <c r="B86" t="s">
        <v>176</v>
      </c>
      <c r="E86" t="s">
        <v>2981</v>
      </c>
      <c r="F86" s="9">
        <f t="shared" si="5"/>
        <v>3.1</v>
      </c>
      <c r="G86" s="9">
        <f t="shared" si="6"/>
        <v>3.1</v>
      </c>
      <c r="H86" t="s">
        <v>2668</v>
      </c>
      <c r="M86" t="s">
        <v>3009</v>
      </c>
      <c r="N86" t="s">
        <v>913</v>
      </c>
      <c r="O86" t="s">
        <v>2983</v>
      </c>
      <c r="Q86" t="s">
        <v>3688</v>
      </c>
      <c r="R86" s="52">
        <f>_xlfn.NUMBERVALUE(convertNumberStringPointToNumberComma(LEFT(Q86,FIND("x",Q86)-2)))</f>
        <v>117.6</v>
      </c>
      <c r="S86" s="52">
        <f>_xlfn.NUMBERVALUE(convertNumberStringPointToNumberComma(LEFT(RIGHT(Q86,LEN(Q86)-FIND("x",Q86)-1),LEN(RIGHT(Q86,LEN(Q86)-FIND("x",Q86)-1))-2)))</f>
        <v>80.3</v>
      </c>
    </row>
    <row r="87" spans="1:19" x14ac:dyDescent="0.25">
      <c r="A87" t="s">
        <v>1784</v>
      </c>
      <c r="B87" t="s">
        <v>176</v>
      </c>
      <c r="E87" t="s">
        <v>2981</v>
      </c>
      <c r="F87" s="9">
        <f t="shared" si="5"/>
        <v>3.1</v>
      </c>
      <c r="G87" s="9">
        <f t="shared" si="6"/>
        <v>3.1</v>
      </c>
      <c r="H87" t="s">
        <v>2668</v>
      </c>
      <c r="M87" t="s">
        <v>8</v>
      </c>
      <c r="N87" t="s">
        <v>913</v>
      </c>
      <c r="O87" t="s">
        <v>2774</v>
      </c>
      <c r="Q87" t="s">
        <v>3685</v>
      </c>
      <c r="R87" s="52">
        <f>_xlfn.NUMBERVALUE(convertNumberStringPointToNumberComma(LEFT(Q87,FIND("x",Q87)-2)))</f>
        <v>117.6</v>
      </c>
      <c r="S87" s="52">
        <f>_xlfn.NUMBERVALUE(convertNumberStringPointToNumberComma(LEFT(RIGHT(Q87,LEN(Q87)-FIND("x",Q87)-1),LEN(RIGHT(Q87,LEN(Q87)-FIND("x",Q87)-1))-2)))</f>
        <v>85.8</v>
      </c>
    </row>
    <row r="88" spans="1:19" x14ac:dyDescent="0.25">
      <c r="A88" t="s">
        <v>2202</v>
      </c>
      <c r="B88" t="s">
        <v>505</v>
      </c>
      <c r="E88" t="s">
        <v>2980</v>
      </c>
      <c r="F88" s="9">
        <f t="shared" si="5"/>
        <v>1.5</v>
      </c>
      <c r="G88" s="9">
        <f t="shared" si="6"/>
        <v>1.5</v>
      </c>
      <c r="H88" t="s">
        <v>2668</v>
      </c>
      <c r="M88" t="s">
        <v>3009</v>
      </c>
      <c r="N88" t="s">
        <v>913</v>
      </c>
      <c r="O88" t="s">
        <v>173</v>
      </c>
      <c r="Q88" t="s">
        <v>3862</v>
      </c>
      <c r="R88" s="52">
        <f>_xlfn.NUMBERVALUE(convertNumberStringPointToNumberComma(LEFT(Q88,FIND("x",Q88)-2)))</f>
        <v>117.6</v>
      </c>
      <c r="S88" s="52">
        <f>_xlfn.NUMBERVALUE(convertNumberStringPointToNumberComma(LEFT(RIGHT(Q88,LEN(Q88)-FIND("x",Q88)-1),LEN(RIGHT(Q88,LEN(Q88)-FIND("x",Q88)-1))-2)))</f>
        <v>87</v>
      </c>
    </row>
    <row r="89" spans="1:19" x14ac:dyDescent="0.25">
      <c r="A89" t="s">
        <v>1775</v>
      </c>
      <c r="B89" t="s">
        <v>263</v>
      </c>
      <c r="E89" t="s">
        <v>3007</v>
      </c>
      <c r="F89" s="9">
        <f t="shared" si="5"/>
        <v>2.6</v>
      </c>
      <c r="G89" s="9">
        <f t="shared" si="6"/>
        <v>2.6</v>
      </c>
      <c r="H89" t="s">
        <v>2668</v>
      </c>
      <c r="M89" t="s">
        <v>3009</v>
      </c>
      <c r="N89" t="s">
        <v>913</v>
      </c>
      <c r="O89" t="s">
        <v>3008</v>
      </c>
      <c r="Q89" t="s">
        <v>3681</v>
      </c>
      <c r="R89" s="52">
        <f>_xlfn.NUMBERVALUE(convertNumberStringPointToNumberComma(LEFT(Q89,FIND("x",Q89)-2)))</f>
        <v>117.6</v>
      </c>
      <c r="S89" s="52">
        <f>_xlfn.NUMBERVALUE(convertNumberStringPointToNumberComma(LEFT(RIGHT(Q89,LEN(Q89)-FIND("x",Q89)-1),LEN(RIGHT(Q89,LEN(Q89)-FIND("x",Q89)-1))-2)))</f>
        <v>87.3</v>
      </c>
    </row>
    <row r="90" spans="1:19" x14ac:dyDescent="0.25">
      <c r="A90" t="s">
        <v>1781</v>
      </c>
      <c r="B90" t="s">
        <v>176</v>
      </c>
      <c r="E90" t="s">
        <v>2981</v>
      </c>
      <c r="F90" s="9">
        <f t="shared" si="5"/>
        <v>3.1</v>
      </c>
      <c r="G90" s="9">
        <f t="shared" si="6"/>
        <v>3.1</v>
      </c>
      <c r="H90" t="s">
        <v>2668</v>
      </c>
      <c r="M90" t="s">
        <v>2682</v>
      </c>
      <c r="N90" t="s">
        <v>913</v>
      </c>
      <c r="O90" t="s">
        <v>2983</v>
      </c>
      <c r="Q90" t="s">
        <v>3683</v>
      </c>
      <c r="R90" s="52">
        <f>_xlfn.NUMBERVALUE(convertNumberStringPointToNumberComma(LEFT(Q90,FIND("x",Q90)-2)))</f>
        <v>117.6</v>
      </c>
      <c r="S90" s="52">
        <f>_xlfn.NUMBERVALUE(convertNumberStringPointToNumberComma(LEFT(RIGHT(Q90,LEN(Q90)-FIND("x",Q90)-1),LEN(RIGHT(Q90,LEN(Q90)-FIND("x",Q90)-1))-2)))</f>
        <v>88.3</v>
      </c>
    </row>
    <row r="91" spans="1:19" x14ac:dyDescent="0.25">
      <c r="A91" t="s">
        <v>2203</v>
      </c>
      <c r="B91" t="s">
        <v>505</v>
      </c>
      <c r="E91" t="s">
        <v>2980</v>
      </c>
      <c r="F91" s="9">
        <f t="shared" si="5"/>
        <v>1.5</v>
      </c>
      <c r="G91" s="9">
        <f t="shared" si="6"/>
        <v>1.5</v>
      </c>
      <c r="H91" t="s">
        <v>2668</v>
      </c>
      <c r="M91" t="s">
        <v>8</v>
      </c>
      <c r="N91" t="s">
        <v>913</v>
      </c>
      <c r="O91" t="s">
        <v>3097</v>
      </c>
      <c r="Q91" t="s">
        <v>3863</v>
      </c>
      <c r="R91" s="52">
        <f>_xlfn.NUMBERVALUE(convertNumberStringPointToNumberComma(LEFT(Q91,FIND("x",Q91)-2)))</f>
        <v>117.6</v>
      </c>
      <c r="S91" s="52">
        <f>_xlfn.NUMBERVALUE(convertNumberStringPointToNumberComma(LEFT(RIGHT(Q91,LEN(Q91)-FIND("x",Q91)-1),LEN(RIGHT(Q91,LEN(Q91)-FIND("x",Q91)-1))-2)))</f>
        <v>92</v>
      </c>
    </row>
    <row r="92" spans="1:19" x14ac:dyDescent="0.25">
      <c r="A92" t="s">
        <v>1773</v>
      </c>
      <c r="B92" t="s">
        <v>263</v>
      </c>
      <c r="E92" t="s">
        <v>3007</v>
      </c>
      <c r="F92" s="9">
        <f t="shared" si="5"/>
        <v>2.6</v>
      </c>
      <c r="G92" s="9">
        <f t="shared" si="6"/>
        <v>2.6</v>
      </c>
      <c r="H92" t="s">
        <v>2668</v>
      </c>
      <c r="M92" t="s">
        <v>8</v>
      </c>
      <c r="N92" t="s">
        <v>913</v>
      </c>
      <c r="O92" t="s">
        <v>2774</v>
      </c>
      <c r="Q92" t="s">
        <v>3679</v>
      </c>
      <c r="R92" s="52">
        <f>_xlfn.NUMBERVALUE(convertNumberStringPointToNumberComma(LEFT(Q92,FIND("x",Q92)-2)))</f>
        <v>117.6</v>
      </c>
      <c r="S92" s="52">
        <f>_xlfn.NUMBERVALUE(convertNumberStringPointToNumberComma(LEFT(RIGHT(Q92,LEN(Q92)-FIND("x",Q92)-1),LEN(RIGHT(Q92,LEN(Q92)-FIND("x",Q92)-1))-2)))</f>
        <v>92.8</v>
      </c>
    </row>
    <row r="93" spans="1:19" x14ac:dyDescent="0.25">
      <c r="A93" t="s">
        <v>2199</v>
      </c>
      <c r="B93" t="s">
        <v>505</v>
      </c>
      <c r="E93" t="s">
        <v>2980</v>
      </c>
      <c r="F93" s="9">
        <f t="shared" si="5"/>
        <v>1.5</v>
      </c>
      <c r="G93" s="9">
        <f t="shared" si="6"/>
        <v>1.5</v>
      </c>
      <c r="H93" t="s">
        <v>2668</v>
      </c>
      <c r="M93" t="s">
        <v>2682</v>
      </c>
      <c r="N93" t="s">
        <v>913</v>
      </c>
      <c r="O93" t="s">
        <v>2955</v>
      </c>
      <c r="Q93" t="s">
        <v>3860</v>
      </c>
      <c r="R93" s="52">
        <f>_xlfn.NUMBERVALUE(convertNumberStringPointToNumberComma(LEFT(Q93,FIND("x",Q93)-2)))</f>
        <v>117.6</v>
      </c>
      <c r="S93" s="52">
        <f>_xlfn.NUMBERVALUE(convertNumberStringPointToNumberComma(LEFT(RIGHT(Q93,LEN(Q93)-FIND("x",Q93)-1),LEN(RIGHT(Q93,LEN(Q93)-FIND("x",Q93)-1))-2)))</f>
        <v>95</v>
      </c>
    </row>
    <row r="94" spans="1:19" x14ac:dyDescent="0.25">
      <c r="A94" t="s">
        <v>1771</v>
      </c>
      <c r="B94" t="s">
        <v>263</v>
      </c>
      <c r="E94" t="s">
        <v>3007</v>
      </c>
      <c r="F94" s="9">
        <f t="shared" si="5"/>
        <v>2.6</v>
      </c>
      <c r="G94" s="9">
        <f t="shared" si="6"/>
        <v>2.6</v>
      </c>
      <c r="H94" t="s">
        <v>2668</v>
      </c>
      <c r="M94" t="s">
        <v>2682</v>
      </c>
      <c r="N94" t="s">
        <v>913</v>
      </c>
      <c r="O94" t="s">
        <v>3008</v>
      </c>
      <c r="Q94" t="s">
        <v>3677</v>
      </c>
      <c r="R94" s="52">
        <f>_xlfn.NUMBERVALUE(convertNumberStringPointToNumberComma(LEFT(Q94,FIND("x",Q94)-2)))</f>
        <v>117.6</v>
      </c>
      <c r="S94" s="52">
        <f>_xlfn.NUMBERVALUE(convertNumberStringPointToNumberComma(LEFT(RIGHT(Q94,LEN(Q94)-FIND("x",Q94)-1),LEN(RIGHT(Q94,LEN(Q94)-FIND("x",Q94)-1))-2)))</f>
        <v>95.3</v>
      </c>
    </row>
    <row r="95" spans="1:19" x14ac:dyDescent="0.25">
      <c r="A95" t="s">
        <v>1749</v>
      </c>
      <c r="B95" t="s">
        <v>822</v>
      </c>
      <c r="E95" t="s">
        <v>2984</v>
      </c>
      <c r="F95" s="9">
        <f t="shared" si="5"/>
        <v>1.3</v>
      </c>
      <c r="G95" s="9">
        <f t="shared" si="6"/>
        <v>1.3</v>
      </c>
      <c r="M95" t="s">
        <v>2682</v>
      </c>
      <c r="N95" t="s">
        <v>913</v>
      </c>
      <c r="O95" t="s">
        <v>2999</v>
      </c>
      <c r="Q95" t="s">
        <v>3660</v>
      </c>
      <c r="R95" s="52">
        <f>_xlfn.NUMBERVALUE(convertNumberStringPointToNumberComma(LEFT(Q95,FIND("x",Q95)-2)))</f>
        <v>118</v>
      </c>
      <c r="S95" s="52">
        <f>_xlfn.NUMBERVALUE(convertNumberStringPointToNumberComma(LEFT(RIGHT(Q95,LEN(Q95)-FIND("x",Q95)-1),LEN(RIGHT(Q95,LEN(Q95)-FIND("x",Q95)-1))-2)))</f>
        <v>102</v>
      </c>
    </row>
    <row r="96" spans="1:19" x14ac:dyDescent="0.25">
      <c r="A96" t="s">
        <v>1750</v>
      </c>
      <c r="B96" t="s">
        <v>678</v>
      </c>
      <c r="E96" t="s">
        <v>2984</v>
      </c>
      <c r="F96" s="9">
        <f t="shared" si="5"/>
        <v>1.3</v>
      </c>
      <c r="G96" s="9">
        <f t="shared" si="6"/>
        <v>1.3</v>
      </c>
      <c r="M96" t="s">
        <v>2682</v>
      </c>
      <c r="N96" t="s">
        <v>913</v>
      </c>
      <c r="O96" t="s">
        <v>2762</v>
      </c>
      <c r="Q96" t="s">
        <v>3660</v>
      </c>
      <c r="R96" s="52">
        <f>_xlfn.NUMBERVALUE(convertNumberStringPointToNumberComma(LEFT(Q96,FIND("x",Q96)-2)))</f>
        <v>118</v>
      </c>
      <c r="S96" s="52">
        <f>_xlfn.NUMBERVALUE(convertNumberStringPointToNumberComma(LEFT(RIGHT(Q96,LEN(Q96)-FIND("x",Q96)-1),LEN(RIGHT(Q96,LEN(Q96)-FIND("x",Q96)-1))-2)))</f>
        <v>102</v>
      </c>
    </row>
    <row r="97" spans="1:19" x14ac:dyDescent="0.25">
      <c r="A97" t="s">
        <v>1751</v>
      </c>
      <c r="B97" t="s">
        <v>505</v>
      </c>
      <c r="E97" t="s">
        <v>2980</v>
      </c>
      <c r="F97" s="9">
        <f t="shared" si="5"/>
        <v>1.5</v>
      </c>
      <c r="G97" s="9">
        <f t="shared" si="6"/>
        <v>1.5</v>
      </c>
      <c r="M97" t="s">
        <v>2682</v>
      </c>
      <c r="N97" t="s">
        <v>913</v>
      </c>
      <c r="O97" t="s">
        <v>3000</v>
      </c>
      <c r="Q97" t="s">
        <v>3660</v>
      </c>
      <c r="R97" s="52">
        <f>_xlfn.NUMBERVALUE(convertNumberStringPointToNumberComma(LEFT(Q97,FIND("x",Q97)-2)))</f>
        <v>118</v>
      </c>
      <c r="S97" s="52">
        <f>_xlfn.NUMBERVALUE(convertNumberStringPointToNumberComma(LEFT(RIGHT(Q97,LEN(Q97)-FIND("x",Q97)-1),LEN(RIGHT(Q97,LEN(Q97)-FIND("x",Q97)-1))-2)))</f>
        <v>102</v>
      </c>
    </row>
    <row r="98" spans="1:19" x14ac:dyDescent="0.25">
      <c r="A98" t="s">
        <v>1591</v>
      </c>
      <c r="B98" t="s">
        <v>1592</v>
      </c>
      <c r="E98" t="s">
        <v>2633</v>
      </c>
      <c r="F98" s="9">
        <f t="shared" si="5"/>
        <v>4</v>
      </c>
      <c r="G98" s="9">
        <f t="shared" si="6"/>
        <v>4</v>
      </c>
      <c r="H98" t="s">
        <v>2951</v>
      </c>
      <c r="M98" t="s">
        <v>2682</v>
      </c>
      <c r="N98" t="s">
        <v>913</v>
      </c>
      <c r="O98" t="s">
        <v>85</v>
      </c>
      <c r="Q98" t="s">
        <v>3574</v>
      </c>
      <c r="R98" s="52">
        <f>_xlfn.NUMBERVALUE(convertNumberStringPointToNumberComma(LEFT(Q98,FIND("x",Q98)-2)))</f>
        <v>118</v>
      </c>
      <c r="S98" s="52">
        <f>_xlfn.NUMBERVALUE(convertNumberStringPointToNumberComma(LEFT(RIGHT(Q98,LEN(Q98)-FIND("x",Q98)-1),LEN(RIGHT(Q98,LEN(Q98)-FIND("x",Q98)-1))-2)))</f>
        <v>103</v>
      </c>
    </row>
    <row r="99" spans="1:19" x14ac:dyDescent="0.25">
      <c r="A99" t="s">
        <v>1593</v>
      </c>
      <c r="B99" t="s">
        <v>1592</v>
      </c>
      <c r="E99" t="s">
        <v>2633</v>
      </c>
      <c r="F99" s="9">
        <f t="shared" si="5"/>
        <v>4</v>
      </c>
      <c r="G99" s="9">
        <f t="shared" si="6"/>
        <v>4</v>
      </c>
      <c r="H99" t="s">
        <v>2951</v>
      </c>
      <c r="M99" t="s">
        <v>8</v>
      </c>
      <c r="N99" t="s">
        <v>913</v>
      </c>
      <c r="O99" t="s">
        <v>85</v>
      </c>
      <c r="Q99" t="s">
        <v>3574</v>
      </c>
      <c r="R99" s="52">
        <f>_xlfn.NUMBERVALUE(convertNumberStringPointToNumberComma(LEFT(Q99,FIND("x",Q99)-2)))</f>
        <v>118</v>
      </c>
      <c r="S99" s="52">
        <f>_xlfn.NUMBERVALUE(convertNumberStringPointToNumberComma(LEFT(RIGHT(Q99,LEN(Q99)-FIND("x",Q99)-1),LEN(RIGHT(Q99,LEN(Q99)-FIND("x",Q99)-1))-2)))</f>
        <v>103</v>
      </c>
    </row>
    <row r="100" spans="1:19" x14ac:dyDescent="0.25">
      <c r="A100" t="s">
        <v>1594</v>
      </c>
      <c r="B100" t="s">
        <v>1592</v>
      </c>
      <c r="E100" t="s">
        <v>2633</v>
      </c>
      <c r="F100" s="9">
        <f t="shared" si="5"/>
        <v>4</v>
      </c>
      <c r="G100" s="9">
        <f t="shared" si="6"/>
        <v>4</v>
      </c>
      <c r="H100" t="s">
        <v>2951</v>
      </c>
      <c r="M100" t="s">
        <v>2802</v>
      </c>
      <c r="N100" t="s">
        <v>913</v>
      </c>
      <c r="O100" t="s">
        <v>85</v>
      </c>
      <c r="Q100" t="s">
        <v>3574</v>
      </c>
      <c r="R100" s="52">
        <f>_xlfn.NUMBERVALUE(convertNumberStringPointToNumberComma(LEFT(Q100,FIND("x",Q100)-2)))</f>
        <v>118</v>
      </c>
      <c r="S100" s="52">
        <f>_xlfn.NUMBERVALUE(convertNumberStringPointToNumberComma(LEFT(RIGHT(Q100,LEN(Q100)-FIND("x",Q100)-1),LEN(RIGHT(Q100,LEN(Q100)-FIND("x",Q100)-1))-2)))</f>
        <v>103</v>
      </c>
    </row>
    <row r="101" spans="1:19" x14ac:dyDescent="0.25">
      <c r="A101" t="s">
        <v>1595</v>
      </c>
      <c r="B101" t="s">
        <v>1592</v>
      </c>
      <c r="E101" t="s">
        <v>2633</v>
      </c>
      <c r="F101" s="9">
        <f t="shared" si="5"/>
        <v>4</v>
      </c>
      <c r="G101" s="9">
        <f t="shared" si="6"/>
        <v>4</v>
      </c>
      <c r="H101" t="s">
        <v>2951</v>
      </c>
      <c r="M101" t="s">
        <v>2682</v>
      </c>
      <c r="N101" t="s">
        <v>913</v>
      </c>
      <c r="O101" t="s">
        <v>85</v>
      </c>
      <c r="Q101" t="s">
        <v>3574</v>
      </c>
      <c r="R101" s="52">
        <f>_xlfn.NUMBERVALUE(convertNumberStringPointToNumberComma(LEFT(Q101,FIND("x",Q101)-2)))</f>
        <v>118</v>
      </c>
      <c r="S101" s="52">
        <f>_xlfn.NUMBERVALUE(convertNumberStringPointToNumberComma(LEFT(RIGHT(Q101,LEN(Q101)-FIND("x",Q101)-1),LEN(RIGHT(Q101,LEN(Q101)-FIND("x",Q101)-1))-2)))</f>
        <v>103</v>
      </c>
    </row>
    <row r="102" spans="1:19" x14ac:dyDescent="0.25">
      <c r="A102" t="s">
        <v>1596</v>
      </c>
      <c r="B102" t="s">
        <v>1592</v>
      </c>
      <c r="E102" t="s">
        <v>2633</v>
      </c>
      <c r="F102" s="9">
        <f t="shared" si="5"/>
        <v>4</v>
      </c>
      <c r="G102" s="9">
        <f t="shared" si="6"/>
        <v>4</v>
      </c>
      <c r="H102" t="s">
        <v>2951</v>
      </c>
      <c r="M102" t="s">
        <v>8</v>
      </c>
      <c r="N102" t="s">
        <v>913</v>
      </c>
      <c r="O102" t="s">
        <v>85</v>
      </c>
      <c r="Q102" t="s">
        <v>3574</v>
      </c>
      <c r="R102" s="52">
        <f>_xlfn.NUMBERVALUE(convertNumberStringPointToNumberComma(LEFT(Q102,FIND("x",Q102)-2)))</f>
        <v>118</v>
      </c>
      <c r="S102" s="52">
        <f>_xlfn.NUMBERVALUE(convertNumberStringPointToNumberComma(LEFT(RIGHT(Q102,LEN(Q102)-FIND("x",Q102)-1),LEN(RIGHT(Q102,LEN(Q102)-FIND("x",Q102)-1))-2)))</f>
        <v>103</v>
      </c>
    </row>
    <row r="103" spans="1:19" x14ac:dyDescent="0.25">
      <c r="A103" t="s">
        <v>1597</v>
      </c>
      <c r="B103" t="s">
        <v>1592</v>
      </c>
      <c r="E103" t="s">
        <v>2633</v>
      </c>
      <c r="F103" s="9">
        <f t="shared" si="5"/>
        <v>4</v>
      </c>
      <c r="G103" s="9">
        <f t="shared" si="6"/>
        <v>4</v>
      </c>
      <c r="H103" t="s">
        <v>2951</v>
      </c>
      <c r="M103" t="s">
        <v>2802</v>
      </c>
      <c r="N103" t="s">
        <v>913</v>
      </c>
      <c r="O103" t="s">
        <v>85</v>
      </c>
      <c r="Q103" t="s">
        <v>3574</v>
      </c>
      <c r="R103" s="52">
        <f>_xlfn.NUMBERVALUE(convertNumberStringPointToNumberComma(LEFT(Q103,FIND("x",Q103)-2)))</f>
        <v>118</v>
      </c>
      <c r="S103" s="52">
        <f>_xlfn.NUMBERVALUE(convertNumberStringPointToNumberComma(LEFT(RIGHT(Q103,LEN(Q103)-FIND("x",Q103)-1),LEN(RIGHT(Q103,LEN(Q103)-FIND("x",Q103)-1))-2)))</f>
        <v>103</v>
      </c>
    </row>
    <row r="104" spans="1:19" x14ac:dyDescent="0.25">
      <c r="A104" t="s">
        <v>1205</v>
      </c>
      <c r="B104" t="s">
        <v>572</v>
      </c>
      <c r="C104" s="5">
        <f>convertNumberStringPointToNumberComma(IFERROR(LEFT(B104,(FIND("-",B104)-1)),LEFT(B104,FIND("mm",B104)-1)))</f>
        <v>300</v>
      </c>
      <c r="D104" s="5">
        <f>convertNumberStringPointToNumberComma(IFERROR(RIGHT(LEFT(B104,FIND("m",B104)-1),LEN(LEFT(B104,FIND("m",B104)-1))-FIND("-",LEFT(B104,FIND("m",B104)-1))-1),C104))</f>
        <v>300</v>
      </c>
      <c r="E104" t="s">
        <v>2632</v>
      </c>
      <c r="F104" s="9">
        <f t="shared" si="5"/>
        <v>2.8</v>
      </c>
      <c r="G104" s="9">
        <f t="shared" si="6"/>
        <v>2.8</v>
      </c>
      <c r="H104" t="s">
        <v>2669</v>
      </c>
      <c r="I104" s="5" t="str">
        <f>IF(H104="none",0,LEFT(H104,LEN(H104)-2))</f>
        <v>46</v>
      </c>
      <c r="J104" s="5" t="s">
        <v>76</v>
      </c>
      <c r="K104" s="10">
        <f>IF(J104="",0,convertNumberStringPointToNumberComma(LEFT(J104,LEN(J104)-1)))</f>
        <v>0.13</v>
      </c>
      <c r="L104" t="s">
        <v>2840</v>
      </c>
      <c r="M104" t="s">
        <v>2682</v>
      </c>
      <c r="N104" t="s">
        <v>913</v>
      </c>
      <c r="O104" t="s">
        <v>2841</v>
      </c>
      <c r="P104" s="5" t="str">
        <f>LEFT(O104,LEN(O104)-1)</f>
        <v>2.40k</v>
      </c>
      <c r="Q104" t="s">
        <v>3364</v>
      </c>
      <c r="R104" s="52">
        <f>_xlfn.NUMBERVALUE(convertNumberStringPointToNumberComma(LEFT(Q104,FIND("x",Q104)-2)))</f>
        <v>119</v>
      </c>
      <c r="S104" s="52">
        <f>_xlfn.NUMBERVALUE(convertNumberStringPointToNumberComma(LEFT(RIGHT(Q104,LEN(Q104)-FIND("x",Q104)-1),LEN(RIGHT(Q104,LEN(Q104)-FIND("x",Q104)-1))-2)))</f>
        <v>214.5</v>
      </c>
    </row>
    <row r="105" spans="1:19" x14ac:dyDescent="0.25">
      <c r="A105" t="s">
        <v>1507</v>
      </c>
      <c r="B105" t="s">
        <v>572</v>
      </c>
      <c r="E105" t="s">
        <v>2632</v>
      </c>
      <c r="F105" s="9">
        <f t="shared" si="5"/>
        <v>2.8</v>
      </c>
      <c r="G105" s="9">
        <f t="shared" si="6"/>
        <v>2.8</v>
      </c>
      <c r="H105" t="s">
        <v>2669</v>
      </c>
      <c r="L105" t="s">
        <v>2840</v>
      </c>
      <c r="M105" t="s">
        <v>8</v>
      </c>
      <c r="N105" t="s">
        <v>913</v>
      </c>
      <c r="O105" t="s">
        <v>2841</v>
      </c>
      <c r="Q105" t="s">
        <v>3364</v>
      </c>
      <c r="R105" s="52">
        <f>_xlfn.NUMBERVALUE(convertNumberStringPointToNumberComma(LEFT(Q105,FIND("x",Q105)-2)))</f>
        <v>119</v>
      </c>
      <c r="S105" s="52">
        <f>_xlfn.NUMBERVALUE(convertNumberStringPointToNumberComma(LEFT(RIGHT(Q105,LEN(Q105)-FIND("x",Q105)-1),LEN(RIGHT(Q105,LEN(Q105)-FIND("x",Q105)-1))-2)))</f>
        <v>214.5</v>
      </c>
    </row>
    <row r="106" spans="1:19" x14ac:dyDescent="0.25">
      <c r="A106" t="s">
        <v>1803</v>
      </c>
      <c r="B106" t="s">
        <v>572</v>
      </c>
      <c r="E106" t="s">
        <v>2632</v>
      </c>
      <c r="F106" s="9">
        <f t="shared" si="5"/>
        <v>2.8</v>
      </c>
      <c r="G106" s="9">
        <f t="shared" si="6"/>
        <v>2.8</v>
      </c>
      <c r="H106" t="s">
        <v>2669</v>
      </c>
      <c r="L106" t="s">
        <v>2840</v>
      </c>
      <c r="M106" t="s">
        <v>2802</v>
      </c>
      <c r="N106" t="s">
        <v>913</v>
      </c>
      <c r="O106" t="s">
        <v>2841</v>
      </c>
      <c r="Q106" t="s">
        <v>3364</v>
      </c>
      <c r="R106" s="52">
        <f>_xlfn.NUMBERVALUE(convertNumberStringPointToNumberComma(LEFT(Q106,FIND("x",Q106)-2)))</f>
        <v>119</v>
      </c>
      <c r="S106" s="52">
        <f>_xlfn.NUMBERVALUE(convertNumberStringPointToNumberComma(LEFT(RIGHT(Q106,LEN(Q106)-FIND("x",Q106)-1),LEN(RIGHT(Q106,LEN(Q106)-FIND("x",Q106)-1))-2)))</f>
        <v>214.5</v>
      </c>
    </row>
    <row r="107" spans="1:19" x14ac:dyDescent="0.25">
      <c r="A107" t="s">
        <v>1804</v>
      </c>
      <c r="B107" t="s">
        <v>572</v>
      </c>
      <c r="E107" t="s">
        <v>2632</v>
      </c>
      <c r="F107" s="9">
        <f t="shared" si="5"/>
        <v>2.8</v>
      </c>
      <c r="G107" s="9">
        <f t="shared" si="6"/>
        <v>2.8</v>
      </c>
      <c r="H107" t="s">
        <v>2669</v>
      </c>
      <c r="L107" t="s">
        <v>2840</v>
      </c>
      <c r="M107" t="s">
        <v>2757</v>
      </c>
      <c r="N107" t="s">
        <v>913</v>
      </c>
      <c r="O107" t="s">
        <v>2841</v>
      </c>
      <c r="Q107" t="s">
        <v>3364</v>
      </c>
      <c r="R107" s="52">
        <f>_xlfn.NUMBERVALUE(convertNumberStringPointToNumberComma(LEFT(Q107,FIND("x",Q107)-2)))</f>
        <v>119</v>
      </c>
      <c r="S107" s="52">
        <f>_xlfn.NUMBERVALUE(convertNumberStringPointToNumberComma(LEFT(RIGHT(Q107,LEN(Q107)-FIND("x",Q107)-1),LEN(RIGHT(Q107,LEN(Q107)-FIND("x",Q107)-1))-2)))</f>
        <v>214.5</v>
      </c>
    </row>
    <row r="108" spans="1:19" x14ac:dyDescent="0.25">
      <c r="A108" t="s">
        <v>1934</v>
      </c>
      <c r="B108" t="s">
        <v>572</v>
      </c>
      <c r="E108" t="s">
        <v>2632</v>
      </c>
      <c r="F108" s="9">
        <f t="shared" si="5"/>
        <v>2.8</v>
      </c>
      <c r="G108" s="9">
        <f t="shared" si="6"/>
        <v>2.8</v>
      </c>
      <c r="H108" t="s">
        <v>2669</v>
      </c>
      <c r="L108" t="s">
        <v>2840</v>
      </c>
      <c r="M108" t="s">
        <v>2793</v>
      </c>
      <c r="N108" t="s">
        <v>903</v>
      </c>
      <c r="O108" t="s">
        <v>2841</v>
      </c>
      <c r="Q108" t="s">
        <v>3364</v>
      </c>
      <c r="R108" s="52">
        <f>_xlfn.NUMBERVALUE(convertNumberStringPointToNumberComma(LEFT(Q108,FIND("x",Q108)-2)))</f>
        <v>119</v>
      </c>
      <c r="S108" s="52">
        <f>_xlfn.NUMBERVALUE(convertNumberStringPointToNumberComma(LEFT(RIGHT(Q108,LEN(Q108)-FIND("x",Q108)-1),LEN(RIGHT(Q108,LEN(Q108)-FIND("x",Q108)-1))-2)))</f>
        <v>214.5</v>
      </c>
    </row>
    <row r="109" spans="1:19" x14ac:dyDescent="0.25">
      <c r="A109" t="s">
        <v>1105</v>
      </c>
      <c r="B109" t="s">
        <v>1056</v>
      </c>
      <c r="C109" s="5">
        <f>convertNumberStringPointToNumberComma(IFERROR(LEFT(B109,(FIND("-",B109)-1)),LEFT(B109,FIND("mm",B109)-1)))</f>
        <v>150</v>
      </c>
      <c r="D109" s="5">
        <f>convertNumberStringPointToNumberComma(IFERROR(RIGHT(LEFT(B109,FIND("m",B109)-1),LEN(LEFT(B109,FIND("m",B109)-1))-FIND("-",LEFT(B109,FIND("m",B109)-1))-1),C109))</f>
        <v>0</v>
      </c>
      <c r="E109" t="s">
        <v>2650</v>
      </c>
      <c r="F109" s="9">
        <f t="shared" si="5"/>
        <v>5</v>
      </c>
      <c r="G109" s="9">
        <f t="shared" si="6"/>
        <v>6.3</v>
      </c>
      <c r="H109" t="s">
        <v>75</v>
      </c>
      <c r="I109" s="5" t="str">
        <f>IF(H109="none",0,LEFT(H109,LEN(H109)-2))</f>
        <v>105</v>
      </c>
      <c r="J109" s="5" t="s">
        <v>604</v>
      </c>
      <c r="K109" s="10">
        <f>IF(J109="",0,convertNumberStringPointToNumberComma(LEFT(J109,LEN(J109)-1)))</f>
        <v>0.4</v>
      </c>
      <c r="L109" t="s">
        <v>2698</v>
      </c>
      <c r="M109" t="s">
        <v>8</v>
      </c>
      <c r="N109" t="s">
        <v>913</v>
      </c>
      <c r="O109" t="s">
        <v>2792</v>
      </c>
      <c r="P109" s="5" t="str">
        <f>LEFT(O109,LEN(O109)-1)</f>
        <v>2.86k</v>
      </c>
      <c r="Q109" t="s">
        <v>3312</v>
      </c>
      <c r="R109" s="52">
        <f>_xlfn.NUMBERVALUE(convertNumberStringPointToNumberComma(LEFT(Q109,FIND("x",Q109)-2)))</f>
        <v>121</v>
      </c>
      <c r="S109" s="52">
        <f>_xlfn.NUMBERVALUE(convertNumberStringPointToNumberComma(LEFT(RIGHT(Q109,LEN(Q109)-FIND("x",Q109)-1),LEN(RIGHT(Q109,LEN(Q109)-FIND("x",Q109)-1))-2)))</f>
        <v>290.2</v>
      </c>
    </row>
    <row r="110" spans="1:19" x14ac:dyDescent="0.25">
      <c r="A110" t="s">
        <v>1106</v>
      </c>
      <c r="B110" t="s">
        <v>1056</v>
      </c>
      <c r="C110" s="5">
        <f>convertNumberStringPointToNumberComma(IFERROR(LEFT(B110,(FIND("-",B110)-1)),LEFT(B110,FIND("mm",B110)-1)))</f>
        <v>150</v>
      </c>
      <c r="D110" s="5">
        <f>convertNumberStringPointToNumberComma(IFERROR(RIGHT(LEFT(B110,FIND("m",B110)-1),LEN(LEFT(B110,FIND("m",B110)-1))-FIND("-",LEFT(B110,FIND("m",B110)-1))-1),C110))</f>
        <v>0</v>
      </c>
      <c r="E110" t="s">
        <v>2650</v>
      </c>
      <c r="F110" s="9">
        <f t="shared" si="5"/>
        <v>5</v>
      </c>
      <c r="G110" s="9">
        <f t="shared" si="6"/>
        <v>6.3</v>
      </c>
      <c r="H110" t="s">
        <v>75</v>
      </c>
      <c r="I110" s="5" t="str">
        <f>IF(H110="none",0,LEFT(H110,LEN(H110)-2))</f>
        <v>105</v>
      </c>
      <c r="J110" s="5" t="s">
        <v>63</v>
      </c>
      <c r="K110" s="10">
        <f>IF(J110="",0,convertNumberStringPointToNumberComma(LEFT(J110,LEN(J110)-1)))</f>
        <v>1</v>
      </c>
      <c r="L110" t="s">
        <v>2698</v>
      </c>
      <c r="M110" t="s">
        <v>2793</v>
      </c>
      <c r="N110" t="s">
        <v>903</v>
      </c>
      <c r="O110" t="s">
        <v>2792</v>
      </c>
      <c r="P110" s="5" t="str">
        <f>LEFT(O110,LEN(O110)-1)</f>
        <v>2.86k</v>
      </c>
      <c r="Q110" t="s">
        <v>3312</v>
      </c>
      <c r="R110" s="52">
        <f>_xlfn.NUMBERVALUE(convertNumberStringPointToNumberComma(LEFT(Q110,FIND("x",Q110)-2)))</f>
        <v>121</v>
      </c>
      <c r="S110" s="52">
        <f>_xlfn.NUMBERVALUE(convertNumberStringPointToNumberComma(LEFT(RIGHT(Q110,LEN(Q110)-FIND("x",Q110)-1),LEN(RIGHT(Q110,LEN(Q110)-FIND("x",Q110)-1))-2)))</f>
        <v>290.2</v>
      </c>
    </row>
    <row r="111" spans="1:19" x14ac:dyDescent="0.25">
      <c r="A111" t="s">
        <v>1128</v>
      </c>
      <c r="B111" t="s">
        <v>1056</v>
      </c>
      <c r="C111" s="5">
        <f>convertNumberStringPointToNumberComma(IFERROR(LEFT(B111,(FIND("-",B111)-1)),LEFT(B111,FIND("mm",B111)-1)))</f>
        <v>150</v>
      </c>
      <c r="D111" s="5">
        <f>convertNumberStringPointToNumberComma(IFERROR(RIGHT(LEFT(B111,FIND("m",B111)-1),LEN(LEFT(B111,FIND("m",B111)-1))-FIND("-",LEFT(B111,FIND("m",B111)-1))-1),C111))</f>
        <v>0</v>
      </c>
      <c r="E111" t="s">
        <v>2650</v>
      </c>
      <c r="F111" s="9">
        <f t="shared" si="5"/>
        <v>5</v>
      </c>
      <c r="G111" s="9">
        <f t="shared" si="6"/>
        <v>6.3</v>
      </c>
      <c r="H111" t="s">
        <v>75</v>
      </c>
      <c r="I111" s="5" t="str">
        <f>IF(H111="none",0,LEFT(H111,LEN(H111)-2))</f>
        <v>105</v>
      </c>
      <c r="J111" s="5" t="s">
        <v>22</v>
      </c>
      <c r="K111" s="10">
        <f>IF(J111="",0,convertNumberStringPointToNumberComma(LEFT(J111,LEN(J111)-1)))</f>
        <v>0.15</v>
      </c>
      <c r="L111" t="s">
        <v>2698</v>
      </c>
      <c r="M111" t="s">
        <v>2682</v>
      </c>
      <c r="N111" t="s">
        <v>913</v>
      </c>
      <c r="O111" t="s">
        <v>2792</v>
      </c>
      <c r="P111" s="5" t="str">
        <f>LEFT(O111,LEN(O111)-1)</f>
        <v>2.86k</v>
      </c>
      <c r="Q111" t="s">
        <v>3312</v>
      </c>
      <c r="R111" s="52">
        <f>_xlfn.NUMBERVALUE(convertNumberStringPointToNumberComma(LEFT(Q111,FIND("x",Q111)-2)))</f>
        <v>121</v>
      </c>
      <c r="S111" s="52">
        <f>_xlfn.NUMBERVALUE(convertNumberStringPointToNumberComma(LEFT(RIGHT(Q111,LEN(Q111)-FIND("x",Q111)-1),LEN(RIGHT(Q111,LEN(Q111)-FIND("x",Q111)-1))-2)))</f>
        <v>290.2</v>
      </c>
    </row>
    <row r="112" spans="1:19" x14ac:dyDescent="0.25">
      <c r="A112" t="s">
        <v>1129</v>
      </c>
      <c r="B112" t="s">
        <v>1056</v>
      </c>
      <c r="C112" s="5">
        <f>convertNumberStringPointToNumberComma(IFERROR(LEFT(B112,(FIND("-",B112)-1)),LEFT(B112,FIND("mm",B112)-1)))</f>
        <v>150</v>
      </c>
      <c r="D112" s="5">
        <f>convertNumberStringPointToNumberComma(IFERROR(RIGHT(LEFT(B112,FIND("m",B112)-1),LEN(LEFT(B112,FIND("m",B112)-1))-FIND("-",LEFT(B112,FIND("m",B112)-1))-1),C112))</f>
        <v>0</v>
      </c>
      <c r="E112" t="s">
        <v>2650</v>
      </c>
      <c r="F112" s="9">
        <f t="shared" si="5"/>
        <v>5</v>
      </c>
      <c r="G112" s="9">
        <f t="shared" si="6"/>
        <v>6.3</v>
      </c>
      <c r="H112" t="s">
        <v>75</v>
      </c>
      <c r="I112" s="5" t="str">
        <f>IF(H112="none",0,LEFT(H112,LEN(H112)-2))</f>
        <v>105</v>
      </c>
      <c r="J112" s="5" t="s">
        <v>22</v>
      </c>
      <c r="K112" s="10">
        <f>IF(J112="",0,convertNumberStringPointToNumberComma(LEFT(J112,LEN(J112)-1)))</f>
        <v>0.15</v>
      </c>
      <c r="L112" t="s">
        <v>2698</v>
      </c>
      <c r="M112" t="s">
        <v>8</v>
      </c>
      <c r="N112" t="s">
        <v>913</v>
      </c>
      <c r="O112" t="s">
        <v>2792</v>
      </c>
      <c r="P112" s="5" t="str">
        <f>LEFT(O112,LEN(O112)-1)</f>
        <v>2.86k</v>
      </c>
      <c r="Q112" t="s">
        <v>3312</v>
      </c>
      <c r="R112" s="52">
        <f>_xlfn.NUMBERVALUE(convertNumberStringPointToNumberComma(LEFT(Q112,FIND("x",Q112)-2)))</f>
        <v>121</v>
      </c>
      <c r="S112" s="52">
        <f>_xlfn.NUMBERVALUE(convertNumberStringPointToNumberComma(LEFT(RIGHT(Q112,LEN(Q112)-FIND("x",Q112)-1),LEN(RIGHT(Q112,LEN(Q112)-FIND("x",Q112)-1))-2)))</f>
        <v>290.2</v>
      </c>
    </row>
    <row r="113" spans="1:19" x14ac:dyDescent="0.25">
      <c r="A113" t="s">
        <v>1130</v>
      </c>
      <c r="B113" t="s">
        <v>1056</v>
      </c>
      <c r="C113" s="5">
        <f>convertNumberStringPointToNumberComma(IFERROR(LEFT(B113,(FIND("-",B113)-1)),LEFT(B113,FIND("mm",B113)-1)))</f>
        <v>150</v>
      </c>
      <c r="D113" s="5">
        <f>convertNumberStringPointToNumberComma(IFERROR(RIGHT(LEFT(B113,FIND("m",B113)-1),LEN(LEFT(B113,FIND("m",B113)-1))-FIND("-",LEFT(B113,FIND("m",B113)-1))-1),C113))</f>
        <v>0</v>
      </c>
      <c r="E113" t="s">
        <v>2650</v>
      </c>
      <c r="F113" s="9">
        <f t="shared" si="5"/>
        <v>5</v>
      </c>
      <c r="G113" s="9">
        <f t="shared" si="6"/>
        <v>6.3</v>
      </c>
      <c r="H113" t="s">
        <v>75</v>
      </c>
      <c r="I113" s="5" t="str">
        <f>IF(H113="none",0,LEFT(H113,LEN(H113)-2))</f>
        <v>105</v>
      </c>
      <c r="J113" s="5" t="s">
        <v>22</v>
      </c>
      <c r="K113" s="10">
        <f>IF(J113="",0,convertNumberStringPointToNumberComma(LEFT(J113,LEN(J113)-1)))</f>
        <v>0.15</v>
      </c>
      <c r="L113" t="s">
        <v>2698</v>
      </c>
      <c r="M113" t="s">
        <v>2793</v>
      </c>
      <c r="N113" t="s">
        <v>903</v>
      </c>
      <c r="O113" t="s">
        <v>2792</v>
      </c>
      <c r="P113" s="5" t="str">
        <f>LEFT(O113,LEN(O113)-1)</f>
        <v>2.86k</v>
      </c>
      <c r="Q113" t="s">
        <v>3312</v>
      </c>
      <c r="R113" s="52">
        <f>_xlfn.NUMBERVALUE(convertNumberStringPointToNumberComma(LEFT(Q113,FIND("x",Q113)-2)))</f>
        <v>121</v>
      </c>
      <c r="S113" s="52">
        <f>_xlfn.NUMBERVALUE(convertNumberStringPointToNumberComma(LEFT(RIGHT(Q113,LEN(Q113)-FIND("x",Q113)-1),LEN(RIGHT(Q113,LEN(Q113)-FIND("x",Q113)-1))-2)))</f>
        <v>290.2</v>
      </c>
    </row>
    <row r="114" spans="1:19" x14ac:dyDescent="0.25">
      <c r="A114" t="s">
        <v>2424</v>
      </c>
      <c r="B114" t="s">
        <v>1056</v>
      </c>
      <c r="E114" t="s">
        <v>2650</v>
      </c>
      <c r="F114" s="9">
        <f t="shared" si="5"/>
        <v>5</v>
      </c>
      <c r="G114" s="9">
        <f t="shared" si="6"/>
        <v>6.3</v>
      </c>
      <c r="H114" t="s">
        <v>75</v>
      </c>
      <c r="L114" t="s">
        <v>2698</v>
      </c>
      <c r="M114" t="s">
        <v>2682</v>
      </c>
      <c r="N114" t="s">
        <v>913</v>
      </c>
      <c r="O114" t="s">
        <v>2792</v>
      </c>
      <c r="Q114" t="s">
        <v>3312</v>
      </c>
      <c r="R114" s="52">
        <f>_xlfn.NUMBERVALUE(convertNumberStringPointToNumberComma(LEFT(Q114,FIND("x",Q114)-2)))</f>
        <v>121</v>
      </c>
      <c r="S114" s="52">
        <f>_xlfn.NUMBERVALUE(convertNumberStringPointToNumberComma(LEFT(RIGHT(Q114,LEN(Q114)-FIND("x",Q114)-1),LEN(RIGHT(Q114,LEN(Q114)-FIND("x",Q114)-1))-2)))</f>
        <v>290.2</v>
      </c>
    </row>
    <row r="115" spans="1:19" x14ac:dyDescent="0.25">
      <c r="A115" t="s">
        <v>1162</v>
      </c>
      <c r="B115" t="s">
        <v>572</v>
      </c>
      <c r="E115" t="s">
        <v>2632</v>
      </c>
      <c r="F115" s="9">
        <f t="shared" si="5"/>
        <v>2.8</v>
      </c>
      <c r="G115" s="9">
        <f t="shared" si="6"/>
        <v>2.8</v>
      </c>
      <c r="H115" t="s">
        <v>2943</v>
      </c>
      <c r="L115" t="s">
        <v>2750</v>
      </c>
      <c r="M115" t="s">
        <v>2757</v>
      </c>
      <c r="N115" t="s">
        <v>913</v>
      </c>
      <c r="O115" t="s">
        <v>2752</v>
      </c>
      <c r="Q115" t="s">
        <v>3588</v>
      </c>
      <c r="R115" s="52">
        <f>_xlfn.NUMBERVALUE(convertNumberStringPointToNumberComma(LEFT(Q115,FIND("x",Q115)-2)))</f>
        <v>122</v>
      </c>
      <c r="S115" s="52">
        <f>_xlfn.NUMBERVALUE(convertNumberStringPointToNumberComma(LEFT(RIGHT(Q115,LEN(Q115)-FIND("x",Q115)-1),LEN(RIGHT(Q115,LEN(Q115)-FIND("x",Q115)-1))-2)))</f>
        <v>243</v>
      </c>
    </row>
    <row r="116" spans="1:19" x14ac:dyDescent="0.25">
      <c r="A116" t="s">
        <v>1652</v>
      </c>
      <c r="B116" t="s">
        <v>664</v>
      </c>
      <c r="E116" t="s">
        <v>2961</v>
      </c>
      <c r="F116" s="9">
        <f t="shared" si="5"/>
        <v>4.5</v>
      </c>
      <c r="G116" s="9">
        <f t="shared" si="6"/>
        <v>4.5</v>
      </c>
      <c r="H116" t="s">
        <v>2669</v>
      </c>
      <c r="L116" t="s">
        <v>2766</v>
      </c>
      <c r="M116" t="s">
        <v>2682</v>
      </c>
      <c r="N116" t="s">
        <v>913</v>
      </c>
      <c r="O116" t="s">
        <v>2962</v>
      </c>
      <c r="Q116" t="s">
        <v>673</v>
      </c>
      <c r="R116" s="52">
        <f>_xlfn.NUMBERVALUE(convertNumberStringPointToNumberComma(LEFT(Q116,FIND("x",Q116)-2)))</f>
        <v>123</v>
      </c>
      <c r="S116" s="52">
        <f>_xlfn.NUMBERVALUE(convertNumberStringPointToNumberComma(LEFT(RIGHT(Q116,LEN(Q116)-FIND("x",Q116)-1),LEN(RIGHT(Q116,LEN(Q116)-FIND("x",Q116)-1))-2)))</f>
        <v>350</v>
      </c>
    </row>
    <row r="117" spans="1:19" x14ac:dyDescent="0.25">
      <c r="A117" t="s">
        <v>1806</v>
      </c>
      <c r="B117" t="s">
        <v>664</v>
      </c>
      <c r="E117" t="s">
        <v>2961</v>
      </c>
      <c r="F117" s="9">
        <f t="shared" si="5"/>
        <v>4.5</v>
      </c>
      <c r="G117" s="9">
        <f t="shared" si="6"/>
        <v>4.5</v>
      </c>
      <c r="H117" t="s">
        <v>2669</v>
      </c>
      <c r="L117" t="s">
        <v>2766</v>
      </c>
      <c r="M117" t="s">
        <v>2757</v>
      </c>
      <c r="N117" t="s">
        <v>913</v>
      </c>
      <c r="O117" t="s">
        <v>2962</v>
      </c>
      <c r="Q117" t="s">
        <v>673</v>
      </c>
      <c r="R117" s="52">
        <f>_xlfn.NUMBERVALUE(convertNumberStringPointToNumberComma(LEFT(Q117,FIND("x",Q117)-2)))</f>
        <v>123</v>
      </c>
      <c r="S117" s="52">
        <f>_xlfn.NUMBERVALUE(convertNumberStringPointToNumberComma(LEFT(RIGHT(Q117,LEN(Q117)-FIND("x",Q117)-1),LEN(RIGHT(Q117,LEN(Q117)-FIND("x",Q117)-1))-2)))</f>
        <v>350</v>
      </c>
    </row>
    <row r="118" spans="1:19" x14ac:dyDescent="0.25">
      <c r="A118" t="s">
        <v>2390</v>
      </c>
      <c r="B118" t="s">
        <v>664</v>
      </c>
      <c r="E118" t="s">
        <v>2961</v>
      </c>
      <c r="F118" s="9">
        <f t="shared" si="5"/>
        <v>4.5</v>
      </c>
      <c r="G118" s="9">
        <f t="shared" si="6"/>
        <v>4.5</v>
      </c>
      <c r="H118" t="s">
        <v>2669</v>
      </c>
      <c r="L118" t="s">
        <v>2766</v>
      </c>
      <c r="M118" t="s">
        <v>8</v>
      </c>
      <c r="N118" t="s">
        <v>913</v>
      </c>
      <c r="O118" t="s">
        <v>2962</v>
      </c>
      <c r="Q118" t="s">
        <v>673</v>
      </c>
      <c r="R118" s="52">
        <f>_xlfn.NUMBERVALUE(convertNumberStringPointToNumberComma(LEFT(Q118,FIND("x",Q118)-2)))</f>
        <v>123</v>
      </c>
      <c r="S118" s="52">
        <f>_xlfn.NUMBERVALUE(convertNumberStringPointToNumberComma(LEFT(RIGHT(Q118,LEN(Q118)-FIND("x",Q118)-1),LEN(RIGHT(Q118,LEN(Q118)-FIND("x",Q118)-1))-2)))</f>
        <v>350</v>
      </c>
    </row>
    <row r="119" spans="1:19" x14ac:dyDescent="0.25">
      <c r="A119" t="s">
        <v>2391</v>
      </c>
      <c r="B119" t="s">
        <v>664</v>
      </c>
      <c r="E119" t="s">
        <v>2961</v>
      </c>
      <c r="F119" s="9">
        <f t="shared" si="5"/>
        <v>4.5</v>
      </c>
      <c r="G119" s="9">
        <f t="shared" si="6"/>
        <v>4.5</v>
      </c>
      <c r="H119" t="s">
        <v>2669</v>
      </c>
      <c r="L119" t="s">
        <v>2766</v>
      </c>
      <c r="M119" t="s">
        <v>2793</v>
      </c>
      <c r="N119" t="s">
        <v>903</v>
      </c>
      <c r="O119" t="s">
        <v>2962</v>
      </c>
      <c r="Q119" t="s">
        <v>673</v>
      </c>
      <c r="R119" s="52">
        <f>_xlfn.NUMBERVALUE(convertNumberStringPointToNumberComma(LEFT(Q119,FIND("x",Q119)-2)))</f>
        <v>123</v>
      </c>
      <c r="S119" s="52">
        <f>_xlfn.NUMBERVALUE(convertNumberStringPointToNumberComma(LEFT(RIGHT(Q119,LEN(Q119)-FIND("x",Q119)-1),LEN(RIGHT(Q119,LEN(Q119)-FIND("x",Q119)-1))-2)))</f>
        <v>350</v>
      </c>
    </row>
    <row r="120" spans="1:19" x14ac:dyDescent="0.25">
      <c r="A120" t="s">
        <v>1654</v>
      </c>
      <c r="B120" t="s">
        <v>432</v>
      </c>
      <c r="E120" t="s">
        <v>2638</v>
      </c>
      <c r="F120" s="9">
        <f t="shared" si="5"/>
        <v>2</v>
      </c>
      <c r="G120" s="9">
        <f t="shared" si="6"/>
        <v>2</v>
      </c>
      <c r="H120" t="s">
        <v>318</v>
      </c>
      <c r="L120" t="s">
        <v>2753</v>
      </c>
      <c r="M120" t="s">
        <v>8</v>
      </c>
      <c r="N120" t="s">
        <v>913</v>
      </c>
      <c r="O120" t="s">
        <v>2963</v>
      </c>
      <c r="Q120" t="s">
        <v>3595</v>
      </c>
      <c r="R120" s="52">
        <f>_xlfn.NUMBERVALUE(convertNumberStringPointToNumberComma(LEFT(Q120,FIND("x",Q120)-2)))</f>
        <v>124</v>
      </c>
      <c r="S120" s="52">
        <f>_xlfn.NUMBERVALUE(convertNumberStringPointToNumberComma(LEFT(RIGHT(Q120,LEN(Q120)-FIND("x",Q120)-1),LEN(RIGHT(Q120,LEN(Q120)-FIND("x",Q120)-1))-2)))</f>
        <v>203.5</v>
      </c>
    </row>
    <row r="121" spans="1:19" x14ac:dyDescent="0.25">
      <c r="A121" t="s">
        <v>2602</v>
      </c>
      <c r="B121" t="s">
        <v>572</v>
      </c>
      <c r="E121" t="s">
        <v>2632</v>
      </c>
      <c r="F121" s="9">
        <f t="shared" si="5"/>
        <v>2.8</v>
      </c>
      <c r="G121" s="9">
        <f t="shared" si="6"/>
        <v>2.8</v>
      </c>
      <c r="H121" t="s">
        <v>318</v>
      </c>
      <c r="L121" t="s">
        <v>2704</v>
      </c>
      <c r="M121" t="s">
        <v>8</v>
      </c>
      <c r="N121" t="s">
        <v>913</v>
      </c>
      <c r="O121" t="s">
        <v>3189</v>
      </c>
      <c r="Q121" t="s">
        <v>4079</v>
      </c>
      <c r="R121" s="52">
        <f>_xlfn.NUMBERVALUE(convertNumberStringPointToNumberComma(LEFT(Q121,FIND("x",Q121)-2)))</f>
        <v>124</v>
      </c>
      <c r="S121" s="52">
        <f>_xlfn.NUMBERVALUE(convertNumberStringPointToNumberComma(LEFT(RIGHT(Q121,LEN(Q121)-FIND("x",Q121)-1),LEN(RIGHT(Q121,LEN(Q121)-FIND("x",Q121)-1))-2)))</f>
        <v>267.5</v>
      </c>
    </row>
    <row r="122" spans="1:19" x14ac:dyDescent="0.25">
      <c r="A122" t="s">
        <v>1464</v>
      </c>
      <c r="B122" t="s">
        <v>1465</v>
      </c>
      <c r="E122" t="s">
        <v>2632</v>
      </c>
      <c r="F122" s="9">
        <f t="shared" si="5"/>
        <v>2.8</v>
      </c>
      <c r="G122" s="9">
        <f t="shared" si="6"/>
        <v>2.8</v>
      </c>
      <c r="H122" t="s">
        <v>75</v>
      </c>
      <c r="L122" t="s">
        <v>2910</v>
      </c>
      <c r="M122" t="s">
        <v>2681</v>
      </c>
      <c r="N122" t="s">
        <v>2681</v>
      </c>
      <c r="O122" t="s">
        <v>2911</v>
      </c>
      <c r="Q122" t="s">
        <v>3508</v>
      </c>
      <c r="R122" s="52">
        <f>_xlfn.NUMBERVALUE(convertNumberStringPointToNumberComma(LEFT(Q122,FIND("x",Q122)-2)))</f>
        <v>124</v>
      </c>
      <c r="S122" s="52">
        <f>_xlfn.NUMBERVALUE(convertNumberStringPointToNumberComma(LEFT(RIGHT(Q122,LEN(Q122)-FIND("x",Q122)-1),LEN(RIGHT(Q122,LEN(Q122)-FIND("x",Q122)-1))-2)))</f>
        <v>276</v>
      </c>
    </row>
    <row r="123" spans="1:19" x14ac:dyDescent="0.25">
      <c r="A123" t="s">
        <v>1624</v>
      </c>
      <c r="B123" t="s">
        <v>1568</v>
      </c>
      <c r="E123" t="s">
        <v>2633</v>
      </c>
      <c r="F123" s="9">
        <f t="shared" si="5"/>
        <v>4</v>
      </c>
      <c r="G123" s="9">
        <f t="shared" si="6"/>
        <v>4</v>
      </c>
      <c r="H123" t="s">
        <v>318</v>
      </c>
      <c r="L123" t="s">
        <v>2725</v>
      </c>
      <c r="M123" t="s">
        <v>8</v>
      </c>
      <c r="N123" t="s">
        <v>913</v>
      </c>
      <c r="O123" t="s">
        <v>2956</v>
      </c>
      <c r="Q123" t="s">
        <v>3582</v>
      </c>
      <c r="R123" s="52">
        <f>_xlfn.NUMBERVALUE(convertNumberStringPointToNumberComma(LEFT(Q123,FIND("x",Q123)-2)))</f>
        <v>124</v>
      </c>
      <c r="S123" s="52">
        <f>_xlfn.NUMBERVALUE(convertNumberStringPointToNumberComma(LEFT(RIGHT(Q123,LEN(Q123)-FIND("x",Q123)-1),LEN(RIGHT(Q123,LEN(Q123)-FIND("x",Q123)-1))-2)))</f>
        <v>365.5</v>
      </c>
    </row>
    <row r="124" spans="1:19" x14ac:dyDescent="0.25">
      <c r="A124" t="s">
        <v>1225</v>
      </c>
      <c r="B124" t="s">
        <v>1203</v>
      </c>
      <c r="C124" s="5">
        <f>convertNumberStringPointToNumberComma(IFERROR(LEFT(B124,(FIND("-",B124)-1)),LEFT(B124,FIND("mm",B124)-1)))</f>
        <v>120</v>
      </c>
      <c r="D124" s="5">
        <f>convertNumberStringPointToNumberComma(IFERROR(RIGHT(LEFT(B124,FIND("m",B124)-1),LEN(LEFT(B124,FIND("m",B124)-1))-FIND("-",LEFT(B124,FIND("m",B124)-1))-1),C124))</f>
        <v>0</v>
      </c>
      <c r="E124" t="s">
        <v>2632</v>
      </c>
      <c r="F124" s="9">
        <f t="shared" si="5"/>
        <v>2.8</v>
      </c>
      <c r="G124" s="9">
        <f t="shared" si="6"/>
        <v>2.8</v>
      </c>
      <c r="H124" t="s">
        <v>75</v>
      </c>
      <c r="I124" s="5" t="str">
        <f>IF(H124="none",0,LEFT(H124,LEN(H124)-2))</f>
        <v>105</v>
      </c>
      <c r="J124" s="5" t="s">
        <v>57</v>
      </c>
      <c r="K124" s="10">
        <f>IF(J124="",0,convertNumberStringPointToNumberComma(LEFT(J124,LEN(J124)-1)))</f>
        <v>0.26</v>
      </c>
      <c r="L124" t="s">
        <v>2838</v>
      </c>
      <c r="M124" t="s">
        <v>2682</v>
      </c>
      <c r="N124" t="s">
        <v>913</v>
      </c>
      <c r="O124" t="s">
        <v>2849</v>
      </c>
      <c r="P124" s="5" t="str">
        <f>LEFT(O124,LEN(O124)-1)</f>
        <v>3.39k</v>
      </c>
      <c r="Q124" t="s">
        <v>3375</v>
      </c>
      <c r="R124" s="52">
        <f>_xlfn.NUMBERVALUE(convertNumberStringPointToNumberComma(LEFT(Q124,FIND("x",Q124)-2)))</f>
        <v>124.4</v>
      </c>
      <c r="S124" s="52">
        <f>_xlfn.NUMBERVALUE(convertNumberStringPointToNumberComma(LEFT(RIGHT(Q124,LEN(Q124)-FIND("x",Q124)-1),LEN(RIGHT(Q124,LEN(Q124)-FIND("x",Q124)-1))-2)))</f>
        <v>291</v>
      </c>
    </row>
    <row r="125" spans="1:19" x14ac:dyDescent="0.25">
      <c r="A125" t="s">
        <v>1226</v>
      </c>
      <c r="B125" t="s">
        <v>1203</v>
      </c>
      <c r="C125" s="5">
        <f>convertNumberStringPointToNumberComma(IFERROR(LEFT(B125,(FIND("-",B125)-1)),LEFT(B125,FIND("mm",B125)-1)))</f>
        <v>120</v>
      </c>
      <c r="D125" s="5">
        <f>convertNumberStringPointToNumberComma(IFERROR(RIGHT(LEFT(B125,FIND("m",B125)-1),LEN(LEFT(B125,FIND("m",B125)-1))-FIND("-",LEFT(B125,FIND("m",B125)-1))-1),C125))</f>
        <v>0</v>
      </c>
      <c r="E125" t="s">
        <v>2632</v>
      </c>
      <c r="F125" s="9">
        <f t="shared" si="5"/>
        <v>2.8</v>
      </c>
      <c r="G125" s="9">
        <f t="shared" si="6"/>
        <v>2.8</v>
      </c>
      <c r="H125" t="s">
        <v>75</v>
      </c>
      <c r="I125" s="5" t="str">
        <f>IF(H125="none",0,LEFT(H125,LEN(H125)-2))</f>
        <v>105</v>
      </c>
      <c r="J125" s="5" t="s">
        <v>22</v>
      </c>
      <c r="K125" s="10">
        <f>IF(J125="",0,convertNumberStringPointToNumberComma(LEFT(J125,LEN(J125)-1)))</f>
        <v>0.15</v>
      </c>
      <c r="L125" t="s">
        <v>2838</v>
      </c>
      <c r="M125" t="s">
        <v>2793</v>
      </c>
      <c r="N125" t="s">
        <v>903</v>
      </c>
      <c r="O125" t="s">
        <v>2849</v>
      </c>
      <c r="P125" s="5" t="str">
        <f>LEFT(O125,LEN(O125)-1)</f>
        <v>3.39k</v>
      </c>
      <c r="Q125" t="s">
        <v>3375</v>
      </c>
      <c r="R125" s="52">
        <f>_xlfn.NUMBERVALUE(convertNumberStringPointToNumberComma(LEFT(Q125,FIND("x",Q125)-2)))</f>
        <v>124.4</v>
      </c>
      <c r="S125" s="52">
        <f>_xlfn.NUMBERVALUE(convertNumberStringPointToNumberComma(LEFT(RIGHT(Q125,LEN(Q125)-FIND("x",Q125)-1),LEN(RIGHT(Q125,LEN(Q125)-FIND("x",Q125)-1))-2)))</f>
        <v>291</v>
      </c>
    </row>
    <row r="126" spans="1:19" x14ac:dyDescent="0.25">
      <c r="A126" t="s">
        <v>2030</v>
      </c>
      <c r="B126" t="s">
        <v>1203</v>
      </c>
      <c r="E126" t="s">
        <v>2632</v>
      </c>
      <c r="F126" s="9">
        <f t="shared" si="5"/>
        <v>2.8</v>
      </c>
      <c r="G126" s="9">
        <f t="shared" si="6"/>
        <v>2.8</v>
      </c>
      <c r="H126" t="s">
        <v>75</v>
      </c>
      <c r="L126" t="s">
        <v>2838</v>
      </c>
      <c r="M126" t="s">
        <v>8</v>
      </c>
      <c r="N126" t="s">
        <v>913</v>
      </c>
      <c r="O126" t="s">
        <v>2849</v>
      </c>
      <c r="Q126" t="s">
        <v>3375</v>
      </c>
      <c r="R126" s="52">
        <f>_xlfn.NUMBERVALUE(convertNumberStringPointToNumberComma(LEFT(Q126,FIND("x",Q126)-2)))</f>
        <v>124.4</v>
      </c>
      <c r="S126" s="52">
        <f>_xlfn.NUMBERVALUE(convertNumberStringPointToNumberComma(LEFT(RIGHT(Q126,LEN(Q126)-FIND("x",Q126)-1),LEN(RIGHT(Q126,LEN(Q126)-FIND("x",Q126)-1))-2)))</f>
        <v>291</v>
      </c>
    </row>
    <row r="127" spans="1:19" x14ac:dyDescent="0.25">
      <c r="A127" t="s">
        <v>2171</v>
      </c>
      <c r="B127" t="s">
        <v>624</v>
      </c>
      <c r="E127" t="s">
        <v>2633</v>
      </c>
      <c r="F127" s="9">
        <f t="shared" si="5"/>
        <v>4</v>
      </c>
      <c r="G127" s="9">
        <f t="shared" si="6"/>
        <v>4</v>
      </c>
      <c r="H127" t="s">
        <v>318</v>
      </c>
      <c r="L127" t="s">
        <v>2684</v>
      </c>
      <c r="M127" t="s">
        <v>2682</v>
      </c>
      <c r="N127" t="s">
        <v>913</v>
      </c>
      <c r="O127" t="s">
        <v>3092</v>
      </c>
      <c r="Q127" t="s">
        <v>3857</v>
      </c>
      <c r="R127" s="52">
        <f>_xlfn.NUMBERVALUE(convertNumberStringPointToNumberComma(LEFT(Q127,FIND("x",Q127)-2)))</f>
        <v>128</v>
      </c>
      <c r="S127" s="52">
        <f>_xlfn.NUMBERVALUE(convertNumberStringPointToNumberComma(LEFT(RIGHT(Q127,LEN(Q127)-FIND("x",Q127)-1),LEN(RIGHT(Q127,LEN(Q127)-FIND("x",Q127)-1))-2)))</f>
        <v>232.7</v>
      </c>
    </row>
    <row r="128" spans="1:19" x14ac:dyDescent="0.25">
      <c r="A128" t="s">
        <v>1557</v>
      </c>
      <c r="B128" t="s">
        <v>572</v>
      </c>
      <c r="E128" t="s">
        <v>2632</v>
      </c>
      <c r="F128" s="9">
        <f t="shared" si="5"/>
        <v>2.8</v>
      </c>
      <c r="G128" s="9">
        <f t="shared" si="6"/>
        <v>2.8</v>
      </c>
      <c r="H128" t="s">
        <v>318</v>
      </c>
      <c r="L128" t="s">
        <v>2750</v>
      </c>
      <c r="M128" t="s">
        <v>2682</v>
      </c>
      <c r="N128" t="s">
        <v>913</v>
      </c>
      <c r="O128" t="s">
        <v>2841</v>
      </c>
      <c r="Q128" t="s">
        <v>3556</v>
      </c>
      <c r="R128" s="52">
        <f>_xlfn.NUMBERVALUE(convertNumberStringPointToNumberComma(LEFT(Q128,FIND("x",Q128)-2)))</f>
        <v>128</v>
      </c>
      <c r="S128" s="52">
        <f>_xlfn.NUMBERVALUE(convertNumberStringPointToNumberComma(LEFT(RIGHT(Q128,LEN(Q128)-FIND("x",Q128)-1),LEN(RIGHT(Q128,LEN(Q128)-FIND("x",Q128)-1))-2)))</f>
        <v>248</v>
      </c>
    </row>
    <row r="129" spans="1:19" x14ac:dyDescent="0.25">
      <c r="A129" t="s">
        <v>1567</v>
      </c>
      <c r="B129" t="s">
        <v>1568</v>
      </c>
      <c r="E129" t="s">
        <v>2633</v>
      </c>
      <c r="F129" s="9">
        <f t="shared" si="5"/>
        <v>4</v>
      </c>
      <c r="G129" s="9">
        <f t="shared" si="6"/>
        <v>4</v>
      </c>
      <c r="H129" t="s">
        <v>318</v>
      </c>
      <c r="L129" t="s">
        <v>2686</v>
      </c>
      <c r="M129" t="s">
        <v>2682</v>
      </c>
      <c r="N129" t="s">
        <v>913</v>
      </c>
      <c r="O129" t="s">
        <v>2935</v>
      </c>
      <c r="Q129" t="s">
        <v>3559</v>
      </c>
      <c r="R129" s="52">
        <f>_xlfn.NUMBERVALUE(convertNumberStringPointToNumberComma(LEFT(Q129,FIND("x",Q129)-2)))</f>
        <v>128</v>
      </c>
      <c r="S129" s="52">
        <f>_xlfn.NUMBERVALUE(convertNumberStringPointToNumberComma(LEFT(RIGHT(Q129,LEN(Q129)-FIND("x",Q129)-1),LEN(RIGHT(Q129,LEN(Q129)-FIND("x",Q129)-1))-2)))</f>
        <v>366</v>
      </c>
    </row>
    <row r="130" spans="1:19" x14ac:dyDescent="0.25">
      <c r="A130" t="s">
        <v>2236</v>
      </c>
      <c r="B130" t="s">
        <v>2237</v>
      </c>
      <c r="E130" t="s">
        <v>2647</v>
      </c>
      <c r="F130" s="9">
        <f t="shared" si="5"/>
        <v>5.6</v>
      </c>
      <c r="G130" s="9">
        <f t="shared" si="6"/>
        <v>5.6</v>
      </c>
      <c r="H130" t="s">
        <v>3102</v>
      </c>
      <c r="L130" t="s">
        <v>2726</v>
      </c>
      <c r="M130" t="s">
        <v>2802</v>
      </c>
      <c r="N130" t="s">
        <v>903</v>
      </c>
      <c r="O130" t="s">
        <v>3103</v>
      </c>
      <c r="Q130" t="s">
        <v>3878</v>
      </c>
      <c r="R130" s="52">
        <f>_xlfn.NUMBERVALUE(convertNumberStringPointToNumberComma(LEFT(Q130,FIND("x",Q130)-2)))</f>
        <v>130</v>
      </c>
      <c r="S130" s="52">
        <f>_xlfn.NUMBERVALUE(convertNumberStringPointToNumberComma(LEFT(RIGHT(Q130,LEN(Q130)-FIND("x",Q130)-1),LEN(RIGHT(Q130,LEN(Q130)-FIND("x",Q130)-1))-2)))</f>
        <v>522</v>
      </c>
    </row>
    <row r="131" spans="1:19" x14ac:dyDescent="0.25">
      <c r="A131" t="s">
        <v>1573</v>
      </c>
      <c r="B131" t="s">
        <v>664</v>
      </c>
      <c r="E131" t="s">
        <v>2633</v>
      </c>
      <c r="F131" s="9">
        <f t="shared" si="5"/>
        <v>4</v>
      </c>
      <c r="G131" s="9">
        <f t="shared" si="6"/>
        <v>4</v>
      </c>
      <c r="H131" t="s">
        <v>318</v>
      </c>
      <c r="L131" t="s">
        <v>2940</v>
      </c>
      <c r="M131" t="s">
        <v>8</v>
      </c>
      <c r="N131" t="s">
        <v>913</v>
      </c>
      <c r="O131" t="s">
        <v>2941</v>
      </c>
      <c r="Q131" t="s">
        <v>3563</v>
      </c>
      <c r="R131" s="52">
        <f>_xlfn.NUMBERVALUE(convertNumberStringPointToNumberComma(LEFT(Q131,FIND("x",Q131)-2)))</f>
        <v>139.5</v>
      </c>
      <c r="S131" s="52">
        <f>_xlfn.NUMBERVALUE(convertNumberStringPointToNumberComma(LEFT(RIGHT(Q131,LEN(Q131)-FIND("x",Q131)-1),LEN(RIGHT(Q131,LEN(Q131)-FIND("x",Q131)-1))-2)))</f>
        <v>391</v>
      </c>
    </row>
    <row r="132" spans="1:19" x14ac:dyDescent="0.25">
      <c r="A132" t="s">
        <v>1576</v>
      </c>
      <c r="B132" t="s">
        <v>664</v>
      </c>
      <c r="E132" t="s">
        <v>2633</v>
      </c>
      <c r="F132" s="9">
        <f t="shared" si="5"/>
        <v>4</v>
      </c>
      <c r="G132" s="9">
        <f t="shared" si="6"/>
        <v>4</v>
      </c>
      <c r="H132" t="s">
        <v>2943</v>
      </c>
      <c r="L132" t="s">
        <v>2775</v>
      </c>
      <c r="M132" t="s">
        <v>2757</v>
      </c>
      <c r="N132" t="s">
        <v>913</v>
      </c>
      <c r="O132" t="s">
        <v>2944</v>
      </c>
      <c r="Q132" t="s">
        <v>3566</v>
      </c>
      <c r="R132" s="52">
        <f>_xlfn.NUMBERVALUE(convertNumberStringPointToNumberComma(LEFT(Q132,FIND("x",Q132)-2)))</f>
        <v>140</v>
      </c>
      <c r="S132" s="52">
        <f>_xlfn.NUMBERVALUE(convertNumberStringPointToNumberComma(LEFT(RIGHT(Q132,LEN(Q132)-FIND("x",Q132)-1),LEN(RIGHT(Q132,LEN(Q132)-FIND("x",Q132)-1))-2)))</f>
        <v>367.5</v>
      </c>
    </row>
    <row r="133" spans="1:19" x14ac:dyDescent="0.25">
      <c r="A133" t="s">
        <v>2396</v>
      </c>
      <c r="B133" t="s">
        <v>664</v>
      </c>
      <c r="E133" t="s">
        <v>2633</v>
      </c>
      <c r="F133" s="9">
        <f t="shared" si="5"/>
        <v>4</v>
      </c>
      <c r="G133" s="9">
        <f t="shared" si="6"/>
        <v>4</v>
      </c>
      <c r="H133" t="s">
        <v>2670</v>
      </c>
      <c r="L133" t="s">
        <v>2687</v>
      </c>
      <c r="M133" t="s">
        <v>8</v>
      </c>
      <c r="N133" t="s">
        <v>913</v>
      </c>
      <c r="O133" t="s">
        <v>3130</v>
      </c>
      <c r="Q133" t="s">
        <v>666</v>
      </c>
      <c r="R133" s="52">
        <f>_xlfn.NUMBERVALUE(convertNumberStringPointToNumberComma(LEFT(Q133,FIND("x",Q133)-2)))</f>
        <v>140</v>
      </c>
      <c r="S133" s="52">
        <f>_xlfn.NUMBERVALUE(convertNumberStringPointToNumberComma(LEFT(RIGHT(Q133,LEN(Q133)-FIND("x",Q133)-1),LEN(RIGHT(Q133,LEN(Q133)-FIND("x",Q133)-1))-2)))</f>
        <v>387</v>
      </c>
    </row>
    <row r="134" spans="1:19" x14ac:dyDescent="0.25">
      <c r="A134" t="s">
        <v>1730</v>
      </c>
      <c r="B134" t="s">
        <v>664</v>
      </c>
      <c r="E134" t="s">
        <v>2633</v>
      </c>
      <c r="F134" s="9">
        <f t="shared" si="5"/>
        <v>4</v>
      </c>
      <c r="G134" s="9">
        <f t="shared" si="6"/>
        <v>4</v>
      </c>
      <c r="H134" t="s">
        <v>2669</v>
      </c>
      <c r="L134" t="s">
        <v>2992</v>
      </c>
      <c r="M134" t="s">
        <v>2682</v>
      </c>
      <c r="N134" t="s">
        <v>913</v>
      </c>
      <c r="O134" t="s">
        <v>2993</v>
      </c>
      <c r="Q134" t="s">
        <v>3655</v>
      </c>
      <c r="R134" s="52">
        <f>_xlfn.NUMBERVALUE(convertNumberStringPointToNumberComma(LEFT(Q134,FIND("x",Q134)-2)))</f>
        <v>144.80000000000001</v>
      </c>
      <c r="S134" s="52">
        <f>_xlfn.NUMBERVALUE(convertNumberStringPointToNumberComma(LEFT(RIGHT(Q134,LEN(Q134)-FIND("x",Q134)-1),LEN(RIGHT(Q134,LEN(Q134)-FIND("x",Q134)-1))-2)))</f>
        <v>380.3</v>
      </c>
    </row>
    <row r="135" spans="1:19" x14ac:dyDescent="0.25">
      <c r="A135" t="s">
        <v>1732</v>
      </c>
      <c r="B135" t="s">
        <v>664</v>
      </c>
      <c r="E135" t="s">
        <v>2633</v>
      </c>
      <c r="F135" s="9">
        <f t="shared" si="5"/>
        <v>4</v>
      </c>
      <c r="G135" s="9">
        <f t="shared" si="6"/>
        <v>4</v>
      </c>
      <c r="H135" t="s">
        <v>2669</v>
      </c>
      <c r="L135" t="s">
        <v>2992</v>
      </c>
      <c r="M135" t="s">
        <v>8</v>
      </c>
      <c r="N135" t="s">
        <v>913</v>
      </c>
      <c r="O135" t="s">
        <v>2993</v>
      </c>
      <c r="Q135" t="s">
        <v>3655</v>
      </c>
      <c r="R135" s="52">
        <f>_xlfn.NUMBERVALUE(convertNumberStringPointToNumberComma(LEFT(Q135,FIND("x",Q135)-2)))</f>
        <v>144.80000000000001</v>
      </c>
      <c r="S135" s="52">
        <f>_xlfn.NUMBERVALUE(convertNumberStringPointToNumberComma(LEFT(RIGHT(Q135,LEN(Q135)-FIND("x",Q135)-1),LEN(RIGHT(Q135,LEN(Q135)-FIND("x",Q135)-1))-2)))</f>
        <v>380.3</v>
      </c>
    </row>
    <row r="136" spans="1:19" x14ac:dyDescent="0.25">
      <c r="A136" t="s">
        <v>1734</v>
      </c>
      <c r="B136" t="s">
        <v>664</v>
      </c>
      <c r="E136" t="s">
        <v>2633</v>
      </c>
      <c r="F136" s="9">
        <f t="shared" si="5"/>
        <v>4</v>
      </c>
      <c r="G136" s="9">
        <f t="shared" si="6"/>
        <v>4</v>
      </c>
      <c r="H136" t="s">
        <v>2669</v>
      </c>
      <c r="L136" t="s">
        <v>2992</v>
      </c>
      <c r="M136" t="s">
        <v>2793</v>
      </c>
      <c r="N136" t="s">
        <v>913</v>
      </c>
      <c r="O136" t="s">
        <v>2993</v>
      </c>
      <c r="Q136" t="s">
        <v>3655</v>
      </c>
      <c r="R136" s="52">
        <f>_xlfn.NUMBERVALUE(convertNumberStringPointToNumberComma(LEFT(Q136,FIND("x",Q136)-2)))</f>
        <v>144.80000000000001</v>
      </c>
      <c r="S136" s="52">
        <f>_xlfn.NUMBERVALUE(convertNumberStringPointToNumberComma(LEFT(RIGHT(Q136,LEN(Q136)-FIND("x",Q136)-1),LEN(RIGHT(Q136,LEN(Q136)-FIND("x",Q136)-1))-2)))</f>
        <v>380.3</v>
      </c>
    </row>
    <row r="137" spans="1:19" x14ac:dyDescent="0.25">
      <c r="A137" t="s">
        <v>2616</v>
      </c>
      <c r="B137" t="s">
        <v>664</v>
      </c>
      <c r="E137" t="s">
        <v>2633</v>
      </c>
      <c r="F137" s="9">
        <f t="shared" si="5"/>
        <v>4</v>
      </c>
      <c r="G137" s="9">
        <f t="shared" si="6"/>
        <v>4</v>
      </c>
      <c r="H137" t="s">
        <v>318</v>
      </c>
      <c r="L137" t="s">
        <v>2686</v>
      </c>
      <c r="M137" t="s">
        <v>2682</v>
      </c>
      <c r="N137" t="s">
        <v>913</v>
      </c>
      <c r="O137" t="s">
        <v>3191</v>
      </c>
      <c r="Q137" t="s">
        <v>4067</v>
      </c>
      <c r="R137" s="52">
        <f>_xlfn.NUMBERVALUE(convertNumberStringPointToNumberComma(LEFT(Q137,FIND("x",Q137)-2)))</f>
        <v>146</v>
      </c>
      <c r="S137" s="52">
        <f>_xlfn.NUMBERVALUE(convertNumberStringPointToNumberComma(LEFT(RIGHT(Q137,LEN(Q137)-FIND("x",Q137)-1),LEN(RIGHT(Q137,LEN(Q137)-FIND("x",Q137)-1))-2)))</f>
        <v>383</v>
      </c>
    </row>
    <row r="138" spans="1:19" x14ac:dyDescent="0.25">
      <c r="A138" t="s">
        <v>1822</v>
      </c>
      <c r="B138" t="s">
        <v>815</v>
      </c>
      <c r="E138" t="s">
        <v>2647</v>
      </c>
      <c r="F138" s="9">
        <f t="shared" ref="F138:F201" si="7">convertNumberStringPointToNumberComma(LEFT(MID(E138,3,9),IFERROR(FIND("-",MID(E138,3,9))-2,3)))</f>
        <v>5.6</v>
      </c>
      <c r="G138" s="9">
        <f t="shared" ref="G138:G201" si="8">convertNumberStringPointToNumberComma(RIGHT(E138,IF(ISERROR(FIND(".",RIGHT(E138,3))),1,3)))</f>
        <v>5.6</v>
      </c>
      <c r="H138" t="s">
        <v>2669</v>
      </c>
      <c r="L138" t="s">
        <v>3023</v>
      </c>
      <c r="M138" t="s">
        <v>8</v>
      </c>
      <c r="N138" t="s">
        <v>913</v>
      </c>
      <c r="O138" t="s">
        <v>3024</v>
      </c>
      <c r="Q138" t="s">
        <v>3699</v>
      </c>
      <c r="R138" s="52">
        <f>_xlfn.NUMBERVALUE(convertNumberStringPointToNumberComma(LEFT(Q138,FIND("x",Q138)-2)))</f>
        <v>156.5</v>
      </c>
      <c r="S138" s="52">
        <f>_xlfn.NUMBERVALUE(convertNumberStringPointToNumberComma(LEFT(RIGHT(Q138,LEN(Q138)-FIND("x",Q138)-1),LEN(RIGHT(Q138,LEN(Q138)-FIND("x",Q138)-1))-2)))</f>
        <v>521</v>
      </c>
    </row>
    <row r="139" spans="1:19" x14ac:dyDescent="0.25">
      <c r="A139" t="s">
        <v>1823</v>
      </c>
      <c r="B139" t="s">
        <v>815</v>
      </c>
      <c r="E139" t="s">
        <v>2647</v>
      </c>
      <c r="F139" s="9">
        <f t="shared" si="7"/>
        <v>5.6</v>
      </c>
      <c r="G139" s="9">
        <f t="shared" si="8"/>
        <v>5.6</v>
      </c>
      <c r="H139" t="s">
        <v>2669</v>
      </c>
      <c r="L139" t="s">
        <v>3023</v>
      </c>
      <c r="M139" t="s">
        <v>2682</v>
      </c>
      <c r="N139" t="s">
        <v>913</v>
      </c>
      <c r="O139" t="s">
        <v>3024</v>
      </c>
      <c r="Q139" t="s">
        <v>3699</v>
      </c>
      <c r="R139" s="52">
        <f>_xlfn.NUMBERVALUE(convertNumberStringPointToNumberComma(LEFT(Q139,FIND("x",Q139)-2)))</f>
        <v>156.5</v>
      </c>
      <c r="S139" s="52">
        <f>_xlfn.NUMBERVALUE(convertNumberStringPointToNumberComma(LEFT(RIGHT(Q139,LEN(Q139)-FIND("x",Q139)-1),LEN(RIGHT(Q139,LEN(Q139)-FIND("x",Q139)-1))-2)))</f>
        <v>521</v>
      </c>
    </row>
    <row r="140" spans="1:19" x14ac:dyDescent="0.25">
      <c r="A140" t="s">
        <v>1824</v>
      </c>
      <c r="B140" t="s">
        <v>815</v>
      </c>
      <c r="E140" t="s">
        <v>2647</v>
      </c>
      <c r="F140" s="9">
        <f t="shared" si="7"/>
        <v>5.6</v>
      </c>
      <c r="G140" s="9">
        <f t="shared" si="8"/>
        <v>5.6</v>
      </c>
      <c r="H140" t="s">
        <v>2669</v>
      </c>
      <c r="L140" t="s">
        <v>3023</v>
      </c>
      <c r="M140" t="s">
        <v>2793</v>
      </c>
      <c r="N140" t="s">
        <v>903</v>
      </c>
      <c r="O140" t="s">
        <v>3024</v>
      </c>
      <c r="Q140" t="s">
        <v>3699</v>
      </c>
      <c r="R140" s="52">
        <f>_xlfn.NUMBERVALUE(convertNumberStringPointToNumberComma(LEFT(Q140,FIND("x",Q140)-2)))</f>
        <v>156.5</v>
      </c>
      <c r="S140" s="52">
        <f>_xlfn.NUMBERVALUE(convertNumberStringPointToNumberComma(LEFT(RIGHT(Q140,LEN(Q140)-FIND("x",Q140)-1),LEN(RIGHT(Q140,LEN(Q140)-FIND("x",Q140)-1))-2)))</f>
        <v>521</v>
      </c>
    </row>
    <row r="141" spans="1:19" x14ac:dyDescent="0.25">
      <c r="A141" t="s">
        <v>1649</v>
      </c>
      <c r="B141" t="s">
        <v>1650</v>
      </c>
      <c r="E141" t="s">
        <v>2647</v>
      </c>
      <c r="F141" s="9">
        <f t="shared" si="7"/>
        <v>5.6</v>
      </c>
      <c r="G141" s="9">
        <f t="shared" si="8"/>
        <v>5.6</v>
      </c>
      <c r="H141" t="s">
        <v>2669</v>
      </c>
      <c r="L141" t="s">
        <v>2940</v>
      </c>
      <c r="M141" t="s">
        <v>2682</v>
      </c>
      <c r="N141" t="s">
        <v>913</v>
      </c>
      <c r="O141" t="s">
        <v>2960</v>
      </c>
      <c r="Q141" t="s">
        <v>3593</v>
      </c>
      <c r="R141" s="52">
        <f>_xlfn.NUMBERVALUE(convertNumberStringPointToNumberComma(LEFT(Q141,FIND("x",Q141)-2)))</f>
        <v>156.5</v>
      </c>
      <c r="S141" s="52">
        <f>_xlfn.NUMBERVALUE(convertNumberStringPointToNumberComma(LEFT(RIGHT(Q141,LEN(Q141)-FIND("x",Q141)-1),LEN(RIGHT(Q141,LEN(Q141)-FIND("x",Q141)-1))-2)))</f>
        <v>544</v>
      </c>
    </row>
    <row r="142" spans="1:19" x14ac:dyDescent="0.25">
      <c r="A142" t="s">
        <v>1651</v>
      </c>
      <c r="B142" t="s">
        <v>1650</v>
      </c>
      <c r="E142" t="s">
        <v>2647</v>
      </c>
      <c r="F142" s="9">
        <f t="shared" si="7"/>
        <v>5.6</v>
      </c>
      <c r="G142" s="9">
        <f t="shared" si="8"/>
        <v>5.6</v>
      </c>
      <c r="H142" t="s">
        <v>2669</v>
      </c>
      <c r="L142" t="s">
        <v>2940</v>
      </c>
      <c r="M142" t="s">
        <v>8</v>
      </c>
      <c r="N142" t="s">
        <v>913</v>
      </c>
      <c r="O142" t="s">
        <v>2960</v>
      </c>
      <c r="Q142" t="s">
        <v>3593</v>
      </c>
      <c r="R142" s="52">
        <f>_xlfn.NUMBERVALUE(convertNumberStringPointToNumberComma(LEFT(Q142,FIND("x",Q142)-2)))</f>
        <v>156.5</v>
      </c>
      <c r="S142" s="52">
        <f>_xlfn.NUMBERVALUE(convertNumberStringPointToNumberComma(LEFT(RIGHT(Q142,LEN(Q142)-FIND("x",Q142)-1),LEN(RIGHT(Q142,LEN(Q142)-FIND("x",Q142)-1))-2)))</f>
        <v>544</v>
      </c>
    </row>
    <row r="143" spans="1:19" x14ac:dyDescent="0.25">
      <c r="A143" t="s">
        <v>2389</v>
      </c>
      <c r="B143" t="s">
        <v>1650</v>
      </c>
      <c r="E143" t="s">
        <v>2647</v>
      </c>
      <c r="F143" s="9">
        <f t="shared" si="7"/>
        <v>5.6</v>
      </c>
      <c r="G143" s="9">
        <f t="shared" si="8"/>
        <v>5.6</v>
      </c>
      <c r="H143" t="s">
        <v>2669</v>
      </c>
      <c r="L143" t="s">
        <v>2940</v>
      </c>
      <c r="M143" t="s">
        <v>2793</v>
      </c>
      <c r="N143" t="s">
        <v>903</v>
      </c>
      <c r="O143" t="s">
        <v>2960</v>
      </c>
      <c r="Q143" t="s">
        <v>3593</v>
      </c>
      <c r="R143" s="52">
        <f>_xlfn.NUMBERVALUE(convertNumberStringPointToNumberComma(LEFT(Q143,FIND("x",Q143)-2)))</f>
        <v>156.5</v>
      </c>
      <c r="S143" s="52">
        <f>_xlfn.NUMBERVALUE(convertNumberStringPointToNumberComma(LEFT(RIGHT(Q143,LEN(Q143)-FIND("x",Q143)-1),LEN(RIGHT(Q143,LEN(Q143)-FIND("x",Q143)-1))-2)))</f>
        <v>544</v>
      </c>
    </row>
    <row r="144" spans="1:19" x14ac:dyDescent="0.25">
      <c r="A144" t="s">
        <v>2012</v>
      </c>
      <c r="B144" t="s">
        <v>624</v>
      </c>
      <c r="E144" t="s">
        <v>2632</v>
      </c>
      <c r="F144" s="9">
        <f t="shared" si="7"/>
        <v>2.8</v>
      </c>
      <c r="G144" s="9">
        <f t="shared" si="8"/>
        <v>2.8</v>
      </c>
      <c r="H144" t="s">
        <v>2670</v>
      </c>
      <c r="L144" t="s">
        <v>2937</v>
      </c>
      <c r="M144" t="s">
        <v>8</v>
      </c>
      <c r="N144" t="s">
        <v>913</v>
      </c>
      <c r="O144" t="s">
        <v>3057</v>
      </c>
      <c r="Q144" t="s">
        <v>3797</v>
      </c>
      <c r="R144" s="52">
        <f>_xlfn.NUMBERVALUE(convertNumberStringPointToNumberComma(LEFT(Q144,FIND("x",Q144)-2)))</f>
        <v>159.5</v>
      </c>
      <c r="S144" s="52">
        <f>_xlfn.NUMBERVALUE(convertNumberStringPointToNumberComma(LEFT(RIGHT(Q144,LEN(Q144)-FIND("x",Q144)-1),LEN(RIGHT(Q144,LEN(Q144)-FIND("x",Q144)-1))-2)))</f>
        <v>358</v>
      </c>
    </row>
    <row r="145" spans="1:19" x14ac:dyDescent="0.25">
      <c r="A145" t="s">
        <v>1571</v>
      </c>
      <c r="B145" t="s">
        <v>624</v>
      </c>
      <c r="E145" t="s">
        <v>2632</v>
      </c>
      <c r="F145" s="9">
        <f t="shared" si="7"/>
        <v>2.8</v>
      </c>
      <c r="G145" s="9">
        <f t="shared" si="8"/>
        <v>2.8</v>
      </c>
      <c r="H145" t="s">
        <v>318</v>
      </c>
      <c r="L145" t="s">
        <v>2937</v>
      </c>
      <c r="M145" t="s">
        <v>8</v>
      </c>
      <c r="N145" t="s">
        <v>913</v>
      </c>
      <c r="O145" t="s">
        <v>2938</v>
      </c>
      <c r="Q145" t="s">
        <v>3562</v>
      </c>
      <c r="R145" s="52">
        <f>_xlfn.NUMBERVALUE(convertNumberStringPointToNumberComma(LEFT(Q145,FIND("x",Q145)-2)))</f>
        <v>159.5</v>
      </c>
      <c r="S145" s="52">
        <f>_xlfn.NUMBERVALUE(convertNumberStringPointToNumberComma(LEFT(RIGHT(Q145,LEN(Q145)-FIND("x",Q145)-1),LEN(RIGHT(Q145,LEN(Q145)-FIND("x",Q145)-1))-2)))</f>
        <v>368</v>
      </c>
    </row>
    <row r="146" spans="1:19" x14ac:dyDescent="0.25">
      <c r="A146" t="s">
        <v>1347</v>
      </c>
      <c r="B146" t="s">
        <v>815</v>
      </c>
      <c r="E146" t="s">
        <v>2647</v>
      </c>
      <c r="F146" s="9">
        <f t="shared" si="7"/>
        <v>5.6</v>
      </c>
      <c r="G146" s="9">
        <f t="shared" si="8"/>
        <v>5.6</v>
      </c>
      <c r="H146" t="s">
        <v>318</v>
      </c>
      <c r="L146" t="s">
        <v>2879</v>
      </c>
      <c r="M146" t="s">
        <v>8</v>
      </c>
      <c r="N146" t="s">
        <v>913</v>
      </c>
      <c r="O146" t="s">
        <v>2880</v>
      </c>
      <c r="Q146" t="s">
        <v>817</v>
      </c>
      <c r="R146" s="52">
        <f>_xlfn.NUMBERVALUE(convertNumberStringPointToNumberComma(LEFT(Q146,FIND("x",Q146)-2)))</f>
        <v>160</v>
      </c>
      <c r="S146" s="52">
        <f>_xlfn.NUMBERVALUE(convertNumberStringPointToNumberComma(LEFT(RIGHT(Q146,LEN(Q146)-FIND("x",Q146)-1),LEN(RIGHT(Q146,LEN(Q146)-FIND("x",Q146)-1))-2)))</f>
        <v>461</v>
      </c>
    </row>
    <row r="147" spans="1:19" x14ac:dyDescent="0.25">
      <c r="A147" t="s">
        <v>1558</v>
      </c>
      <c r="B147" t="s">
        <v>624</v>
      </c>
      <c r="E147" t="s">
        <v>2632</v>
      </c>
      <c r="F147" s="9">
        <f t="shared" si="7"/>
        <v>2.8</v>
      </c>
      <c r="G147" s="9">
        <f t="shared" si="8"/>
        <v>2.8</v>
      </c>
      <c r="H147" t="s">
        <v>318</v>
      </c>
      <c r="L147" t="s">
        <v>2706</v>
      </c>
      <c r="M147" t="s">
        <v>2682</v>
      </c>
      <c r="N147" t="s">
        <v>913</v>
      </c>
      <c r="O147" t="s">
        <v>2932</v>
      </c>
      <c r="Q147" t="s">
        <v>3557</v>
      </c>
      <c r="R147" s="52">
        <f>_xlfn.NUMBERVALUE(convertNumberStringPointToNumberComma(LEFT(Q147,FIND("x",Q147)-2)))</f>
        <v>163</v>
      </c>
      <c r="S147" s="52">
        <f>_xlfn.NUMBERVALUE(convertNumberStringPointToNumberComma(LEFT(RIGHT(Q147,LEN(Q147)-FIND("x",Q147)-1),LEN(RIGHT(Q147,LEN(Q147)-FIND("x",Q147)-1))-2)))</f>
        <v>343</v>
      </c>
    </row>
    <row r="148" spans="1:19" x14ac:dyDescent="0.25">
      <c r="A148" t="s">
        <v>1482</v>
      </c>
      <c r="B148" t="s">
        <v>815</v>
      </c>
      <c r="E148" t="s">
        <v>2647</v>
      </c>
      <c r="F148" s="9">
        <f t="shared" si="7"/>
        <v>5.6</v>
      </c>
      <c r="G148" s="9">
        <f t="shared" si="8"/>
        <v>5.6</v>
      </c>
      <c r="H148" t="s">
        <v>318</v>
      </c>
      <c r="L148" t="s">
        <v>2709</v>
      </c>
      <c r="M148" t="s">
        <v>2682</v>
      </c>
      <c r="N148" t="s">
        <v>913</v>
      </c>
      <c r="O148" t="s">
        <v>2913</v>
      </c>
      <c r="Q148" t="s">
        <v>3515</v>
      </c>
      <c r="R148" s="52">
        <f>_xlfn.NUMBERVALUE(convertNumberStringPointToNumberComma(LEFT(Q148,FIND("x",Q148)-2)))</f>
        <v>163</v>
      </c>
      <c r="S148" s="52">
        <f>_xlfn.NUMBERVALUE(convertNumberStringPointToNumberComma(LEFT(RIGHT(Q148,LEN(Q148)-FIND("x",Q148)-1),LEN(RIGHT(Q148,LEN(Q148)-FIND("x",Q148)-1))-2)))</f>
        <v>461</v>
      </c>
    </row>
    <row r="149" spans="1:19" x14ac:dyDescent="0.25">
      <c r="A149" t="s">
        <v>2630</v>
      </c>
      <c r="B149" t="s">
        <v>734</v>
      </c>
      <c r="E149" t="s">
        <v>2633</v>
      </c>
      <c r="F149" s="9">
        <f t="shared" si="7"/>
        <v>4</v>
      </c>
      <c r="G149" s="9">
        <f t="shared" si="8"/>
        <v>4</v>
      </c>
      <c r="H149" t="s">
        <v>2670</v>
      </c>
      <c r="L149" t="s">
        <v>2803</v>
      </c>
      <c r="M149" t="s">
        <v>8</v>
      </c>
      <c r="N149" t="s">
        <v>913</v>
      </c>
      <c r="O149" t="s">
        <v>3195</v>
      </c>
      <c r="Q149" t="s">
        <v>736</v>
      </c>
      <c r="R149" s="52">
        <f>_xlfn.NUMBERVALUE(convertNumberStringPointToNumberComma(LEFT(Q149,FIND("x",Q149)-2)))</f>
        <v>166</v>
      </c>
      <c r="S149" s="52">
        <f>_xlfn.NUMBERVALUE(convertNumberStringPointToNumberComma(LEFT(RIGHT(Q149,LEN(Q149)-FIND("x",Q149)-1),LEN(RIGHT(Q149,LEN(Q149)-FIND("x",Q149)-1))-2)))</f>
        <v>432</v>
      </c>
    </row>
    <row r="150" spans="1:19" x14ac:dyDescent="0.25">
      <c r="A150" t="s">
        <v>1572</v>
      </c>
      <c r="B150" t="s">
        <v>734</v>
      </c>
      <c r="E150" t="s">
        <v>2633</v>
      </c>
      <c r="F150" s="9">
        <f t="shared" si="7"/>
        <v>4</v>
      </c>
      <c r="G150" s="9">
        <f t="shared" si="8"/>
        <v>4</v>
      </c>
      <c r="H150" t="s">
        <v>318</v>
      </c>
      <c r="L150" t="s">
        <v>2864</v>
      </c>
      <c r="M150" t="s">
        <v>8</v>
      </c>
      <c r="N150" t="s">
        <v>913</v>
      </c>
      <c r="O150" t="s">
        <v>2939</v>
      </c>
      <c r="Q150" t="s">
        <v>739</v>
      </c>
      <c r="R150" s="52">
        <f>_xlfn.NUMBERVALUE(convertNumberStringPointToNumberComma(LEFT(Q150,FIND("x",Q150)-2)))</f>
        <v>166</v>
      </c>
      <c r="S150" s="52">
        <f>_xlfn.NUMBERVALUE(convertNumberStringPointToNumberComma(LEFT(RIGHT(Q150,LEN(Q150)-FIND("x",Q150)-1),LEN(RIGHT(Q150,LEN(Q150)-FIND("x",Q150)-1))-2)))</f>
        <v>445</v>
      </c>
    </row>
    <row r="151" spans="1:19" x14ac:dyDescent="0.25">
      <c r="A151" t="s">
        <v>1515</v>
      </c>
      <c r="B151" t="s">
        <v>734</v>
      </c>
      <c r="E151" t="s">
        <v>2633</v>
      </c>
      <c r="F151" s="9">
        <f t="shared" si="7"/>
        <v>4</v>
      </c>
      <c r="G151" s="9">
        <f t="shared" si="8"/>
        <v>4</v>
      </c>
      <c r="H151" t="s">
        <v>318</v>
      </c>
      <c r="L151" t="s">
        <v>2686</v>
      </c>
      <c r="M151" t="s">
        <v>2682</v>
      </c>
      <c r="N151" t="s">
        <v>913</v>
      </c>
      <c r="O151" t="s">
        <v>2917</v>
      </c>
      <c r="Q151" t="s">
        <v>3532</v>
      </c>
      <c r="R151" s="52">
        <f>_xlfn.NUMBERVALUE(convertNumberStringPointToNumberComma(LEFT(Q151,FIND("x",Q151)-2)))</f>
        <v>168</v>
      </c>
      <c r="S151" s="52">
        <f>_xlfn.NUMBERVALUE(convertNumberStringPointToNumberComma(LEFT(RIGHT(Q151,LEN(Q151)-FIND("x",Q151)-1),LEN(RIGHT(Q151,LEN(Q151)-FIND("x",Q151)-1))-2)))</f>
        <v>448</v>
      </c>
    </row>
    <row r="152" spans="1:19" x14ac:dyDescent="0.25">
      <c r="A152" t="s">
        <v>1532</v>
      </c>
      <c r="B152" t="s">
        <v>1023</v>
      </c>
      <c r="E152" t="s">
        <v>2632</v>
      </c>
      <c r="F152" s="9">
        <f t="shared" si="7"/>
        <v>2.8</v>
      </c>
      <c r="G152" s="9">
        <f t="shared" si="8"/>
        <v>2.8</v>
      </c>
      <c r="H152" t="s">
        <v>15</v>
      </c>
      <c r="L152" t="s">
        <v>2766</v>
      </c>
      <c r="M152" t="s">
        <v>2682</v>
      </c>
      <c r="N152" t="s">
        <v>913</v>
      </c>
      <c r="O152" t="s">
        <v>2926</v>
      </c>
      <c r="Q152" t="s">
        <v>3540</v>
      </c>
      <c r="R152" s="52">
        <f>_xlfn.NUMBERVALUE(convertNumberStringPointToNumberComma(LEFT(Q152,FIND("x",Q152)-2)))</f>
        <v>236.5</v>
      </c>
      <c r="S152" s="52">
        <f>_xlfn.NUMBERVALUE(convertNumberStringPointToNumberComma(LEFT(RIGHT(Q152,LEN(Q152)-FIND("x",Q152)-1),LEN(RIGHT(Q152,LEN(Q152)-FIND("x",Q152)-1))-2)))</f>
        <v>726</v>
      </c>
    </row>
    <row r="153" spans="1:19" x14ac:dyDescent="0.25">
      <c r="A153" t="s">
        <v>1534</v>
      </c>
      <c r="B153" t="s">
        <v>1023</v>
      </c>
      <c r="E153" t="s">
        <v>2632</v>
      </c>
      <c r="F153" s="9">
        <f t="shared" si="7"/>
        <v>2.8</v>
      </c>
      <c r="G153" s="9">
        <f t="shared" si="8"/>
        <v>2.8</v>
      </c>
      <c r="H153" t="s">
        <v>15</v>
      </c>
      <c r="L153" t="s">
        <v>2766</v>
      </c>
      <c r="M153" t="s">
        <v>8</v>
      </c>
      <c r="N153" t="s">
        <v>913</v>
      </c>
      <c r="O153" t="s">
        <v>2926</v>
      </c>
      <c r="Q153" t="s">
        <v>3540</v>
      </c>
      <c r="R153" s="52">
        <f>_xlfn.NUMBERVALUE(convertNumberStringPointToNumberComma(LEFT(Q153,FIND("x",Q153)-2)))</f>
        <v>236.5</v>
      </c>
      <c r="S153" s="52">
        <f>_xlfn.NUMBERVALUE(convertNumberStringPointToNumberComma(LEFT(RIGHT(Q153,LEN(Q153)-FIND("x",Q153)-1),LEN(RIGHT(Q153,LEN(Q153)-FIND("x",Q153)-1))-2)))</f>
        <v>726</v>
      </c>
    </row>
    <row r="154" spans="1:19" x14ac:dyDescent="0.25">
      <c r="A154" t="s">
        <v>1535</v>
      </c>
      <c r="B154" t="s">
        <v>1023</v>
      </c>
      <c r="E154" t="s">
        <v>2632</v>
      </c>
      <c r="F154" s="9">
        <f t="shared" si="7"/>
        <v>2.8</v>
      </c>
      <c r="G154" s="9">
        <f t="shared" si="8"/>
        <v>2.8</v>
      </c>
      <c r="H154" t="s">
        <v>15</v>
      </c>
      <c r="L154" t="s">
        <v>2766</v>
      </c>
      <c r="M154" t="s">
        <v>2793</v>
      </c>
      <c r="N154" t="s">
        <v>903</v>
      </c>
      <c r="O154" t="s">
        <v>2926</v>
      </c>
      <c r="Q154" t="s">
        <v>3540</v>
      </c>
      <c r="R154" s="52">
        <f>_xlfn.NUMBERVALUE(convertNumberStringPointToNumberComma(LEFT(Q154,FIND("x",Q154)-2)))</f>
        <v>236.5</v>
      </c>
      <c r="S154" s="52">
        <f>_xlfn.NUMBERVALUE(convertNumberStringPointToNumberComma(LEFT(RIGHT(Q154,LEN(Q154)-FIND("x",Q154)-1),LEN(RIGHT(Q154,LEN(Q154)-FIND("x",Q154)-1))-2)))</f>
        <v>726</v>
      </c>
    </row>
    <row r="155" spans="1:19" x14ac:dyDescent="0.25">
      <c r="A155" t="s">
        <v>1394</v>
      </c>
      <c r="B155" t="s">
        <v>678</v>
      </c>
      <c r="E155" t="s">
        <v>2643</v>
      </c>
      <c r="F155" s="9">
        <f t="shared" si="7"/>
        <v>1.4</v>
      </c>
      <c r="G155" s="9">
        <f t="shared" si="8"/>
        <v>1.4</v>
      </c>
      <c r="H155" t="s">
        <v>2667</v>
      </c>
      <c r="M155" t="s">
        <v>2802</v>
      </c>
      <c r="N155" t="s">
        <v>913</v>
      </c>
      <c r="O155" t="s">
        <v>2852</v>
      </c>
      <c r="Q155" t="s">
        <v>3469</v>
      </c>
      <c r="R155" s="52">
        <f>_xlfn.NUMBERVALUE(convertNumberStringPointToNumberComma(LEFT(Q155,FIND("x",Q155)-2)))</f>
        <v>37</v>
      </c>
      <c r="S155" s="52">
        <f>_xlfn.NUMBERVALUE(convertNumberStringPointToNumberComma(LEFT(RIGHT(Q155,LEN(Q155)-FIND("x",Q155)-1),LEN(RIGHT(Q155,LEN(Q155)-FIND("x",Q155)-1))-2)))</f>
        <v>65</v>
      </c>
    </row>
    <row r="156" spans="1:19" x14ac:dyDescent="0.25">
      <c r="A156" t="s">
        <v>2159</v>
      </c>
      <c r="B156" t="s">
        <v>407</v>
      </c>
      <c r="E156" t="s">
        <v>2651</v>
      </c>
      <c r="F156" s="9">
        <f t="shared" si="7"/>
        <v>8</v>
      </c>
      <c r="G156" s="9">
        <f t="shared" si="8"/>
        <v>8</v>
      </c>
      <c r="H156" t="s">
        <v>2668</v>
      </c>
      <c r="L156" t="s">
        <v>2910</v>
      </c>
      <c r="M156" t="s">
        <v>3002</v>
      </c>
      <c r="N156" t="s">
        <v>3002</v>
      </c>
      <c r="O156" t="s">
        <v>3087</v>
      </c>
      <c r="Q156" t="s">
        <v>3853</v>
      </c>
      <c r="R156" s="52">
        <f>_xlfn.NUMBERVALUE(convertNumberStringPointToNumberComma(LEFT(Q156,FIND("x",Q156)-2)))</f>
        <v>40.6</v>
      </c>
      <c r="S156" s="52">
        <f>_xlfn.NUMBERVALUE(convertNumberStringPointToNumberComma(LEFT(RIGHT(Q156,LEN(Q156)-FIND("x",Q156)-1),LEN(RIGHT(Q156,LEN(Q156)-FIND("x",Q156)-1))-2)))</f>
        <v>19.5</v>
      </c>
    </row>
    <row r="157" spans="1:19" x14ac:dyDescent="0.25">
      <c r="A157" t="s">
        <v>2157</v>
      </c>
      <c r="B157" t="s">
        <v>2158</v>
      </c>
      <c r="E157" t="s">
        <v>3085</v>
      </c>
      <c r="F157" s="9">
        <f t="shared" si="7"/>
        <v>7.1</v>
      </c>
      <c r="G157" s="9">
        <f t="shared" si="8"/>
        <v>7.1</v>
      </c>
      <c r="H157" t="s">
        <v>2668</v>
      </c>
      <c r="L157" t="s">
        <v>2686</v>
      </c>
      <c r="M157" t="s">
        <v>3002</v>
      </c>
      <c r="N157" t="s">
        <v>3002</v>
      </c>
      <c r="O157" t="s">
        <v>3086</v>
      </c>
      <c r="Q157" t="s">
        <v>3852</v>
      </c>
      <c r="R157" s="52">
        <f>_xlfn.NUMBERVALUE(convertNumberStringPointToNumberComma(LEFT(Q157,FIND("x",Q157)-2)))</f>
        <v>40.6</v>
      </c>
      <c r="S157" s="52">
        <f>_xlfn.NUMBERVALUE(convertNumberStringPointToNumberComma(LEFT(RIGHT(Q157,LEN(Q157)-FIND("x",Q157)-1),LEN(RIGHT(Q157,LEN(Q157)-FIND("x",Q157)-1))-2)))</f>
        <v>25</v>
      </c>
    </row>
    <row r="158" spans="1:19" x14ac:dyDescent="0.25">
      <c r="A158" t="s">
        <v>2155</v>
      </c>
      <c r="B158" t="s">
        <v>2156</v>
      </c>
      <c r="E158" t="s">
        <v>2647</v>
      </c>
      <c r="F158" s="9">
        <f t="shared" si="7"/>
        <v>5.6</v>
      </c>
      <c r="G158" s="9">
        <f t="shared" si="8"/>
        <v>5.6</v>
      </c>
      <c r="H158" t="s">
        <v>2668</v>
      </c>
      <c r="L158" t="s">
        <v>2785</v>
      </c>
      <c r="M158" t="s">
        <v>3002</v>
      </c>
      <c r="N158" t="s">
        <v>3002</v>
      </c>
      <c r="O158" t="s">
        <v>3084</v>
      </c>
      <c r="Q158" t="s">
        <v>3851</v>
      </c>
      <c r="R158" s="52">
        <f>_xlfn.NUMBERVALUE(convertNumberStringPointToNumberComma(LEFT(Q158,FIND("x",Q158)-2)))</f>
        <v>40.6</v>
      </c>
      <c r="S158" s="52">
        <f>_xlfn.NUMBERVALUE(convertNumberStringPointToNumberComma(LEFT(RIGHT(Q158,LEN(Q158)-FIND("x",Q158)-1),LEN(RIGHT(Q158,LEN(Q158)-FIND("x",Q158)-1))-2)))</f>
        <v>30.5</v>
      </c>
    </row>
    <row r="159" spans="1:19" x14ac:dyDescent="0.25">
      <c r="A159" t="s">
        <v>1553</v>
      </c>
      <c r="B159" t="s">
        <v>441</v>
      </c>
      <c r="E159" t="s">
        <v>2632</v>
      </c>
      <c r="F159" s="9">
        <f t="shared" si="7"/>
        <v>2.8</v>
      </c>
      <c r="G159" s="9">
        <f t="shared" si="8"/>
        <v>2.8</v>
      </c>
      <c r="H159" t="s">
        <v>84</v>
      </c>
      <c r="L159" t="s">
        <v>2753</v>
      </c>
      <c r="M159" t="s">
        <v>8</v>
      </c>
      <c r="N159" t="s">
        <v>913</v>
      </c>
      <c r="O159" t="s">
        <v>442</v>
      </c>
      <c r="Q159" t="s">
        <v>3552</v>
      </c>
      <c r="R159" s="52">
        <f>_xlfn.NUMBERVALUE(convertNumberStringPointToNumberComma(LEFT(Q159,FIND("x",Q159)-2)))</f>
        <v>42.5</v>
      </c>
      <c r="S159" s="52">
        <f>_xlfn.NUMBERVALUE(convertNumberStringPointToNumberComma(LEFT(RIGHT(Q159,LEN(Q159)-FIND("x",Q159)-1),LEN(RIGHT(Q159,LEN(Q159)-FIND("x",Q159)-1))-2)))</f>
        <v>69</v>
      </c>
    </row>
    <row r="160" spans="1:19" x14ac:dyDescent="0.25">
      <c r="A160" t="s">
        <v>2581</v>
      </c>
      <c r="B160" t="s">
        <v>592</v>
      </c>
      <c r="E160" t="s">
        <v>2656</v>
      </c>
      <c r="F160" s="9">
        <f t="shared" si="7"/>
        <v>2.4</v>
      </c>
      <c r="G160" s="9">
        <f t="shared" si="8"/>
        <v>2.4</v>
      </c>
      <c r="L160" t="s">
        <v>2706</v>
      </c>
      <c r="M160" t="s">
        <v>2802</v>
      </c>
      <c r="N160" t="s">
        <v>903</v>
      </c>
      <c r="O160" t="s">
        <v>3183</v>
      </c>
      <c r="Q160" t="s">
        <v>4053</v>
      </c>
      <c r="R160" s="52">
        <f>_xlfn.NUMBERVALUE(convertNumberStringPointToNumberComma(LEFT(Q160,FIND("x",Q160)-2)))</f>
        <v>45</v>
      </c>
      <c r="S160" s="52">
        <f>_xlfn.NUMBERVALUE(convertNumberStringPointToNumberComma(LEFT(RIGHT(Q160,LEN(Q160)-FIND("x",Q160)-1),LEN(RIGHT(Q160,LEN(Q160)-FIND("x",Q160)-1))-2)))</f>
        <v>63</v>
      </c>
    </row>
    <row r="161" spans="1:19" x14ac:dyDescent="0.25">
      <c r="A161" t="s">
        <v>2143</v>
      </c>
      <c r="B161" t="s">
        <v>2144</v>
      </c>
      <c r="E161" t="s">
        <v>2654</v>
      </c>
      <c r="F161" s="9">
        <f t="shared" si="7"/>
        <v>1.9</v>
      </c>
      <c r="G161" s="9">
        <f t="shared" si="8"/>
        <v>1.9</v>
      </c>
      <c r="H161" t="s">
        <v>2670</v>
      </c>
      <c r="L161" t="s">
        <v>3080</v>
      </c>
      <c r="M161" t="s">
        <v>3002</v>
      </c>
      <c r="N161" t="s">
        <v>3002</v>
      </c>
      <c r="O161" t="s">
        <v>3081</v>
      </c>
      <c r="Q161" t="s">
        <v>3846</v>
      </c>
      <c r="R161" s="52">
        <f>_xlfn.NUMBERVALUE(convertNumberStringPointToNumberComma(LEFT(Q161,FIND("x",Q161)-2)))</f>
        <v>45.5</v>
      </c>
      <c r="S161" s="52">
        <f>_xlfn.NUMBERVALUE(convertNumberStringPointToNumberComma(LEFT(RIGHT(Q161,LEN(Q161)-FIND("x",Q161)-1),LEN(RIGHT(Q161,LEN(Q161)-FIND("x",Q161)-1))-2)))</f>
        <v>23</v>
      </c>
    </row>
    <row r="162" spans="1:19" x14ac:dyDescent="0.25">
      <c r="A162" t="s">
        <v>1810</v>
      </c>
      <c r="B162" t="s">
        <v>505</v>
      </c>
      <c r="E162" t="s">
        <v>2632</v>
      </c>
      <c r="F162" s="9">
        <f t="shared" si="7"/>
        <v>2.8</v>
      </c>
      <c r="G162" s="9">
        <f t="shared" si="8"/>
        <v>2.8</v>
      </c>
      <c r="H162" t="s">
        <v>318</v>
      </c>
      <c r="M162" t="s">
        <v>8</v>
      </c>
      <c r="N162" t="s">
        <v>913</v>
      </c>
      <c r="O162" t="s">
        <v>2819</v>
      </c>
      <c r="Q162" t="s">
        <v>3695</v>
      </c>
      <c r="R162" s="52">
        <f>_xlfn.NUMBERVALUE(convertNumberStringPointToNumberComma(LEFT(Q162,FIND("x",Q162)-2)))</f>
        <v>46</v>
      </c>
      <c r="S162" s="52">
        <f>_xlfn.NUMBERVALUE(convertNumberStringPointToNumberComma(LEFT(RIGHT(Q162,LEN(Q162)-FIND("x",Q162)-1),LEN(RIGHT(Q162,LEN(Q162)-FIND("x",Q162)-1))-2)))</f>
        <v>63</v>
      </c>
    </row>
    <row r="163" spans="1:19" x14ac:dyDescent="0.25">
      <c r="A163" t="s">
        <v>2145</v>
      </c>
      <c r="B163" t="s">
        <v>2146</v>
      </c>
      <c r="E163" t="s">
        <v>2657</v>
      </c>
      <c r="F163" s="9">
        <f t="shared" si="7"/>
        <v>2</v>
      </c>
      <c r="G163" s="9">
        <f t="shared" si="8"/>
        <v>4.5</v>
      </c>
      <c r="H163" t="s">
        <v>2670</v>
      </c>
      <c r="L163" t="s">
        <v>2785</v>
      </c>
      <c r="M163" t="s">
        <v>3002</v>
      </c>
      <c r="N163" t="s">
        <v>3002</v>
      </c>
      <c r="O163" t="s">
        <v>3082</v>
      </c>
      <c r="Q163" t="s">
        <v>3847</v>
      </c>
      <c r="R163" s="52">
        <f>_xlfn.NUMBERVALUE(convertNumberStringPointToNumberComma(LEFT(Q163,FIND("x",Q163)-2)))</f>
        <v>48.5</v>
      </c>
      <c r="S163" s="52">
        <f>_xlfn.NUMBERVALUE(convertNumberStringPointToNumberComma(LEFT(RIGHT(Q163,LEN(Q163)-FIND("x",Q163)-1),LEN(RIGHT(Q163,LEN(Q163)-FIND("x",Q163)-1))-2)))</f>
        <v>48</v>
      </c>
    </row>
    <row r="164" spans="1:19" x14ac:dyDescent="0.25">
      <c r="B164" t="s">
        <v>459</v>
      </c>
      <c r="E164" t="s">
        <v>2633</v>
      </c>
      <c r="F164" s="9">
        <f t="shared" si="7"/>
        <v>4</v>
      </c>
      <c r="G164" s="9">
        <f t="shared" si="8"/>
        <v>4</v>
      </c>
      <c r="M164" t="s">
        <v>2818</v>
      </c>
      <c r="N164" t="s">
        <v>2959</v>
      </c>
      <c r="O164" t="s">
        <v>3166</v>
      </c>
      <c r="Q164" t="s">
        <v>3982</v>
      </c>
      <c r="R164" s="52">
        <f>_xlfn.NUMBERVALUE(convertNumberStringPointToNumberComma(LEFT(Q164,FIND("x",Q164)-2)))</f>
        <v>49.6</v>
      </c>
      <c r="S164" s="52">
        <f>_xlfn.NUMBERVALUE(convertNumberStringPointToNumberComma(LEFT(RIGHT(Q164,LEN(Q164)-FIND("x",Q164)-1),LEN(RIGHT(Q164,LEN(Q164)-FIND("x",Q164)-1))-2)))</f>
        <v>29.1</v>
      </c>
    </row>
    <row r="165" spans="1:19" x14ac:dyDescent="0.25">
      <c r="B165" t="s">
        <v>222</v>
      </c>
      <c r="E165" t="s">
        <v>2961</v>
      </c>
      <c r="F165" s="9">
        <f t="shared" si="7"/>
        <v>4.5</v>
      </c>
      <c r="G165" s="9">
        <f t="shared" si="8"/>
        <v>4.5</v>
      </c>
      <c r="M165" t="s">
        <v>2818</v>
      </c>
      <c r="N165" t="s">
        <v>2959</v>
      </c>
      <c r="O165" t="s">
        <v>3168</v>
      </c>
      <c r="Q165" t="s">
        <v>3984</v>
      </c>
      <c r="R165" s="52">
        <f>_xlfn.NUMBERVALUE(convertNumberStringPointToNumberComma(LEFT(Q165,FIND("x",Q165)-2)))</f>
        <v>49.6</v>
      </c>
      <c r="S165" s="52">
        <f>_xlfn.NUMBERVALUE(convertNumberStringPointToNumberComma(LEFT(RIGHT(Q165,LEN(Q165)-FIND("x",Q165)-1),LEN(RIGHT(Q165,LEN(Q165)-FIND("x",Q165)-1))-2)))</f>
        <v>30.7</v>
      </c>
    </row>
    <row r="166" spans="1:19" x14ac:dyDescent="0.25">
      <c r="A166" t="s">
        <v>2305</v>
      </c>
      <c r="B166" t="s">
        <v>1100</v>
      </c>
      <c r="E166" t="s">
        <v>2649</v>
      </c>
      <c r="F166" s="9">
        <f t="shared" si="7"/>
        <v>3.5</v>
      </c>
      <c r="G166" s="9">
        <f t="shared" si="8"/>
        <v>3.5</v>
      </c>
      <c r="L166" t="s">
        <v>2692</v>
      </c>
      <c r="M166" t="s">
        <v>3113</v>
      </c>
      <c r="N166" t="s">
        <v>903</v>
      </c>
      <c r="O166" t="s">
        <v>3114</v>
      </c>
      <c r="Q166" t="s">
        <v>3904</v>
      </c>
      <c r="R166" s="52">
        <f>_xlfn.NUMBERVALUE(convertNumberStringPointToNumberComma(LEFT(Q166,FIND("x",Q166)-2)))</f>
        <v>50</v>
      </c>
      <c r="S166" s="52">
        <f>_xlfn.NUMBERVALUE(convertNumberStringPointToNumberComma(LEFT(RIGHT(Q166,LEN(Q166)-FIND("x",Q166)-1),LEN(RIGHT(Q166,LEN(Q166)-FIND("x",Q166)-1))-2)))</f>
        <v>13</v>
      </c>
    </row>
    <row r="167" spans="1:19" x14ac:dyDescent="0.25">
      <c r="A167" t="s">
        <v>1670</v>
      </c>
      <c r="B167" t="s">
        <v>592</v>
      </c>
      <c r="E167" t="s">
        <v>2640</v>
      </c>
      <c r="F167" s="9">
        <f t="shared" si="7"/>
        <v>1.7</v>
      </c>
      <c r="G167" s="9">
        <f t="shared" si="8"/>
        <v>1.7</v>
      </c>
      <c r="H167" t="s">
        <v>2672</v>
      </c>
      <c r="M167" t="s">
        <v>2674</v>
      </c>
      <c r="N167" t="s">
        <v>903</v>
      </c>
      <c r="O167" t="s">
        <v>2771</v>
      </c>
      <c r="Q167" t="s">
        <v>3619</v>
      </c>
      <c r="R167" s="52">
        <f>_xlfn.NUMBERVALUE(convertNumberStringPointToNumberComma(LEFT(Q167,FIND("x",Q167)-2)))</f>
        <v>50</v>
      </c>
      <c r="S167" s="52">
        <f>_xlfn.NUMBERVALUE(convertNumberStringPointToNumberComma(LEFT(RIGHT(Q167,LEN(Q167)-FIND("x",Q167)-1),LEN(RIGHT(Q167,LEN(Q167)-FIND("x",Q167)-1))-2)))</f>
        <v>50</v>
      </c>
    </row>
    <row r="168" spans="1:19" x14ac:dyDescent="0.25">
      <c r="A168" t="s">
        <v>1754</v>
      </c>
      <c r="B168" t="s">
        <v>1755</v>
      </c>
      <c r="E168" t="s">
        <v>2632</v>
      </c>
      <c r="F168" s="9">
        <f t="shared" si="7"/>
        <v>2.8</v>
      </c>
      <c r="G168" s="9">
        <f t="shared" si="8"/>
        <v>2.8</v>
      </c>
      <c r="H168" t="s">
        <v>2670</v>
      </c>
      <c r="L168" s="51">
        <v>5.5555555555555552E-2</v>
      </c>
      <c r="M168" t="s">
        <v>3002</v>
      </c>
      <c r="N168" t="s">
        <v>3002</v>
      </c>
      <c r="O168" t="s">
        <v>2843</v>
      </c>
      <c r="Q168" t="s">
        <v>3662</v>
      </c>
      <c r="R168" s="52">
        <f>_xlfn.NUMBERVALUE(convertNumberStringPointToNumberComma(LEFT(Q168,FIND("x",Q168)-2)))</f>
        <v>50</v>
      </c>
      <c r="S168" s="52">
        <f>_xlfn.NUMBERVALUE(convertNumberStringPointToNumberComma(LEFT(RIGHT(Q168,LEN(Q168)-FIND("x",Q168)-1),LEN(RIGHT(Q168,LEN(Q168)-FIND("x",Q168)-1))-2)))</f>
        <v>56</v>
      </c>
    </row>
    <row r="169" spans="1:19" x14ac:dyDescent="0.25">
      <c r="A169" t="s">
        <v>2175</v>
      </c>
      <c r="B169" t="s">
        <v>1116</v>
      </c>
      <c r="E169" t="s">
        <v>2640</v>
      </c>
      <c r="F169" s="9">
        <f t="shared" si="7"/>
        <v>1.7</v>
      </c>
      <c r="G169" s="9">
        <f t="shared" si="8"/>
        <v>1.7</v>
      </c>
      <c r="H169" t="s">
        <v>2667</v>
      </c>
      <c r="M169" t="s">
        <v>2680</v>
      </c>
      <c r="N169" t="s">
        <v>2681</v>
      </c>
      <c r="O169" t="s">
        <v>388</v>
      </c>
      <c r="Q169" t="s">
        <v>3858</v>
      </c>
      <c r="R169" s="52">
        <f>_xlfn.NUMBERVALUE(convertNumberStringPointToNumberComma(LEFT(Q169,FIND("x",Q169)-2)))</f>
        <v>50</v>
      </c>
      <c r="S169" s="52">
        <f>_xlfn.NUMBERVALUE(convertNumberStringPointToNumberComma(LEFT(RIGHT(Q169,LEN(Q169)-FIND("x",Q169)-1),LEN(RIGHT(Q169,LEN(Q169)-FIND("x",Q169)-1))-2)))</f>
        <v>61.3</v>
      </c>
    </row>
    <row r="170" spans="1:19" x14ac:dyDescent="0.25">
      <c r="A170" t="s">
        <v>2184</v>
      </c>
      <c r="B170" t="s">
        <v>1116</v>
      </c>
      <c r="E170" t="s">
        <v>2640</v>
      </c>
      <c r="F170" s="9">
        <f t="shared" si="7"/>
        <v>1.7</v>
      </c>
      <c r="G170" s="9">
        <f t="shared" si="8"/>
        <v>1.7</v>
      </c>
      <c r="H170" t="s">
        <v>2667</v>
      </c>
      <c r="M170" t="s">
        <v>2674</v>
      </c>
      <c r="N170" t="s">
        <v>903</v>
      </c>
      <c r="O170" t="s">
        <v>388</v>
      </c>
      <c r="Q170" t="s">
        <v>3858</v>
      </c>
      <c r="R170" s="52">
        <f>_xlfn.NUMBERVALUE(convertNumberStringPointToNumberComma(LEFT(Q170,FIND("x",Q170)-2)))</f>
        <v>50</v>
      </c>
      <c r="S170" s="52">
        <f>_xlfn.NUMBERVALUE(convertNumberStringPointToNumberComma(LEFT(RIGHT(Q170,LEN(Q170)-FIND("x",Q170)-1),LEN(RIGHT(Q170,LEN(Q170)-FIND("x",Q170)-1))-2)))</f>
        <v>61.3</v>
      </c>
    </row>
    <row r="171" spans="1:19" x14ac:dyDescent="0.25">
      <c r="B171" t="s">
        <v>631</v>
      </c>
      <c r="E171" t="s">
        <v>2632</v>
      </c>
      <c r="F171" s="9">
        <f t="shared" si="7"/>
        <v>2.8</v>
      </c>
      <c r="G171" s="9">
        <f t="shared" si="8"/>
        <v>2.8</v>
      </c>
      <c r="H171" t="s">
        <v>2672</v>
      </c>
      <c r="M171" t="s">
        <v>2818</v>
      </c>
      <c r="N171" t="s">
        <v>2959</v>
      </c>
      <c r="O171" t="s">
        <v>3169</v>
      </c>
      <c r="Q171" t="s">
        <v>3986</v>
      </c>
      <c r="R171" s="52">
        <f>_xlfn.NUMBERVALUE(convertNumberStringPointToNumberComma(LEFT(Q171,FIND("x",Q171)-2)))</f>
        <v>51</v>
      </c>
      <c r="S171" s="52">
        <f>_xlfn.NUMBERVALUE(convertNumberStringPointToNumberComma(LEFT(RIGHT(Q171,LEN(Q171)-FIND("x",Q171)-1),LEN(RIGHT(Q171,LEN(Q171)-FIND("x",Q171)-1))-2)))</f>
        <v>12.6</v>
      </c>
    </row>
    <row r="172" spans="1:19" x14ac:dyDescent="0.25">
      <c r="A172" t="s">
        <v>2131</v>
      </c>
      <c r="B172" t="s">
        <v>552</v>
      </c>
      <c r="E172" t="s">
        <v>2647</v>
      </c>
      <c r="F172" s="9">
        <f t="shared" si="7"/>
        <v>5.6</v>
      </c>
      <c r="G172" s="9">
        <f t="shared" si="8"/>
        <v>5.6</v>
      </c>
      <c r="H172" t="s">
        <v>3062</v>
      </c>
      <c r="L172" t="s">
        <v>3076</v>
      </c>
      <c r="M172" t="s">
        <v>2818</v>
      </c>
      <c r="N172" t="s">
        <v>913</v>
      </c>
      <c r="O172" t="s">
        <v>2876</v>
      </c>
      <c r="Q172" t="s">
        <v>3844</v>
      </c>
      <c r="R172" s="52">
        <f>_xlfn.NUMBERVALUE(convertNumberStringPointToNumberComma(LEFT(Q172,FIND("x",Q172)-2)))</f>
        <v>51</v>
      </c>
      <c r="S172" s="52">
        <f>_xlfn.NUMBERVALUE(convertNumberStringPointToNumberComma(LEFT(RIGHT(Q172,LEN(Q172)-FIND("x",Q172)-1),LEN(RIGHT(Q172,LEN(Q172)-FIND("x",Q172)-1))-2)))</f>
        <v>18</v>
      </c>
    </row>
    <row r="173" spans="1:19" x14ac:dyDescent="0.25">
      <c r="B173" t="s">
        <v>592</v>
      </c>
      <c r="E173" t="s">
        <v>2658</v>
      </c>
      <c r="F173" s="9">
        <f t="shared" si="7"/>
        <v>2.5</v>
      </c>
      <c r="G173" s="9">
        <f t="shared" si="8"/>
        <v>2.5</v>
      </c>
      <c r="H173" t="s">
        <v>3138</v>
      </c>
      <c r="L173" t="s">
        <v>3161</v>
      </c>
      <c r="M173" t="s">
        <v>2818</v>
      </c>
      <c r="N173" t="s">
        <v>913</v>
      </c>
      <c r="O173" t="s">
        <v>2852</v>
      </c>
      <c r="Q173" t="s">
        <v>3976</v>
      </c>
      <c r="R173" s="52">
        <f>_xlfn.NUMBERVALUE(convertNumberStringPointToNumberComma(LEFT(Q173,FIND("x",Q173)-2)))</f>
        <v>51.4</v>
      </c>
      <c r="S173" s="52">
        <f>_xlfn.NUMBERVALUE(convertNumberStringPointToNumberComma(LEFT(RIGHT(Q173,LEN(Q173)-FIND("x",Q173)-1),LEN(RIGHT(Q173,LEN(Q173)-FIND("x",Q173)-1))-2)))</f>
        <v>34</v>
      </c>
    </row>
    <row r="174" spans="1:19" x14ac:dyDescent="0.25">
      <c r="B174" t="s">
        <v>678</v>
      </c>
      <c r="E174" t="s">
        <v>2658</v>
      </c>
      <c r="F174" s="9">
        <f t="shared" si="7"/>
        <v>2.5</v>
      </c>
      <c r="G174" s="9">
        <f t="shared" si="8"/>
        <v>2.5</v>
      </c>
      <c r="H174" t="s">
        <v>3138</v>
      </c>
      <c r="L174" t="s">
        <v>3139</v>
      </c>
      <c r="M174" t="s">
        <v>2818</v>
      </c>
      <c r="N174" t="s">
        <v>913</v>
      </c>
      <c r="O174" t="s">
        <v>17</v>
      </c>
      <c r="Q174" t="s">
        <v>3945</v>
      </c>
      <c r="R174" s="52">
        <f>_xlfn.NUMBERVALUE(convertNumberStringPointToNumberComma(LEFT(Q174,FIND("x",Q174)-2)))</f>
        <v>51.5</v>
      </c>
      <c r="S174" s="52">
        <f>_xlfn.NUMBERVALUE(convertNumberStringPointToNumberComma(LEFT(RIGHT(Q174,LEN(Q174)-FIND("x",Q174)-1),LEN(RIGHT(Q174,LEN(Q174)-FIND("x",Q174)-1))-2)))</f>
        <v>33</v>
      </c>
    </row>
    <row r="175" spans="1:19" x14ac:dyDescent="0.25">
      <c r="B175" t="s">
        <v>678</v>
      </c>
      <c r="E175" t="s">
        <v>2656</v>
      </c>
      <c r="F175" s="9">
        <f t="shared" si="7"/>
        <v>2.4</v>
      </c>
      <c r="G175" s="9">
        <f t="shared" si="8"/>
        <v>2.4</v>
      </c>
      <c r="H175" t="s">
        <v>2964</v>
      </c>
      <c r="M175" t="s">
        <v>2818</v>
      </c>
      <c r="N175" t="s">
        <v>913</v>
      </c>
      <c r="O175" t="s">
        <v>689</v>
      </c>
      <c r="Q175" t="s">
        <v>3606</v>
      </c>
      <c r="R175" s="52">
        <f>_xlfn.NUMBERVALUE(convertNumberStringPointToNumberComma(LEFT(Q175,FIND("x",Q175)-2)))</f>
        <v>52</v>
      </c>
      <c r="S175" s="52">
        <f>_xlfn.NUMBERVALUE(convertNumberStringPointToNumberComma(LEFT(RIGHT(Q175,LEN(Q175)-FIND("x",Q175)-1),LEN(RIGHT(Q175,LEN(Q175)-FIND("x",Q175)-1))-2)))</f>
        <v>33</v>
      </c>
    </row>
    <row r="176" spans="1:19" x14ac:dyDescent="0.25">
      <c r="B176" t="s">
        <v>678</v>
      </c>
      <c r="E176" t="s">
        <v>2656</v>
      </c>
      <c r="F176" s="9">
        <f t="shared" si="7"/>
        <v>2.4</v>
      </c>
      <c r="G176" s="9">
        <f t="shared" si="8"/>
        <v>2.4</v>
      </c>
      <c r="H176" t="s">
        <v>2964</v>
      </c>
      <c r="M176" t="s">
        <v>2818</v>
      </c>
      <c r="N176" t="s">
        <v>913</v>
      </c>
      <c r="O176" t="s">
        <v>689</v>
      </c>
      <c r="Q176" t="s">
        <v>3606</v>
      </c>
      <c r="R176" s="52">
        <f>_xlfn.NUMBERVALUE(convertNumberStringPointToNumberComma(LEFT(Q176,FIND("x",Q176)-2)))</f>
        <v>52</v>
      </c>
      <c r="S176" s="52">
        <f>_xlfn.NUMBERVALUE(convertNumberStringPointToNumberComma(LEFT(RIGHT(Q176,LEN(Q176)-FIND("x",Q176)-1),LEN(RIGHT(Q176,LEN(Q176)-FIND("x",Q176)-1))-2)))</f>
        <v>33</v>
      </c>
    </row>
    <row r="177" spans="1:19" x14ac:dyDescent="0.25">
      <c r="B177" t="s">
        <v>592</v>
      </c>
      <c r="E177" t="s">
        <v>2656</v>
      </c>
      <c r="F177" s="9">
        <f t="shared" si="7"/>
        <v>2.4</v>
      </c>
      <c r="G177" s="9">
        <f t="shared" si="8"/>
        <v>2.4</v>
      </c>
      <c r="H177" t="s">
        <v>2964</v>
      </c>
      <c r="M177" t="s">
        <v>2818</v>
      </c>
      <c r="N177" t="s">
        <v>913</v>
      </c>
      <c r="O177" t="s">
        <v>2794</v>
      </c>
      <c r="Q177" t="s">
        <v>3605</v>
      </c>
      <c r="R177" s="52">
        <f>_xlfn.NUMBERVALUE(convertNumberStringPointToNumberComma(LEFT(Q177,FIND("x",Q177)-2)))</f>
        <v>52</v>
      </c>
      <c r="S177" s="52">
        <f>_xlfn.NUMBERVALUE(convertNumberStringPointToNumberComma(LEFT(RIGHT(Q177,LEN(Q177)-FIND("x",Q177)-1),LEN(RIGHT(Q177,LEN(Q177)-FIND("x",Q177)-1))-2)))</f>
        <v>34</v>
      </c>
    </row>
    <row r="178" spans="1:19" x14ac:dyDescent="0.25">
      <c r="B178" t="s">
        <v>592</v>
      </c>
      <c r="E178" t="s">
        <v>2656</v>
      </c>
      <c r="F178" s="9">
        <f t="shared" si="7"/>
        <v>2.4</v>
      </c>
      <c r="G178" s="9">
        <f t="shared" si="8"/>
        <v>2.4</v>
      </c>
      <c r="H178" t="s">
        <v>2964</v>
      </c>
      <c r="M178" t="s">
        <v>2818</v>
      </c>
      <c r="N178" t="s">
        <v>913</v>
      </c>
      <c r="O178" t="s">
        <v>2794</v>
      </c>
      <c r="Q178" t="s">
        <v>3605</v>
      </c>
      <c r="R178" s="52">
        <f>_xlfn.NUMBERVALUE(convertNumberStringPointToNumberComma(LEFT(Q178,FIND("x",Q178)-2)))</f>
        <v>52</v>
      </c>
      <c r="S178" s="52">
        <f>_xlfn.NUMBERVALUE(convertNumberStringPointToNumberComma(LEFT(RIGHT(Q178,LEN(Q178)-FIND("x",Q178)-1),LEN(RIGHT(Q178,LEN(Q178)-FIND("x",Q178)-1))-2)))</f>
        <v>34</v>
      </c>
    </row>
    <row r="179" spans="1:19" x14ac:dyDescent="0.25">
      <c r="B179" t="s">
        <v>678</v>
      </c>
      <c r="E179" t="s">
        <v>2649</v>
      </c>
      <c r="F179" s="9">
        <f t="shared" si="7"/>
        <v>3.5</v>
      </c>
      <c r="G179" s="9">
        <f t="shared" si="8"/>
        <v>3.5</v>
      </c>
      <c r="H179" t="s">
        <v>1310</v>
      </c>
      <c r="M179" t="s">
        <v>2818</v>
      </c>
      <c r="N179" t="s">
        <v>2959</v>
      </c>
      <c r="O179" t="s">
        <v>3144</v>
      </c>
      <c r="Q179" t="s">
        <v>3948</v>
      </c>
      <c r="R179" s="52">
        <f>_xlfn.NUMBERVALUE(convertNumberStringPointToNumberComma(LEFT(Q179,FIND("x",Q179)-2)))</f>
        <v>52</v>
      </c>
      <c r="S179" s="52">
        <f>_xlfn.NUMBERVALUE(convertNumberStringPointToNumberComma(LEFT(RIGHT(Q179,LEN(Q179)-FIND("x",Q179)-1),LEN(RIGHT(Q179,LEN(Q179)-FIND("x",Q179)-1))-2)))</f>
        <v>43.2</v>
      </c>
    </row>
    <row r="180" spans="1:19" x14ac:dyDescent="0.25">
      <c r="B180" t="s">
        <v>552</v>
      </c>
      <c r="E180" t="s">
        <v>2632</v>
      </c>
      <c r="F180" s="9">
        <f t="shared" si="7"/>
        <v>2.8</v>
      </c>
      <c r="G180" s="9">
        <f t="shared" si="8"/>
        <v>2.8</v>
      </c>
      <c r="H180" t="s">
        <v>2824</v>
      </c>
      <c r="L180" t="s">
        <v>3152</v>
      </c>
      <c r="M180" t="s">
        <v>2818</v>
      </c>
      <c r="N180" t="s">
        <v>913</v>
      </c>
      <c r="O180" t="s">
        <v>2724</v>
      </c>
      <c r="Q180" t="s">
        <v>3965</v>
      </c>
      <c r="R180" s="52">
        <f>_xlfn.NUMBERVALUE(convertNumberStringPointToNumberComma(LEFT(Q180,FIND("x",Q180)-2)))</f>
        <v>52</v>
      </c>
      <c r="S180" s="52">
        <f>_xlfn.NUMBERVALUE(convertNumberStringPointToNumberComma(LEFT(RIGHT(Q180,LEN(Q180)-FIND("x",Q180)-1),LEN(RIGHT(Q180,LEN(Q180)-FIND("x",Q180)-1))-2)))</f>
        <v>46</v>
      </c>
    </row>
    <row r="181" spans="1:19" x14ac:dyDescent="0.25">
      <c r="B181" t="s">
        <v>863</v>
      </c>
      <c r="E181" t="s">
        <v>2633</v>
      </c>
      <c r="F181" s="9">
        <f t="shared" si="7"/>
        <v>4</v>
      </c>
      <c r="G181" s="9">
        <f t="shared" si="8"/>
        <v>4</v>
      </c>
      <c r="H181" t="s">
        <v>2824</v>
      </c>
      <c r="L181" t="s">
        <v>2687</v>
      </c>
      <c r="M181" t="s">
        <v>2818</v>
      </c>
      <c r="N181" t="s">
        <v>913</v>
      </c>
      <c r="O181" t="s">
        <v>2740</v>
      </c>
      <c r="Q181" t="s">
        <v>3968</v>
      </c>
      <c r="R181" s="52">
        <f>_xlfn.NUMBERVALUE(convertNumberStringPointToNumberComma(LEFT(Q181,FIND("x",Q181)-2)))</f>
        <v>52</v>
      </c>
      <c r="S181" s="52">
        <f>_xlfn.NUMBERVALUE(convertNumberStringPointToNumberComma(LEFT(RIGHT(Q181,LEN(Q181)-FIND("x",Q181)-1),LEN(RIGHT(Q181,LEN(Q181)-FIND("x",Q181)-1))-2)))</f>
        <v>59</v>
      </c>
    </row>
    <row r="182" spans="1:19" x14ac:dyDescent="0.25">
      <c r="B182" t="s">
        <v>863</v>
      </c>
      <c r="E182" t="s">
        <v>2633</v>
      </c>
      <c r="F182" s="9">
        <f t="shared" si="7"/>
        <v>4</v>
      </c>
      <c r="G182" s="9">
        <f t="shared" si="8"/>
        <v>4</v>
      </c>
      <c r="H182" t="s">
        <v>2824</v>
      </c>
      <c r="L182" t="s">
        <v>2687</v>
      </c>
      <c r="M182" t="s">
        <v>2818</v>
      </c>
      <c r="N182" t="s">
        <v>913</v>
      </c>
      <c r="O182" t="s">
        <v>2740</v>
      </c>
      <c r="Q182" t="s">
        <v>3968</v>
      </c>
      <c r="R182" s="52">
        <f>_xlfn.NUMBERVALUE(convertNumberStringPointToNumberComma(LEFT(Q182,FIND("x",Q182)-2)))</f>
        <v>52</v>
      </c>
      <c r="S182" s="52">
        <f>_xlfn.NUMBERVALUE(convertNumberStringPointToNumberComma(LEFT(RIGHT(Q182,LEN(Q182)-FIND("x",Q182)-1),LEN(RIGHT(Q182,LEN(Q182)-FIND("x",Q182)-1))-2)))</f>
        <v>59</v>
      </c>
    </row>
    <row r="183" spans="1:19" x14ac:dyDescent="0.25">
      <c r="A183" t="s">
        <v>1762</v>
      </c>
      <c r="B183" t="s">
        <v>592</v>
      </c>
      <c r="E183" t="s">
        <v>2638</v>
      </c>
      <c r="F183" s="9">
        <f t="shared" si="7"/>
        <v>2</v>
      </c>
      <c r="G183" s="9">
        <f t="shared" si="8"/>
        <v>2</v>
      </c>
      <c r="H183" t="s">
        <v>2824</v>
      </c>
      <c r="L183" t="s">
        <v>3003</v>
      </c>
      <c r="M183" t="s">
        <v>2818</v>
      </c>
      <c r="N183" t="s">
        <v>913</v>
      </c>
      <c r="O183" t="s">
        <v>712</v>
      </c>
      <c r="Q183" t="s">
        <v>3669</v>
      </c>
      <c r="R183" s="52">
        <f>_xlfn.NUMBERVALUE(convertNumberStringPointToNumberComma(LEFT(Q183,FIND("x",Q183)-2)))</f>
        <v>53</v>
      </c>
      <c r="S183" s="52">
        <f>_xlfn.NUMBERVALUE(convertNumberStringPointToNumberComma(LEFT(RIGHT(Q183,LEN(Q183)-FIND("x",Q183)-1),LEN(RIGHT(Q183,LEN(Q183)-FIND("x",Q183)-1))-2)))</f>
        <v>34.5</v>
      </c>
    </row>
    <row r="184" spans="1:19" x14ac:dyDescent="0.25">
      <c r="B184" t="s">
        <v>592</v>
      </c>
      <c r="E184" t="s">
        <v>2638</v>
      </c>
      <c r="F184" s="9">
        <f t="shared" si="7"/>
        <v>2</v>
      </c>
      <c r="G184" s="9">
        <f t="shared" si="8"/>
        <v>2</v>
      </c>
      <c r="H184" t="s">
        <v>2824</v>
      </c>
      <c r="L184" t="s">
        <v>3003</v>
      </c>
      <c r="M184" t="s">
        <v>2818</v>
      </c>
      <c r="N184" t="s">
        <v>913</v>
      </c>
      <c r="O184" t="s">
        <v>712</v>
      </c>
      <c r="Q184" t="s">
        <v>3669</v>
      </c>
      <c r="R184" s="52">
        <f>_xlfn.NUMBERVALUE(convertNumberStringPointToNumberComma(LEFT(Q184,FIND("x",Q184)-2)))</f>
        <v>53</v>
      </c>
      <c r="S184" s="52">
        <f>_xlfn.NUMBERVALUE(convertNumberStringPointToNumberComma(LEFT(RIGHT(Q184,LEN(Q184)-FIND("x",Q184)-1),LEN(RIGHT(Q184,LEN(Q184)-FIND("x",Q184)-1))-2)))</f>
        <v>34.5</v>
      </c>
    </row>
    <row r="185" spans="1:19" x14ac:dyDescent="0.25">
      <c r="B185" t="s">
        <v>505</v>
      </c>
      <c r="E185" t="s">
        <v>2978</v>
      </c>
      <c r="F185" s="9">
        <f t="shared" si="7"/>
        <v>3.8</v>
      </c>
      <c r="G185" s="9">
        <f t="shared" si="8"/>
        <v>3.8</v>
      </c>
      <c r="H185" t="s">
        <v>2824</v>
      </c>
      <c r="L185" t="s">
        <v>3153</v>
      </c>
      <c r="M185" t="s">
        <v>2818</v>
      </c>
      <c r="N185" t="s">
        <v>913</v>
      </c>
      <c r="O185" t="s">
        <v>2787</v>
      </c>
      <c r="Q185" t="s">
        <v>3967</v>
      </c>
      <c r="R185" s="52">
        <f>_xlfn.NUMBERVALUE(convertNumberStringPointToNumberComma(LEFT(Q185,FIND("x",Q185)-2)))</f>
        <v>53</v>
      </c>
      <c r="S185" s="52">
        <f>_xlfn.NUMBERVALUE(convertNumberStringPointToNumberComma(LEFT(RIGHT(Q185,LEN(Q185)-FIND("x",Q185)-1),LEN(RIGHT(Q185,LEN(Q185)-FIND("x",Q185)-1))-2)))</f>
        <v>40.6</v>
      </c>
    </row>
    <row r="186" spans="1:19" x14ac:dyDescent="0.25">
      <c r="B186" t="s">
        <v>552</v>
      </c>
      <c r="E186" t="s">
        <v>2638</v>
      </c>
      <c r="F186" s="9">
        <f t="shared" si="7"/>
        <v>2</v>
      </c>
      <c r="G186" s="9">
        <f t="shared" si="8"/>
        <v>2</v>
      </c>
      <c r="H186" t="s">
        <v>2669</v>
      </c>
      <c r="L186" t="s">
        <v>3152</v>
      </c>
      <c r="M186" t="s">
        <v>2818</v>
      </c>
      <c r="N186" t="s">
        <v>913</v>
      </c>
      <c r="O186" t="s">
        <v>442</v>
      </c>
      <c r="Q186" t="s">
        <v>3973</v>
      </c>
      <c r="R186" s="52">
        <f>_xlfn.NUMBERVALUE(convertNumberStringPointToNumberComma(LEFT(Q186,FIND("x",Q186)-2)))</f>
        <v>53</v>
      </c>
      <c r="S186" s="52">
        <f>_xlfn.NUMBERVALUE(convertNumberStringPointToNumberComma(LEFT(RIGHT(Q186,LEN(Q186)-FIND("x",Q186)-1),LEN(RIGHT(Q186,LEN(Q186)-FIND("x",Q186)-1))-2)))</f>
        <v>40.799999999999997</v>
      </c>
    </row>
    <row r="187" spans="1:19" x14ac:dyDescent="0.25">
      <c r="A187" t="s">
        <v>1763</v>
      </c>
      <c r="B187" t="s">
        <v>678</v>
      </c>
      <c r="E187" t="s">
        <v>2638</v>
      </c>
      <c r="F187" s="9">
        <f t="shared" si="7"/>
        <v>2</v>
      </c>
      <c r="G187" s="9">
        <f t="shared" si="8"/>
        <v>2</v>
      </c>
      <c r="H187" t="s">
        <v>2824</v>
      </c>
      <c r="L187" t="s">
        <v>2825</v>
      </c>
      <c r="M187" t="s">
        <v>2818</v>
      </c>
      <c r="N187" t="s">
        <v>913</v>
      </c>
      <c r="O187" t="s">
        <v>719</v>
      </c>
      <c r="Q187" t="s">
        <v>3670</v>
      </c>
      <c r="R187" s="52">
        <f>_xlfn.NUMBERVALUE(convertNumberStringPointToNumberComma(LEFT(Q187,FIND("x",Q187)-2)))</f>
        <v>53</v>
      </c>
      <c r="S187" s="52">
        <f>_xlfn.NUMBERVALUE(convertNumberStringPointToNumberComma(LEFT(RIGHT(Q187,LEN(Q187)-FIND("x",Q187)-1),LEN(RIGHT(Q187,LEN(Q187)-FIND("x",Q187)-1))-2)))</f>
        <v>43.5</v>
      </c>
    </row>
    <row r="188" spans="1:19" x14ac:dyDescent="0.25">
      <c r="B188" t="s">
        <v>459</v>
      </c>
      <c r="E188" t="s">
        <v>3135</v>
      </c>
      <c r="F188" s="9">
        <f t="shared" si="7"/>
        <v>3.4</v>
      </c>
      <c r="G188" s="9">
        <f t="shared" si="8"/>
        <v>3.4</v>
      </c>
      <c r="H188" t="s">
        <v>2669</v>
      </c>
      <c r="L188" t="s">
        <v>3136</v>
      </c>
      <c r="M188" t="s">
        <v>2818</v>
      </c>
      <c r="N188" t="s">
        <v>913</v>
      </c>
      <c r="O188" t="s">
        <v>3137</v>
      </c>
      <c r="Q188" t="s">
        <v>3944</v>
      </c>
      <c r="R188" s="52">
        <f>_xlfn.NUMBERVALUE(convertNumberStringPointToNumberComma(LEFT(Q188,FIND("x",Q188)-2)))</f>
        <v>53</v>
      </c>
      <c r="S188" s="52">
        <f>_xlfn.NUMBERVALUE(convertNumberStringPointToNumberComma(LEFT(RIGHT(Q188,LEN(Q188)-FIND("x",Q188)-1),LEN(RIGHT(Q188,LEN(Q188)-FIND("x",Q188)-1))-2)))</f>
        <v>43</v>
      </c>
    </row>
    <row r="189" spans="1:19" x14ac:dyDescent="0.25">
      <c r="A189" t="s">
        <v>1161</v>
      </c>
      <c r="B189" t="s">
        <v>592</v>
      </c>
      <c r="C189" s="5">
        <f>convertNumberStringPointToNumberComma(IFERROR(LEFT(B189,(FIND("-",B189)-1)),LEFT(B189,FIND("mm",B189)-1)))</f>
        <v>35</v>
      </c>
      <c r="D189" s="5">
        <f>convertNumberStringPointToNumberComma(IFERROR(RIGHT(LEFT(B189,FIND("m",B189)-1),LEN(LEFT(B189,FIND("m",B189)-1))-FIND("-",LEFT(B189,FIND("m",B189)-1))-1),C189))</f>
        <v>35</v>
      </c>
      <c r="E189" t="s">
        <v>2643</v>
      </c>
      <c r="F189" s="9">
        <f t="shared" si="7"/>
        <v>1.4</v>
      </c>
      <c r="G189" s="9">
        <f t="shared" si="8"/>
        <v>1.4</v>
      </c>
      <c r="H189" t="s">
        <v>2669</v>
      </c>
      <c r="I189" s="5" t="str">
        <f>IF(H189="none",0,LEFT(H189,LEN(H189)-2))</f>
        <v>46</v>
      </c>
      <c r="J189" s="5" t="s">
        <v>326</v>
      </c>
      <c r="K189" s="10">
        <f>IF(J189="",0,convertNumberStringPointToNumberComma(LEFT(J189,LEN(J189)-1)))</f>
        <v>0.33</v>
      </c>
      <c r="L189" t="s">
        <v>2817</v>
      </c>
      <c r="M189" t="s">
        <v>2818</v>
      </c>
      <c r="N189" t="s">
        <v>913</v>
      </c>
      <c r="O189" t="s">
        <v>2819</v>
      </c>
      <c r="P189" s="5" t="str">
        <f>LEFT(O189,LEN(O189)-1)</f>
        <v>250</v>
      </c>
      <c r="Q189" t="s">
        <v>3335</v>
      </c>
      <c r="R189" s="52">
        <f>_xlfn.NUMBERVALUE(convertNumberStringPointToNumberComma(LEFT(Q189,FIND("x",Q189)-2)))</f>
        <v>53</v>
      </c>
      <c r="S189" s="52">
        <f>_xlfn.NUMBERVALUE(convertNumberStringPointToNumberComma(LEFT(RIGHT(Q189,LEN(Q189)-FIND("x",Q189)-1),LEN(RIGHT(Q189,LEN(Q189)-FIND("x",Q189)-1))-2)))</f>
        <v>46.2</v>
      </c>
    </row>
    <row r="190" spans="1:19" x14ac:dyDescent="0.25">
      <c r="A190" t="s">
        <v>1166</v>
      </c>
      <c r="B190" t="s">
        <v>678</v>
      </c>
      <c r="C190" s="5">
        <f>convertNumberStringPointToNumberComma(IFERROR(LEFT(B190,(FIND("-",B190)-1)),LEFT(B190,FIND("mm",B190)-1)))</f>
        <v>50</v>
      </c>
      <c r="D190" s="5">
        <f>convertNumberStringPointToNumberComma(IFERROR(RIGHT(LEFT(B190,FIND("m",B190)-1),LEN(LEFT(B190,FIND("m",B190)-1))-FIND("-",LEFT(B190,FIND("m",B190)-1))-1),C190))</f>
        <v>50</v>
      </c>
      <c r="E190" t="s">
        <v>2638</v>
      </c>
      <c r="F190" s="9">
        <f t="shared" si="7"/>
        <v>2</v>
      </c>
      <c r="G190" s="9">
        <f t="shared" si="8"/>
        <v>2</v>
      </c>
      <c r="H190" t="s">
        <v>2824</v>
      </c>
      <c r="I190" s="5" t="str">
        <f>IF(H190="none",0,LEFT(H190,LEN(H190)-2))</f>
        <v>39</v>
      </c>
      <c r="J190" s="5" t="s">
        <v>68</v>
      </c>
      <c r="K190" s="10">
        <f>IF(J190="",0,convertNumberStringPointToNumberComma(LEFT(J190,LEN(J190)-1)))</f>
        <v>0.5</v>
      </c>
      <c r="L190" t="s">
        <v>2825</v>
      </c>
      <c r="M190" t="s">
        <v>2818</v>
      </c>
      <c r="N190" t="s">
        <v>913</v>
      </c>
      <c r="O190" t="s">
        <v>716</v>
      </c>
      <c r="P190" s="5" t="str">
        <f>LEFT(O190,LEN(O190)-1)</f>
        <v>300</v>
      </c>
      <c r="Q190" t="s">
        <v>3341</v>
      </c>
      <c r="R190" s="52">
        <f>_xlfn.NUMBERVALUE(convertNumberStringPointToNumberComma(LEFT(Q190,FIND("x",Q190)-2)))</f>
        <v>53</v>
      </c>
      <c r="S190" s="52">
        <f>_xlfn.NUMBERVALUE(convertNumberStringPointToNumberComma(LEFT(RIGHT(Q190,LEN(Q190)-FIND("x",Q190)-1),LEN(RIGHT(Q190,LEN(Q190)-FIND("x",Q190)-1))-2)))</f>
        <v>47</v>
      </c>
    </row>
    <row r="191" spans="1:19" x14ac:dyDescent="0.25">
      <c r="A191" t="s">
        <v>1360</v>
      </c>
      <c r="B191" t="s">
        <v>678</v>
      </c>
      <c r="E191" t="s">
        <v>2638</v>
      </c>
      <c r="F191" s="9">
        <f t="shared" si="7"/>
        <v>2</v>
      </c>
      <c r="G191" s="9">
        <f t="shared" si="8"/>
        <v>2</v>
      </c>
      <c r="H191" t="s">
        <v>2824</v>
      </c>
      <c r="L191" t="s">
        <v>2825</v>
      </c>
      <c r="M191" t="s">
        <v>2818</v>
      </c>
      <c r="N191" t="s">
        <v>913</v>
      </c>
      <c r="O191" t="s">
        <v>716</v>
      </c>
      <c r="Q191" t="s">
        <v>3341</v>
      </c>
      <c r="R191" s="52">
        <f>_xlfn.NUMBERVALUE(convertNumberStringPointToNumberComma(LEFT(Q191,FIND("x",Q191)-2)))</f>
        <v>53</v>
      </c>
      <c r="S191" s="52">
        <f>_xlfn.NUMBERVALUE(convertNumberStringPointToNumberComma(LEFT(RIGHT(Q191,LEN(Q191)-FIND("x",Q191)-1),LEN(RIGHT(Q191,LEN(Q191)-FIND("x",Q191)-1))-2)))</f>
        <v>47</v>
      </c>
    </row>
    <row r="192" spans="1:19" x14ac:dyDescent="0.25">
      <c r="B192" t="s">
        <v>592</v>
      </c>
      <c r="E192" t="s">
        <v>2640</v>
      </c>
      <c r="F192" s="9">
        <f t="shared" si="7"/>
        <v>1.7</v>
      </c>
      <c r="G192" s="9">
        <f t="shared" si="8"/>
        <v>1.7</v>
      </c>
      <c r="H192" t="s">
        <v>1186</v>
      </c>
      <c r="M192" t="s">
        <v>2818</v>
      </c>
      <c r="N192" t="s">
        <v>2959</v>
      </c>
      <c r="O192" t="s">
        <v>2968</v>
      </c>
      <c r="Q192" t="s">
        <v>3610</v>
      </c>
      <c r="R192" s="52">
        <f>_xlfn.NUMBERVALUE(convertNumberStringPointToNumberComma(LEFT(Q192,FIND("x",Q192)-2)))</f>
        <v>53</v>
      </c>
      <c r="S192" s="52">
        <f>_xlfn.NUMBERVALUE(convertNumberStringPointToNumberComma(LEFT(RIGHT(Q192,LEN(Q192)-FIND("x",Q192)-1),LEN(RIGHT(Q192,LEN(Q192)-FIND("x",Q192)-1))-2)))</f>
        <v>50.6</v>
      </c>
    </row>
    <row r="193" spans="1:19" x14ac:dyDescent="0.25">
      <c r="B193" t="s">
        <v>592</v>
      </c>
      <c r="E193" t="s">
        <v>2640</v>
      </c>
      <c r="F193" s="9">
        <f t="shared" si="7"/>
        <v>1.7</v>
      </c>
      <c r="G193" s="9">
        <f t="shared" si="8"/>
        <v>1.7</v>
      </c>
      <c r="H193" t="s">
        <v>1186</v>
      </c>
      <c r="M193" t="s">
        <v>2818</v>
      </c>
      <c r="N193" t="s">
        <v>2959</v>
      </c>
      <c r="O193" t="s">
        <v>2969</v>
      </c>
      <c r="Q193" t="s">
        <v>3610</v>
      </c>
      <c r="R193" s="52">
        <f>_xlfn.NUMBERVALUE(convertNumberStringPointToNumberComma(LEFT(Q193,FIND("x",Q193)-2)))</f>
        <v>53</v>
      </c>
      <c r="S193" s="52">
        <f>_xlfn.NUMBERVALUE(convertNumberStringPointToNumberComma(LEFT(RIGHT(Q193,LEN(Q193)-FIND("x",Q193)-1),LEN(RIGHT(Q193,LEN(Q193)-FIND("x",Q193)-1))-2)))</f>
        <v>50.6</v>
      </c>
    </row>
    <row r="194" spans="1:19" x14ac:dyDescent="0.25">
      <c r="A194" t="s">
        <v>1765</v>
      </c>
      <c r="B194" t="s">
        <v>678</v>
      </c>
      <c r="E194" t="s">
        <v>2643</v>
      </c>
      <c r="F194" s="9">
        <f t="shared" si="7"/>
        <v>1.4</v>
      </c>
      <c r="G194" s="9">
        <f t="shared" si="8"/>
        <v>1.4</v>
      </c>
      <c r="H194" t="s">
        <v>2669</v>
      </c>
      <c r="L194" t="s">
        <v>3006</v>
      </c>
      <c r="M194" t="s">
        <v>2818</v>
      </c>
      <c r="N194" t="s">
        <v>913</v>
      </c>
      <c r="O194" t="s">
        <v>719</v>
      </c>
      <c r="Q194" t="s">
        <v>3672</v>
      </c>
      <c r="R194" s="52">
        <f>_xlfn.NUMBERVALUE(convertNumberStringPointToNumberComma(LEFT(Q194,FIND("x",Q194)-2)))</f>
        <v>53.5</v>
      </c>
      <c r="S194" s="52">
        <f>_xlfn.NUMBERVALUE(convertNumberStringPointToNumberComma(LEFT(RIGHT(Q194,LEN(Q194)-FIND("x",Q194)-1),LEN(RIGHT(Q194,LEN(Q194)-FIND("x",Q194)-1))-2)))</f>
        <v>52.5</v>
      </c>
    </row>
    <row r="195" spans="1:19" x14ac:dyDescent="0.25">
      <c r="B195" t="s">
        <v>678</v>
      </c>
      <c r="E195" t="s">
        <v>2643</v>
      </c>
      <c r="F195" s="9">
        <f t="shared" si="7"/>
        <v>1.4</v>
      </c>
      <c r="G195" s="9">
        <f t="shared" si="8"/>
        <v>1.4</v>
      </c>
      <c r="H195" t="s">
        <v>2669</v>
      </c>
      <c r="L195" t="s">
        <v>3006</v>
      </c>
      <c r="M195" t="s">
        <v>2818</v>
      </c>
      <c r="N195" t="s">
        <v>913</v>
      </c>
      <c r="O195" t="s">
        <v>719</v>
      </c>
      <c r="Q195" t="s">
        <v>3672</v>
      </c>
      <c r="R195" s="52">
        <f>_xlfn.NUMBERVALUE(convertNumberStringPointToNumberComma(LEFT(Q195,FIND("x",Q195)-2)))</f>
        <v>53.5</v>
      </c>
      <c r="S195" s="52">
        <f>_xlfn.NUMBERVALUE(convertNumberStringPointToNumberComma(LEFT(RIGHT(Q195,LEN(Q195)-FIND("x",Q195)-1),LEN(RIGHT(Q195,LEN(Q195)-FIND("x",Q195)-1))-2)))</f>
        <v>52.5</v>
      </c>
    </row>
    <row r="196" spans="1:19" x14ac:dyDescent="0.25">
      <c r="A196" t="s">
        <v>2347</v>
      </c>
      <c r="B196" t="s">
        <v>2348</v>
      </c>
      <c r="E196" t="s">
        <v>3121</v>
      </c>
      <c r="F196" s="9">
        <f t="shared" si="7"/>
        <v>3</v>
      </c>
      <c r="G196" s="9">
        <f t="shared" si="8"/>
        <v>4</v>
      </c>
      <c r="H196" t="s">
        <v>2667</v>
      </c>
      <c r="L196" t="s">
        <v>3122</v>
      </c>
      <c r="M196" t="s">
        <v>3002</v>
      </c>
      <c r="N196" t="s">
        <v>3002</v>
      </c>
      <c r="O196" t="s">
        <v>2912</v>
      </c>
      <c r="Q196" t="s">
        <v>3924</v>
      </c>
      <c r="R196" s="52">
        <f>_xlfn.NUMBERVALUE(convertNumberStringPointToNumberComma(LEFT(Q196,FIND("x",Q196)-2)))</f>
        <v>54</v>
      </c>
      <c r="S196" s="52">
        <f>_xlfn.NUMBERVALUE(convertNumberStringPointToNumberComma(LEFT(RIGHT(Q196,LEN(Q196)-FIND("x",Q196)-1),LEN(RIGHT(Q196,LEN(Q196)-FIND("x",Q196)-1))-2)))</f>
        <v>38</v>
      </c>
    </row>
    <row r="197" spans="1:19" x14ac:dyDescent="0.25">
      <c r="B197" t="s">
        <v>2422</v>
      </c>
      <c r="E197" t="s">
        <v>2633</v>
      </c>
      <c r="F197" s="9">
        <f t="shared" si="7"/>
        <v>4</v>
      </c>
      <c r="G197" s="9">
        <f t="shared" si="8"/>
        <v>4</v>
      </c>
      <c r="H197" t="s">
        <v>56</v>
      </c>
      <c r="L197" t="s">
        <v>3164</v>
      </c>
      <c r="M197" t="s">
        <v>2818</v>
      </c>
      <c r="N197" t="s">
        <v>913</v>
      </c>
      <c r="O197" t="s">
        <v>719</v>
      </c>
      <c r="Q197" t="s">
        <v>3981</v>
      </c>
      <c r="R197" s="52">
        <f>_xlfn.NUMBERVALUE(convertNumberStringPointToNumberComma(LEFT(Q197,FIND("x",Q197)-2)))</f>
        <v>54</v>
      </c>
      <c r="S197" s="52">
        <f>_xlfn.NUMBERVALUE(convertNumberStringPointToNumberComma(LEFT(RIGHT(Q197,LEN(Q197)-FIND("x",Q197)-1),LEN(RIGHT(Q197,LEN(Q197)-FIND("x",Q197)-1))-2)))</f>
        <v>66</v>
      </c>
    </row>
    <row r="198" spans="1:19" x14ac:dyDescent="0.25">
      <c r="A198" t="s">
        <v>2067</v>
      </c>
      <c r="B198" t="s">
        <v>203</v>
      </c>
      <c r="E198" t="s">
        <v>3007</v>
      </c>
      <c r="F198" s="9">
        <f t="shared" si="7"/>
        <v>2.6</v>
      </c>
      <c r="G198" s="9">
        <f t="shared" si="8"/>
        <v>2.6</v>
      </c>
      <c r="H198" t="s">
        <v>318</v>
      </c>
      <c r="M198" t="s">
        <v>2674</v>
      </c>
      <c r="N198" t="s">
        <v>913</v>
      </c>
      <c r="O198" t="s">
        <v>825</v>
      </c>
      <c r="Q198" t="s">
        <v>3822</v>
      </c>
      <c r="R198" s="52">
        <f>_xlfn.NUMBERVALUE(convertNumberStringPointToNumberComma(LEFT(Q198,FIND("x",Q198)-2)))</f>
        <v>55</v>
      </c>
      <c r="S198" s="52">
        <f>_xlfn.NUMBERVALUE(convertNumberStringPointToNumberComma(LEFT(RIGHT(Q198,LEN(Q198)-FIND("x",Q198)-1),LEN(RIGHT(Q198,LEN(Q198)-FIND("x",Q198)-1))-2)))</f>
        <v>122</v>
      </c>
    </row>
    <row r="199" spans="1:19" x14ac:dyDescent="0.25">
      <c r="A199" t="s">
        <v>2315</v>
      </c>
      <c r="B199" t="s">
        <v>203</v>
      </c>
      <c r="E199" t="s">
        <v>3007</v>
      </c>
      <c r="F199" s="9">
        <f t="shared" si="7"/>
        <v>2.6</v>
      </c>
      <c r="G199" s="9">
        <f t="shared" si="8"/>
        <v>2.6</v>
      </c>
      <c r="H199" t="s">
        <v>318</v>
      </c>
      <c r="M199" t="s">
        <v>2748</v>
      </c>
      <c r="N199" t="s">
        <v>913</v>
      </c>
      <c r="O199" t="s">
        <v>825</v>
      </c>
      <c r="Q199" t="s">
        <v>3822</v>
      </c>
      <c r="R199" s="52">
        <f>_xlfn.NUMBERVALUE(convertNumberStringPointToNumberComma(LEFT(Q199,FIND("x",Q199)-2)))</f>
        <v>55</v>
      </c>
      <c r="S199" s="52">
        <f>_xlfn.NUMBERVALUE(convertNumberStringPointToNumberComma(LEFT(RIGHT(Q199,LEN(Q199)-FIND("x",Q199)-1),LEN(RIGHT(Q199,LEN(Q199)-FIND("x",Q199)-1))-2)))</f>
        <v>122</v>
      </c>
    </row>
    <row r="200" spans="1:19" x14ac:dyDescent="0.25">
      <c r="B200" t="s">
        <v>203</v>
      </c>
      <c r="E200" t="s">
        <v>3007</v>
      </c>
      <c r="F200" s="9">
        <f t="shared" si="7"/>
        <v>2.6</v>
      </c>
      <c r="G200" s="9">
        <f t="shared" si="8"/>
        <v>2.6</v>
      </c>
      <c r="H200" t="s">
        <v>318</v>
      </c>
      <c r="M200" t="s">
        <v>8</v>
      </c>
      <c r="N200" t="s">
        <v>913</v>
      </c>
      <c r="O200" t="s">
        <v>825</v>
      </c>
      <c r="Q200" t="s">
        <v>3822</v>
      </c>
      <c r="R200" s="52">
        <f>_xlfn.NUMBERVALUE(convertNumberStringPointToNumberComma(LEFT(Q200,FIND("x",Q200)-2)))</f>
        <v>55</v>
      </c>
      <c r="S200" s="52">
        <f>_xlfn.NUMBERVALUE(convertNumberStringPointToNumberComma(LEFT(RIGHT(Q200,LEN(Q200)-FIND("x",Q200)-1),LEN(RIGHT(Q200,LEN(Q200)-FIND("x",Q200)-1))-2)))</f>
        <v>122</v>
      </c>
    </row>
    <row r="201" spans="1:19" x14ac:dyDescent="0.25">
      <c r="B201" t="s">
        <v>203</v>
      </c>
      <c r="E201" t="s">
        <v>3007</v>
      </c>
      <c r="F201" s="9">
        <f t="shared" si="7"/>
        <v>2.6</v>
      </c>
      <c r="G201" s="9">
        <f t="shared" si="8"/>
        <v>2.6</v>
      </c>
      <c r="H201" t="s">
        <v>318</v>
      </c>
      <c r="M201" t="s">
        <v>2915</v>
      </c>
      <c r="N201" t="s">
        <v>913</v>
      </c>
      <c r="O201" t="s">
        <v>825</v>
      </c>
      <c r="Q201" t="s">
        <v>3822</v>
      </c>
      <c r="R201" s="52">
        <f>_xlfn.NUMBERVALUE(convertNumberStringPointToNumberComma(LEFT(Q201,FIND("x",Q201)-2)))</f>
        <v>55</v>
      </c>
      <c r="S201" s="52">
        <f>_xlfn.NUMBERVALUE(convertNumberStringPointToNumberComma(LEFT(RIGHT(Q201,LEN(Q201)-FIND("x",Q201)-1),LEN(RIGHT(Q201,LEN(Q201)-FIND("x",Q201)-1))-2)))</f>
        <v>122</v>
      </c>
    </row>
    <row r="202" spans="1:19" x14ac:dyDescent="0.25">
      <c r="B202" t="s">
        <v>203</v>
      </c>
      <c r="E202" t="s">
        <v>3007</v>
      </c>
      <c r="F202" s="9">
        <f t="shared" ref="F202:F212" si="9">convertNumberStringPointToNumberComma(LEFT(MID(E202,3,9),IFERROR(FIND("-",MID(E202,3,9))-2,3)))</f>
        <v>2.6</v>
      </c>
      <c r="G202" s="9">
        <f t="shared" ref="G202:G212" si="10">convertNumberStringPointToNumberComma(RIGHT(E202,IF(ISERROR(FIND(".",RIGHT(E202,3))),1,3)))</f>
        <v>2.6</v>
      </c>
      <c r="H202" t="s">
        <v>318</v>
      </c>
      <c r="M202" t="s">
        <v>2818</v>
      </c>
      <c r="N202" t="s">
        <v>913</v>
      </c>
      <c r="O202" t="s">
        <v>825</v>
      </c>
      <c r="Q202" t="s">
        <v>3822</v>
      </c>
      <c r="R202" s="52">
        <f>_xlfn.NUMBERVALUE(convertNumberStringPointToNumberComma(LEFT(Q202,FIND("x",Q202)-2)))</f>
        <v>55</v>
      </c>
      <c r="S202" s="52">
        <f>_xlfn.NUMBERVALUE(convertNumberStringPointToNumberComma(LEFT(RIGHT(Q202,LEN(Q202)-FIND("x",Q202)-1),LEN(RIGHT(Q202,LEN(Q202)-FIND("x",Q202)-1))-2)))</f>
        <v>122</v>
      </c>
    </row>
    <row r="203" spans="1:19" x14ac:dyDescent="0.25">
      <c r="B203" t="s">
        <v>203</v>
      </c>
      <c r="E203" t="s">
        <v>3007</v>
      </c>
      <c r="F203" s="9">
        <f t="shared" si="9"/>
        <v>2.6</v>
      </c>
      <c r="G203" s="9">
        <f t="shared" si="10"/>
        <v>2.6</v>
      </c>
      <c r="H203" t="s">
        <v>318</v>
      </c>
      <c r="M203" t="s">
        <v>2680</v>
      </c>
      <c r="N203" t="s">
        <v>913</v>
      </c>
      <c r="O203" t="s">
        <v>825</v>
      </c>
      <c r="Q203" t="s">
        <v>3822</v>
      </c>
      <c r="R203" s="52">
        <f>_xlfn.NUMBERVALUE(convertNumberStringPointToNumberComma(LEFT(Q203,FIND("x",Q203)-2)))</f>
        <v>55</v>
      </c>
      <c r="S203" s="52">
        <f>_xlfn.NUMBERVALUE(convertNumberStringPointToNumberComma(LEFT(RIGHT(Q203,LEN(Q203)-FIND("x",Q203)-1),LEN(RIGHT(Q203,LEN(Q203)-FIND("x",Q203)-1))-2)))</f>
        <v>122</v>
      </c>
    </row>
    <row r="204" spans="1:19" x14ac:dyDescent="0.25">
      <c r="B204" t="s">
        <v>203</v>
      </c>
      <c r="E204" t="s">
        <v>3007</v>
      </c>
      <c r="F204" s="9">
        <f t="shared" si="9"/>
        <v>2.6</v>
      </c>
      <c r="G204" s="9">
        <f t="shared" si="10"/>
        <v>2.6</v>
      </c>
      <c r="H204" t="s">
        <v>318</v>
      </c>
      <c r="M204" t="s">
        <v>2682</v>
      </c>
      <c r="N204" t="s">
        <v>913</v>
      </c>
      <c r="O204" t="s">
        <v>825</v>
      </c>
      <c r="Q204" t="s">
        <v>3822</v>
      </c>
      <c r="R204" s="52">
        <f>_xlfn.NUMBERVALUE(convertNumberStringPointToNumberComma(LEFT(Q204,FIND("x",Q204)-2)))</f>
        <v>55</v>
      </c>
      <c r="S204" s="52">
        <f>_xlfn.NUMBERVALUE(convertNumberStringPointToNumberComma(LEFT(RIGHT(Q204,LEN(Q204)-FIND("x",Q204)-1),LEN(RIGHT(Q204,LEN(Q204)-FIND("x",Q204)-1))-2)))</f>
        <v>122</v>
      </c>
    </row>
    <row r="205" spans="1:19" x14ac:dyDescent="0.25">
      <c r="B205" t="s">
        <v>592</v>
      </c>
      <c r="E205" t="s">
        <v>2658</v>
      </c>
      <c r="F205" s="9">
        <f t="shared" si="9"/>
        <v>2.5</v>
      </c>
      <c r="G205" s="9">
        <f t="shared" si="10"/>
        <v>2.5</v>
      </c>
      <c r="M205" t="s">
        <v>2818</v>
      </c>
      <c r="N205" t="s">
        <v>2959</v>
      </c>
      <c r="O205" t="s">
        <v>2928</v>
      </c>
      <c r="Q205" t="s">
        <v>3983</v>
      </c>
      <c r="R205" s="52">
        <f>_xlfn.NUMBERVALUE(convertNumberStringPointToNumberComma(LEFT(Q205,FIND("x",Q205)-2)))</f>
        <v>55</v>
      </c>
      <c r="S205" s="52">
        <f>_xlfn.NUMBERVALUE(convertNumberStringPointToNumberComma(LEFT(RIGHT(Q205,LEN(Q205)-FIND("x",Q205)-1),LEN(RIGHT(Q205,LEN(Q205)-FIND("x",Q205)-1))-2)))</f>
        <v>23</v>
      </c>
    </row>
    <row r="206" spans="1:19" x14ac:dyDescent="0.25">
      <c r="B206" t="s">
        <v>459</v>
      </c>
      <c r="E206" t="s">
        <v>2633</v>
      </c>
      <c r="F206" s="9">
        <f t="shared" si="9"/>
        <v>4</v>
      </c>
      <c r="G206" s="9">
        <f t="shared" si="10"/>
        <v>4</v>
      </c>
      <c r="M206" t="s">
        <v>2818</v>
      </c>
      <c r="N206" t="s">
        <v>2959</v>
      </c>
      <c r="O206" t="s">
        <v>3170</v>
      </c>
      <c r="Q206" t="s">
        <v>3988</v>
      </c>
      <c r="R206" s="52">
        <f>_xlfn.NUMBERVALUE(convertNumberStringPointToNumberComma(LEFT(Q206,FIND("x",Q206)-2)))</f>
        <v>55</v>
      </c>
      <c r="S206" s="52">
        <f>_xlfn.NUMBERVALUE(convertNumberStringPointToNumberComma(LEFT(RIGHT(Q206,LEN(Q206)-FIND("x",Q206)-1),LEN(RIGHT(Q206,LEN(Q206)-FIND("x",Q206)-1))-2)))</f>
        <v>25.4</v>
      </c>
    </row>
    <row r="207" spans="1:19" x14ac:dyDescent="0.25">
      <c r="B207" t="s">
        <v>592</v>
      </c>
      <c r="E207" t="s">
        <v>2643</v>
      </c>
      <c r="F207" s="9">
        <f t="shared" si="9"/>
        <v>1.4</v>
      </c>
      <c r="G207" s="9">
        <f t="shared" si="10"/>
        <v>1.4</v>
      </c>
      <c r="H207" t="s">
        <v>1186</v>
      </c>
      <c r="M207" t="s">
        <v>2818</v>
      </c>
      <c r="N207" t="s">
        <v>2959</v>
      </c>
      <c r="O207" t="s">
        <v>597</v>
      </c>
      <c r="Q207" t="s">
        <v>3990</v>
      </c>
      <c r="R207" s="52">
        <f>_xlfn.NUMBERVALUE(convertNumberStringPointToNumberComma(LEFT(Q207,FIND("x",Q207)-2)))</f>
        <v>55</v>
      </c>
      <c r="S207" s="52">
        <f>_xlfn.NUMBERVALUE(convertNumberStringPointToNumberComma(LEFT(RIGHT(Q207,LEN(Q207)-FIND("x",Q207)-1),LEN(RIGHT(Q207,LEN(Q207)-FIND("x",Q207)-1))-2)))</f>
        <v>28.5</v>
      </c>
    </row>
    <row r="208" spans="1:19" x14ac:dyDescent="0.25">
      <c r="A208" t="s">
        <v>1644</v>
      </c>
      <c r="B208" t="s">
        <v>631</v>
      </c>
      <c r="E208" t="s">
        <v>2643</v>
      </c>
      <c r="F208" s="9">
        <f t="shared" si="9"/>
        <v>1.4</v>
      </c>
      <c r="G208" s="9">
        <f t="shared" si="10"/>
        <v>1.4</v>
      </c>
      <c r="M208" t="s">
        <v>2818</v>
      </c>
      <c r="N208" t="s">
        <v>2959</v>
      </c>
      <c r="O208" t="s">
        <v>2936</v>
      </c>
      <c r="Q208" t="s">
        <v>3591</v>
      </c>
      <c r="R208" s="52">
        <f>_xlfn.NUMBERVALUE(convertNumberStringPointToNumberComma(LEFT(Q208,FIND("x",Q208)-2)))</f>
        <v>55</v>
      </c>
      <c r="S208" s="52">
        <f>_xlfn.NUMBERVALUE(convertNumberStringPointToNumberComma(LEFT(RIGHT(Q208,LEN(Q208)-FIND("x",Q208)-1),LEN(RIGHT(Q208,LEN(Q208)-FIND("x",Q208)-1))-2)))</f>
        <v>29.7</v>
      </c>
    </row>
    <row r="209" spans="1:19" x14ac:dyDescent="0.25">
      <c r="A209" t="s">
        <v>967</v>
      </c>
      <c r="B209" t="s">
        <v>968</v>
      </c>
      <c r="C209" s="5">
        <f>convertNumberStringPointToNumberComma(IFERROR(LEFT(B209,(FIND("-",B209)-1)),LEFT(B209,FIND("mm",B209)-1)))</f>
        <v>7.5</v>
      </c>
      <c r="D209" s="5">
        <f>convertNumberStringPointToNumberComma(IFERROR(RIGHT(LEFT(B209,FIND("m",B209)-1),LEN(LEFT(B209,FIND("m",B209)-1))-FIND("-",LEFT(B209,FIND("m",B209)-1))-1),C209))</f>
        <v>7.5</v>
      </c>
      <c r="E209" t="s">
        <v>2638</v>
      </c>
      <c r="F209" s="9">
        <f t="shared" si="9"/>
        <v>2</v>
      </c>
      <c r="G209" s="9">
        <f t="shared" si="10"/>
        <v>2</v>
      </c>
      <c r="H209" t="s">
        <v>2669</v>
      </c>
      <c r="I209" s="5" t="str">
        <f>IF(H209="none",0,LEFT(H209,LEN(H209)-2))</f>
        <v>46</v>
      </c>
      <c r="J209" s="12" t="s">
        <v>872</v>
      </c>
      <c r="K209" s="10">
        <f>IF(J209="",0,convertNumberStringPointToNumberComma(LEFT(J209,LEN(J209)-1)))</f>
        <v>0.06</v>
      </c>
      <c r="L209" t="s">
        <v>2692</v>
      </c>
      <c r="M209" t="s">
        <v>2680</v>
      </c>
      <c r="N209" t="s">
        <v>2680</v>
      </c>
      <c r="O209" t="s">
        <v>2720</v>
      </c>
      <c r="P209" s="5" t="str">
        <f>LEFT(O209,LEN(O209)-1)</f>
        <v>170</v>
      </c>
      <c r="Q209" t="s">
        <v>3230</v>
      </c>
      <c r="R209" s="52">
        <f>_xlfn.NUMBERVALUE(convertNumberStringPointToNumberComma(LEFT(Q209,FIND("x",Q209)-2)))</f>
        <v>55</v>
      </c>
      <c r="S209" s="52">
        <f>_xlfn.NUMBERVALUE(convertNumberStringPointToNumberComma(LEFT(RIGHT(Q209,LEN(Q209)-FIND("x",Q209)-1),LEN(RIGHT(Q209,LEN(Q209)-FIND("x",Q209)-1))-2)))</f>
        <v>50</v>
      </c>
    </row>
    <row r="210" spans="1:19" x14ac:dyDescent="0.25">
      <c r="A210" t="s">
        <v>1081</v>
      </c>
      <c r="B210" t="s">
        <v>1082</v>
      </c>
      <c r="C210" s="5">
        <f>convertNumberStringPointToNumberComma(IFERROR(LEFT(B210,(FIND("-",B210)-1)),LEFT(B210,FIND("mm",B210)-1)))</f>
        <v>42.5</v>
      </c>
      <c r="D210" s="5">
        <f>convertNumberStringPointToNumberComma(IFERROR(RIGHT(LEFT(B210,FIND("m",B210)-1),LEN(LEFT(B210,FIND("m",B210)-1))-FIND("-",LEFT(B210,FIND("m",B210)-1))-1),C210))</f>
        <v>42.5</v>
      </c>
      <c r="E210" t="s">
        <v>2640</v>
      </c>
      <c r="F210" s="9">
        <f t="shared" si="9"/>
        <v>1.7</v>
      </c>
      <c r="G210" s="9">
        <f t="shared" si="10"/>
        <v>1.7</v>
      </c>
      <c r="H210" t="s">
        <v>2672</v>
      </c>
      <c r="I210" s="5" t="str">
        <f>IF(H210="none",0,LEFT(H210,LEN(H210)-2))</f>
        <v>37</v>
      </c>
      <c r="J210" s="5" t="s">
        <v>349</v>
      </c>
      <c r="K210" s="10">
        <f>IF(J210="",0,convertNumberStringPointToNumberComma(LEFT(J210,LEN(J210)-1)))</f>
        <v>0.32</v>
      </c>
      <c r="L210" t="s">
        <v>2698</v>
      </c>
      <c r="M210" t="s">
        <v>2680</v>
      </c>
      <c r="N210" t="s">
        <v>2681</v>
      </c>
      <c r="O210" t="s">
        <v>2779</v>
      </c>
      <c r="P210" s="5" t="str">
        <f>LEFT(O210,LEN(O210)-1)</f>
        <v>130</v>
      </c>
      <c r="Q210" t="s">
        <v>3230</v>
      </c>
      <c r="R210" s="52">
        <f>_xlfn.NUMBERVALUE(convertNumberStringPointToNumberComma(LEFT(Q210,FIND("x",Q210)-2)))</f>
        <v>55</v>
      </c>
      <c r="S210" s="52">
        <f>_xlfn.NUMBERVALUE(convertNumberStringPointToNumberComma(LEFT(RIGHT(Q210,LEN(Q210)-FIND("x",Q210)-1),LEN(RIGHT(Q210,LEN(Q210)-FIND("x",Q210)-1))-2)))</f>
        <v>50</v>
      </c>
    </row>
    <row r="211" spans="1:19" x14ac:dyDescent="0.25">
      <c r="A211" t="s">
        <v>1604</v>
      </c>
      <c r="B211" t="s">
        <v>968</v>
      </c>
      <c r="E211" t="s">
        <v>2638</v>
      </c>
      <c r="F211" s="9">
        <f t="shared" si="9"/>
        <v>2</v>
      </c>
      <c r="G211" s="9">
        <f t="shared" si="10"/>
        <v>2</v>
      </c>
      <c r="H211" t="s">
        <v>2669</v>
      </c>
      <c r="L211" t="s">
        <v>2692</v>
      </c>
      <c r="M211" t="s">
        <v>2680</v>
      </c>
      <c r="N211" t="s">
        <v>2680</v>
      </c>
      <c r="O211" t="s">
        <v>2720</v>
      </c>
      <c r="Q211" t="s">
        <v>3230</v>
      </c>
      <c r="R211" s="52">
        <f>_xlfn.NUMBERVALUE(convertNumberStringPointToNumberComma(LEFT(Q211,FIND("x",Q211)-2)))</f>
        <v>55</v>
      </c>
      <c r="S211" s="52">
        <f>_xlfn.NUMBERVALUE(convertNumberStringPointToNumberComma(LEFT(RIGHT(Q211,LEN(Q211)-FIND("x",Q211)-1),LEN(RIGHT(Q211,LEN(Q211)-FIND("x",Q211)-1))-2)))</f>
        <v>50</v>
      </c>
    </row>
    <row r="212" spans="1:19" x14ac:dyDescent="0.25">
      <c r="A212" t="s">
        <v>1605</v>
      </c>
      <c r="B212" t="s">
        <v>968</v>
      </c>
      <c r="E212" t="s">
        <v>2638</v>
      </c>
      <c r="F212" s="9">
        <f t="shared" si="9"/>
        <v>2</v>
      </c>
      <c r="G212" s="9">
        <f t="shared" si="10"/>
        <v>2</v>
      </c>
      <c r="H212" t="s">
        <v>2669</v>
      </c>
      <c r="L212" t="s">
        <v>2692</v>
      </c>
      <c r="M212" t="s">
        <v>2680</v>
      </c>
      <c r="N212" t="s">
        <v>2680</v>
      </c>
      <c r="O212" t="s">
        <v>2799</v>
      </c>
      <c r="Q212" t="s">
        <v>3230</v>
      </c>
      <c r="R212" s="52">
        <f>_xlfn.NUMBERVALUE(convertNumberStringPointToNumberComma(LEFT(Q212,FIND("x",Q212)-2)))</f>
        <v>55</v>
      </c>
      <c r="S212" s="52">
        <f>_xlfn.NUMBERVALUE(convertNumberStringPointToNumberComma(LEFT(RIGHT(Q212,LEN(Q212)-FIND("x",Q212)-1),LEN(RIGHT(Q212,LEN(Q212)-FIND("x",Q212)-1))-2)))</f>
        <v>50</v>
      </c>
    </row>
    <row r="213" spans="1:19" x14ac:dyDescent="0.25">
      <c r="A213" t="s">
        <v>1606</v>
      </c>
      <c r="B213" t="s">
        <v>968</v>
      </c>
      <c r="E213" t="s">
        <v>2638</v>
      </c>
      <c r="H213" t="s">
        <v>2669</v>
      </c>
      <c r="L213" t="s">
        <v>2692</v>
      </c>
      <c r="M213" t="s">
        <v>2680</v>
      </c>
      <c r="N213" t="s">
        <v>2680</v>
      </c>
      <c r="O213" t="s">
        <v>2799</v>
      </c>
      <c r="Q213" t="s">
        <v>3230</v>
      </c>
      <c r="R213" s="52">
        <f>_xlfn.NUMBERVALUE(convertNumberStringPointToNumberComma(LEFT(Q213,FIND("x",Q213)-2)))</f>
        <v>55</v>
      </c>
      <c r="S213" s="52">
        <f>_xlfn.NUMBERVALUE(convertNumberStringPointToNumberComma(LEFT(RIGHT(Q213,LEN(Q213)-FIND("x",Q213)-1),LEN(RIGHT(Q213,LEN(Q213)-FIND("x",Q213)-1))-2)))</f>
        <v>50</v>
      </c>
    </row>
    <row r="214" spans="1:19" x14ac:dyDescent="0.25">
      <c r="B214" t="s">
        <v>552</v>
      </c>
      <c r="E214" t="s">
        <v>2638</v>
      </c>
      <c r="H214" t="s">
        <v>2669</v>
      </c>
      <c r="M214" t="s">
        <v>2818</v>
      </c>
      <c r="N214" t="s">
        <v>2959</v>
      </c>
      <c r="O214" t="s">
        <v>3145</v>
      </c>
      <c r="Q214" t="s">
        <v>3951</v>
      </c>
      <c r="R214" s="52">
        <f>_xlfn.NUMBERVALUE(convertNumberStringPointToNumberComma(LEFT(Q214,FIND("x",Q214)-2)))</f>
        <v>55</v>
      </c>
      <c r="S214" s="52">
        <f>_xlfn.NUMBERVALUE(convertNumberStringPointToNumberComma(LEFT(RIGHT(Q214,LEN(Q214)-FIND("x",Q214)-1),LEN(RIGHT(Q214,LEN(Q214)-FIND("x",Q214)-1))-2)))</f>
        <v>51.2</v>
      </c>
    </row>
    <row r="215" spans="1:19" x14ac:dyDescent="0.25">
      <c r="B215" t="s">
        <v>1357</v>
      </c>
      <c r="E215" t="s">
        <v>2656</v>
      </c>
      <c r="H215" t="s">
        <v>2964</v>
      </c>
      <c r="M215" t="s">
        <v>2818</v>
      </c>
      <c r="N215" t="s">
        <v>913</v>
      </c>
      <c r="O215" t="s">
        <v>2965</v>
      </c>
      <c r="Q215" t="s">
        <v>3607</v>
      </c>
      <c r="R215" s="52">
        <f>_xlfn.NUMBERVALUE(convertNumberStringPointToNumberComma(LEFT(Q215,FIND("x",Q215)-2)))</f>
        <v>55</v>
      </c>
      <c r="S215" s="52">
        <f>_xlfn.NUMBERVALUE(convertNumberStringPointToNumberComma(LEFT(RIGHT(Q215,LEN(Q215)-FIND("x",Q215)-1),LEN(RIGHT(Q215,LEN(Q215)-FIND("x",Q215)-1))-2)))</f>
        <v>60.5</v>
      </c>
    </row>
    <row r="216" spans="1:19" x14ac:dyDescent="0.25">
      <c r="B216" t="s">
        <v>1357</v>
      </c>
      <c r="E216" t="s">
        <v>2656</v>
      </c>
      <c r="H216" t="s">
        <v>2964</v>
      </c>
      <c r="M216" t="s">
        <v>2818</v>
      </c>
      <c r="N216" t="s">
        <v>913</v>
      </c>
      <c r="O216" t="s">
        <v>2965</v>
      </c>
      <c r="Q216" t="s">
        <v>3607</v>
      </c>
      <c r="R216" s="52">
        <f>_xlfn.NUMBERVALUE(convertNumberStringPointToNumberComma(LEFT(Q216,FIND("x",Q216)-2)))</f>
        <v>55</v>
      </c>
      <c r="S216" s="52">
        <f>_xlfn.NUMBERVALUE(convertNumberStringPointToNumberComma(LEFT(RIGHT(Q216,LEN(Q216)-FIND("x",Q216)-1),LEN(RIGHT(Q216,LEN(Q216)-FIND("x",Q216)-1))-2)))</f>
        <v>60.5</v>
      </c>
    </row>
    <row r="217" spans="1:19" x14ac:dyDescent="0.25">
      <c r="B217" t="s">
        <v>1357</v>
      </c>
      <c r="E217" t="s">
        <v>2658</v>
      </c>
      <c r="H217" t="s">
        <v>2964</v>
      </c>
      <c r="L217" t="s">
        <v>3158</v>
      </c>
      <c r="M217" t="s">
        <v>2818</v>
      </c>
      <c r="N217" t="s">
        <v>913</v>
      </c>
      <c r="O217" t="s">
        <v>2719</v>
      </c>
      <c r="Q217" t="s">
        <v>3607</v>
      </c>
      <c r="R217" s="52">
        <f>_xlfn.NUMBERVALUE(convertNumberStringPointToNumberComma(LEFT(Q217,FIND("x",Q217)-2)))</f>
        <v>55</v>
      </c>
      <c r="S217" s="52">
        <f>_xlfn.NUMBERVALUE(convertNumberStringPointToNumberComma(LEFT(RIGHT(Q217,LEN(Q217)-FIND("x",Q217)-1),LEN(RIGHT(Q217,LEN(Q217)-FIND("x",Q217)-1))-2)))</f>
        <v>60.5</v>
      </c>
    </row>
    <row r="218" spans="1:19" x14ac:dyDescent="0.25">
      <c r="B218" t="s">
        <v>863</v>
      </c>
      <c r="E218" t="s">
        <v>2658</v>
      </c>
      <c r="H218" t="s">
        <v>2964</v>
      </c>
      <c r="L218" t="s">
        <v>3157</v>
      </c>
      <c r="M218" t="s">
        <v>2818</v>
      </c>
      <c r="N218" t="s">
        <v>913</v>
      </c>
      <c r="O218" t="s">
        <v>2826</v>
      </c>
      <c r="Q218" t="s">
        <v>3974</v>
      </c>
      <c r="R218" s="52">
        <f>_xlfn.NUMBERVALUE(convertNumberStringPointToNumberComma(LEFT(Q218,FIND("x",Q218)-2)))</f>
        <v>55</v>
      </c>
      <c r="S218" s="52">
        <f>_xlfn.NUMBERVALUE(convertNumberStringPointToNumberComma(LEFT(RIGHT(Q218,LEN(Q218)-FIND("x",Q218)-1),LEN(RIGHT(Q218,LEN(Q218)-FIND("x",Q218)-1))-2)))</f>
        <v>66.5</v>
      </c>
    </row>
    <row r="219" spans="1:19" x14ac:dyDescent="0.25">
      <c r="B219" t="s">
        <v>863</v>
      </c>
      <c r="E219" t="s">
        <v>2656</v>
      </c>
      <c r="H219" t="s">
        <v>2964</v>
      </c>
      <c r="M219" t="s">
        <v>2818</v>
      </c>
      <c r="N219" t="s">
        <v>913</v>
      </c>
      <c r="O219" t="s">
        <v>2966</v>
      </c>
      <c r="Q219" t="s">
        <v>3608</v>
      </c>
      <c r="R219" s="52">
        <f>_xlfn.NUMBERVALUE(convertNumberStringPointToNumberComma(LEFT(Q219,FIND("x",Q219)-2)))</f>
        <v>55</v>
      </c>
      <c r="S219" s="52">
        <f>_xlfn.NUMBERVALUE(convertNumberStringPointToNumberComma(LEFT(RIGHT(Q219,LEN(Q219)-FIND("x",Q219)-1),LEN(RIGHT(Q219,LEN(Q219)-FIND("x",Q219)-1))-2)))</f>
        <v>67</v>
      </c>
    </row>
    <row r="220" spans="1:19" x14ac:dyDescent="0.25">
      <c r="B220" t="s">
        <v>863</v>
      </c>
      <c r="E220" t="s">
        <v>2656</v>
      </c>
      <c r="H220" t="s">
        <v>2964</v>
      </c>
      <c r="M220" t="s">
        <v>2818</v>
      </c>
      <c r="N220" t="s">
        <v>913</v>
      </c>
      <c r="O220" t="s">
        <v>2966</v>
      </c>
      <c r="Q220" t="s">
        <v>3608</v>
      </c>
      <c r="R220" s="52">
        <f>_xlfn.NUMBERVALUE(convertNumberStringPointToNumberComma(LEFT(Q220,FIND("x",Q220)-2)))</f>
        <v>55</v>
      </c>
      <c r="S220" s="52">
        <f>_xlfn.NUMBERVALUE(convertNumberStringPointToNumberComma(LEFT(RIGHT(Q220,LEN(Q220)-FIND("x",Q220)-1),LEN(RIGHT(Q220,LEN(Q220)-FIND("x",Q220)-1))-2)))</f>
        <v>67</v>
      </c>
    </row>
    <row r="221" spans="1:19" x14ac:dyDescent="0.25">
      <c r="A221" t="s">
        <v>2216</v>
      </c>
      <c r="B221" t="s">
        <v>592</v>
      </c>
      <c r="E221" t="s">
        <v>2643</v>
      </c>
      <c r="H221" t="s">
        <v>318</v>
      </c>
      <c r="M221" t="s">
        <v>2748</v>
      </c>
      <c r="N221" t="s">
        <v>903</v>
      </c>
      <c r="O221" t="s">
        <v>395</v>
      </c>
      <c r="Q221" t="s">
        <v>3872</v>
      </c>
      <c r="R221" s="52">
        <f>_xlfn.NUMBERVALUE(convertNumberStringPointToNumberComma(LEFT(Q221,FIND("x",Q221)-2)))</f>
        <v>55</v>
      </c>
      <c r="S221" s="52">
        <f>_xlfn.NUMBERVALUE(convertNumberStringPointToNumberComma(LEFT(RIGHT(Q221,LEN(Q221)-FIND("x",Q221)-1),LEN(RIGHT(Q221,LEN(Q221)-FIND("x",Q221)-1))-2)))</f>
        <v>70.3</v>
      </c>
    </row>
    <row r="222" spans="1:19" x14ac:dyDescent="0.25">
      <c r="A222" t="s">
        <v>2218</v>
      </c>
      <c r="B222" t="s">
        <v>592</v>
      </c>
      <c r="E222" t="s">
        <v>2643</v>
      </c>
      <c r="H222" t="s">
        <v>318</v>
      </c>
      <c r="M222" t="s">
        <v>2674</v>
      </c>
      <c r="N222" t="s">
        <v>903</v>
      </c>
      <c r="O222" t="s">
        <v>395</v>
      </c>
      <c r="Q222" t="s">
        <v>3872</v>
      </c>
      <c r="R222" s="52">
        <f>_xlfn.NUMBERVALUE(convertNumberStringPointToNumberComma(LEFT(Q222,FIND("x",Q222)-2)))</f>
        <v>55</v>
      </c>
      <c r="S222" s="52">
        <f>_xlfn.NUMBERVALUE(convertNumberStringPointToNumberComma(LEFT(RIGHT(Q222,LEN(Q222)-FIND("x",Q222)-1),LEN(RIGHT(Q222,LEN(Q222)-FIND("x",Q222)-1))-2)))</f>
        <v>70.3</v>
      </c>
    </row>
    <row r="223" spans="1:19" x14ac:dyDescent="0.25">
      <c r="A223" t="s">
        <v>2219</v>
      </c>
      <c r="B223" t="s">
        <v>592</v>
      </c>
      <c r="E223" t="s">
        <v>2643</v>
      </c>
      <c r="H223" t="s">
        <v>318</v>
      </c>
      <c r="M223" t="s">
        <v>2680</v>
      </c>
      <c r="N223" t="s">
        <v>2681</v>
      </c>
      <c r="O223" t="s">
        <v>395</v>
      </c>
      <c r="Q223" t="s">
        <v>3872</v>
      </c>
      <c r="R223" s="52">
        <f>_xlfn.NUMBERVALUE(convertNumberStringPointToNumberComma(LEFT(Q223,FIND("x",Q223)-2)))</f>
        <v>55</v>
      </c>
      <c r="S223" s="52">
        <f>_xlfn.NUMBERVALUE(convertNumberStringPointToNumberComma(LEFT(RIGHT(Q223,LEN(Q223)-FIND("x",Q223)-1),LEN(RIGHT(Q223,LEN(Q223)-FIND("x",Q223)-1))-2)))</f>
        <v>70.3</v>
      </c>
    </row>
    <row r="224" spans="1:19" x14ac:dyDescent="0.25">
      <c r="A224" t="s">
        <v>1301</v>
      </c>
      <c r="B224" t="s">
        <v>176</v>
      </c>
      <c r="E224" t="s">
        <v>2658</v>
      </c>
      <c r="H224" t="s">
        <v>2669</v>
      </c>
      <c r="L224" t="s">
        <v>2726</v>
      </c>
      <c r="M224" t="s">
        <v>2680</v>
      </c>
      <c r="N224" t="s">
        <v>2681</v>
      </c>
      <c r="O224" t="s">
        <v>2867</v>
      </c>
      <c r="Q224" t="s">
        <v>3419</v>
      </c>
      <c r="R224" s="52">
        <f>_xlfn.NUMBERVALUE(convertNumberStringPointToNumberComma(LEFT(Q224,FIND("x",Q224)-2)))</f>
        <v>55.5</v>
      </c>
      <c r="S224" s="52">
        <f>_xlfn.NUMBERVALUE(convertNumberStringPointToNumberComma(LEFT(RIGHT(Q224,LEN(Q224)-FIND("x",Q224)-1),LEN(RIGHT(Q224,LEN(Q224)-FIND("x",Q224)-1))-2)))</f>
        <v>20.5</v>
      </c>
    </row>
    <row r="225" spans="1:19" x14ac:dyDescent="0.25">
      <c r="A225" t="s">
        <v>1488</v>
      </c>
      <c r="B225" t="s">
        <v>176</v>
      </c>
      <c r="E225" t="s">
        <v>2658</v>
      </c>
      <c r="H225" t="s">
        <v>2669</v>
      </c>
      <c r="L225" t="s">
        <v>2726</v>
      </c>
      <c r="M225" t="s">
        <v>2680</v>
      </c>
      <c r="N225" t="s">
        <v>2681</v>
      </c>
      <c r="O225" t="s">
        <v>2867</v>
      </c>
      <c r="Q225" t="s">
        <v>3419</v>
      </c>
      <c r="R225" s="52">
        <f>_xlfn.NUMBERVALUE(convertNumberStringPointToNumberComma(LEFT(Q225,FIND("x",Q225)-2)))</f>
        <v>55.5</v>
      </c>
      <c r="S225" s="52">
        <f>_xlfn.NUMBERVALUE(convertNumberStringPointToNumberComma(LEFT(RIGHT(Q225,LEN(Q225)-FIND("x",Q225)-1),LEN(RIGHT(Q225,LEN(Q225)-FIND("x",Q225)-1))-2)))</f>
        <v>20.5</v>
      </c>
    </row>
    <row r="226" spans="1:19" x14ac:dyDescent="0.25">
      <c r="A226" t="s">
        <v>1890</v>
      </c>
      <c r="B226" t="s">
        <v>95</v>
      </c>
      <c r="E226" t="s">
        <v>2632</v>
      </c>
      <c r="H226" t="s">
        <v>2670</v>
      </c>
      <c r="L226" t="s">
        <v>2785</v>
      </c>
      <c r="M226" t="s">
        <v>2782</v>
      </c>
      <c r="N226" t="s">
        <v>2783</v>
      </c>
      <c r="O226" t="s">
        <v>3038</v>
      </c>
      <c r="Q226" t="s">
        <v>3736</v>
      </c>
      <c r="R226" s="52">
        <f>_xlfn.NUMBERVALUE(convertNumberStringPointToNumberComma(LEFT(Q226,FIND("x",Q226)-2)))</f>
        <v>55.5</v>
      </c>
      <c r="S226" s="52">
        <f>_xlfn.NUMBERVALUE(convertNumberStringPointToNumberComma(LEFT(RIGHT(Q226,LEN(Q226)-FIND("x",Q226)-1),LEN(RIGHT(Q226,LEN(Q226)-FIND("x",Q226)-1))-2)))</f>
        <v>22</v>
      </c>
    </row>
    <row r="227" spans="1:19" x14ac:dyDescent="0.25">
      <c r="A227" t="s">
        <v>1940</v>
      </c>
      <c r="B227" t="s">
        <v>95</v>
      </c>
      <c r="E227" t="s">
        <v>2632</v>
      </c>
      <c r="H227" t="s">
        <v>2670</v>
      </c>
      <c r="L227" t="s">
        <v>2785</v>
      </c>
      <c r="M227" t="s">
        <v>2782</v>
      </c>
      <c r="N227" t="s">
        <v>2783</v>
      </c>
      <c r="O227" t="s">
        <v>3038</v>
      </c>
      <c r="Q227" t="s">
        <v>3736</v>
      </c>
      <c r="R227" s="52">
        <f>_xlfn.NUMBERVALUE(convertNumberStringPointToNumberComma(LEFT(Q227,FIND("x",Q227)-2)))</f>
        <v>55.5</v>
      </c>
      <c r="S227" s="52">
        <f>_xlfn.NUMBERVALUE(convertNumberStringPointToNumberComma(LEFT(RIGHT(Q227,LEN(Q227)-FIND("x",Q227)-1),LEN(RIGHT(Q227,LEN(Q227)-FIND("x",Q227)-1))-2)))</f>
        <v>22</v>
      </c>
    </row>
    <row r="228" spans="1:19" x14ac:dyDescent="0.25">
      <c r="A228" t="s">
        <v>1030</v>
      </c>
      <c r="B228" t="s">
        <v>1031</v>
      </c>
      <c r="C228" s="5">
        <f>convertNumberStringPointToNumberComma(IFERROR(LEFT(B228,(FIND("-",B228)-1)),LEFT(B228,FIND("mm",B228)-1)))</f>
        <v>12</v>
      </c>
      <c r="D228" s="5">
        <f>convertNumberStringPointToNumberComma(IFERROR(RIGHT(LEFT(B228,FIND("m",B228)-1),LEN(LEFT(B228,FIND("m",B228)-1))-FIND("-",LEFT(B228,FIND("m",B228)-1))-1),C228))</f>
        <v>2</v>
      </c>
      <c r="E228" t="s">
        <v>2639</v>
      </c>
      <c r="F228" s="9">
        <f>convertNumberStringPointToNumberComma(LEFT(MID(E228,3,9),IFERROR(FIND("-",MID(E228,3,9))-2,3)))</f>
        <v>3</v>
      </c>
      <c r="G228" s="9">
        <f>convertNumberStringPointToNumberComma(RIGHT(E228,IF(ISERROR(FIND(".",RIGHT(E228,3))),1,3)))</f>
        <v>5.6</v>
      </c>
      <c r="H228" t="s">
        <v>2672</v>
      </c>
      <c r="I228" s="5" t="str">
        <f>IF(H228="none",0,LEFT(H228,LEN(H228)-2))</f>
        <v>37</v>
      </c>
      <c r="J228" s="5" t="s">
        <v>118</v>
      </c>
      <c r="K228" s="10">
        <f>IF(J228="",0,convertNumberStringPointToNumberComma(LEFT(J228,LEN(J228)-1)))</f>
        <v>0.16</v>
      </c>
      <c r="L228" t="s">
        <v>2684</v>
      </c>
      <c r="M228" t="s">
        <v>2680</v>
      </c>
      <c r="N228" t="s">
        <v>2681</v>
      </c>
      <c r="O228" t="s">
        <v>2755</v>
      </c>
      <c r="P228" s="5" t="str">
        <f>LEFT(O228,LEN(O228)-1)</f>
        <v>70</v>
      </c>
      <c r="Q228" t="s">
        <v>3273</v>
      </c>
      <c r="R228" s="52">
        <f>_xlfn.NUMBERVALUE(convertNumberStringPointToNumberComma(LEFT(Q228,FIND("x",Q228)-2)))</f>
        <v>55.5</v>
      </c>
      <c r="S228" s="52">
        <f>_xlfn.NUMBERVALUE(convertNumberStringPointToNumberComma(LEFT(RIGHT(Q228,LEN(Q228)-FIND("x",Q228)-1),LEN(RIGHT(Q228,LEN(Q228)-FIND("x",Q228)-1))-2)))</f>
        <v>24</v>
      </c>
    </row>
    <row r="229" spans="1:19" x14ac:dyDescent="0.25">
      <c r="A229" t="s">
        <v>1587</v>
      </c>
      <c r="B229" t="s">
        <v>1065</v>
      </c>
      <c r="E229" t="s">
        <v>2634</v>
      </c>
      <c r="H229" t="s">
        <v>2669</v>
      </c>
      <c r="L229" t="s">
        <v>2883</v>
      </c>
      <c r="M229" t="s">
        <v>2680</v>
      </c>
      <c r="N229" t="s">
        <v>2681</v>
      </c>
      <c r="O229" t="s">
        <v>2947</v>
      </c>
      <c r="Q229" t="s">
        <v>3572</v>
      </c>
      <c r="R229" s="52">
        <f>_xlfn.NUMBERVALUE(convertNumberStringPointToNumberComma(LEFT(Q229,FIND("x",Q229)-2)))</f>
        <v>55.5</v>
      </c>
      <c r="S229" s="52">
        <f>_xlfn.NUMBERVALUE(convertNumberStringPointToNumberComma(LEFT(RIGHT(Q229,LEN(Q229)-FIND("x",Q229)-1),LEN(RIGHT(Q229,LEN(Q229)-FIND("x",Q229)-1))-2)))</f>
        <v>50</v>
      </c>
    </row>
    <row r="230" spans="1:19" x14ac:dyDescent="0.25">
      <c r="A230" t="s">
        <v>1588</v>
      </c>
      <c r="B230" t="s">
        <v>1065</v>
      </c>
      <c r="E230" t="s">
        <v>2634</v>
      </c>
      <c r="H230" t="s">
        <v>2669</v>
      </c>
      <c r="L230" t="s">
        <v>2883</v>
      </c>
      <c r="M230" t="s">
        <v>2680</v>
      </c>
      <c r="N230" t="s">
        <v>2681</v>
      </c>
      <c r="O230" t="s">
        <v>2947</v>
      </c>
      <c r="Q230" t="s">
        <v>3572</v>
      </c>
      <c r="R230" s="52">
        <f>_xlfn.NUMBERVALUE(convertNumberStringPointToNumberComma(LEFT(Q230,FIND("x",Q230)-2)))</f>
        <v>55.5</v>
      </c>
      <c r="S230" s="52">
        <f>_xlfn.NUMBERVALUE(convertNumberStringPointToNumberComma(LEFT(RIGHT(Q230,LEN(Q230)-FIND("x",Q230)-1),LEN(RIGHT(Q230,LEN(Q230)-FIND("x",Q230)-1))-2)))</f>
        <v>50</v>
      </c>
    </row>
    <row r="231" spans="1:19" x14ac:dyDescent="0.25">
      <c r="A231" t="s">
        <v>1099</v>
      </c>
      <c r="B231" t="s">
        <v>1100</v>
      </c>
      <c r="C231" s="5">
        <f>convertNumberStringPointToNumberComma(IFERROR(LEFT(B231,(FIND("-",B231)-1)),LEFT(B231,FIND("mm",B231)-1)))</f>
        <v>9</v>
      </c>
      <c r="D231" s="5">
        <f>convertNumberStringPointToNumberComma(IFERROR(RIGHT(LEFT(B231,FIND("m",B231)-1),LEN(LEFT(B231,FIND("m",B231)-1))-FIND("-",LEFT(B231,FIND("m",B231)-1))-1),C231))</f>
        <v>9</v>
      </c>
      <c r="E231" t="s">
        <v>2651</v>
      </c>
      <c r="F231" s="9">
        <f>convertNumberStringPointToNumberComma(LEFT(MID(E231,3,9),IFERROR(FIND("-",MID(E231,3,9))-2,3)))</f>
        <v>8</v>
      </c>
      <c r="G231" s="9">
        <f>convertNumberStringPointToNumberComma(RIGHT(E231,IF(ISERROR(FIND(".",RIGHT(E231,3))),1,3)))</f>
        <v>8</v>
      </c>
      <c r="H231" t="s">
        <v>2668</v>
      </c>
      <c r="I231" s="5" t="str">
        <f>IF(H231="none",0,LEFT(H231,LEN(H231)-2))</f>
        <v>ne</v>
      </c>
      <c r="J231" s="5" t="s">
        <v>40</v>
      </c>
      <c r="K231" s="10">
        <f>IF(J231="",0,convertNumberStringPointToNumberComma(LEFT(J231,LEN(J231)-1)))</f>
        <v>0.2</v>
      </c>
      <c r="L231" t="s">
        <v>2789</v>
      </c>
      <c r="M231" t="s">
        <v>2680</v>
      </c>
      <c r="N231" t="s">
        <v>2681</v>
      </c>
      <c r="O231" t="s">
        <v>2790</v>
      </c>
      <c r="P231" s="5" t="str">
        <f>LEFT(O231,LEN(O231)-1)</f>
        <v>30</v>
      </c>
      <c r="Q231" t="s">
        <v>3308</v>
      </c>
      <c r="R231" s="52">
        <f>_xlfn.NUMBERVALUE(convertNumberStringPointToNumberComma(LEFT(Q231,FIND("x",Q231)-2)))</f>
        <v>56</v>
      </c>
      <c r="S231" s="52">
        <f>_xlfn.NUMBERVALUE(convertNumberStringPointToNumberComma(LEFT(RIGHT(Q231,LEN(Q231)-FIND("x",Q231)-1),LEN(RIGHT(Q231,LEN(Q231)-FIND("x",Q231)-1))-2)))</f>
        <v>12.8</v>
      </c>
    </row>
    <row r="232" spans="1:19" x14ac:dyDescent="0.25">
      <c r="A232" t="s">
        <v>1201</v>
      </c>
      <c r="B232" t="s">
        <v>1100</v>
      </c>
      <c r="C232" s="5">
        <f>convertNumberStringPointToNumberComma(IFERROR(LEFT(B232,(FIND("-",B232)-1)),LEFT(B232,FIND("mm",B232)-1)))</f>
        <v>9</v>
      </c>
      <c r="D232" s="5">
        <f>convertNumberStringPointToNumberComma(IFERROR(RIGHT(LEFT(B232,FIND("m",B232)-1),LEN(LEFT(B232,FIND("m",B232)-1))-FIND("-",LEFT(B232,FIND("m",B232)-1))-1),C232))</f>
        <v>9</v>
      </c>
      <c r="E232" t="s">
        <v>2651</v>
      </c>
      <c r="F232" s="9">
        <f>convertNumberStringPointToNumberComma(LEFT(MID(E232,3,9),IFERROR(FIND("-",MID(E232,3,9))-2,3)))</f>
        <v>8</v>
      </c>
      <c r="G232" s="9">
        <f>convertNumberStringPointToNumberComma(RIGHT(E232,IF(ISERROR(FIND(".",RIGHT(E232,3))),1,3)))</f>
        <v>8</v>
      </c>
      <c r="H232" t="s">
        <v>2668</v>
      </c>
      <c r="I232" s="5" t="str">
        <f>IF(H232="none",0,LEFT(H232,LEN(H232)-2))</f>
        <v>ne</v>
      </c>
      <c r="J232" s="5" t="s">
        <v>68</v>
      </c>
      <c r="K232" s="10">
        <f>IF(J232="",0,convertNumberStringPointToNumberComma(LEFT(J232,LEN(J232)-1)))</f>
        <v>0.5</v>
      </c>
      <c r="L232" t="s">
        <v>2789</v>
      </c>
      <c r="M232" t="s">
        <v>2680</v>
      </c>
      <c r="N232" t="s">
        <v>2681</v>
      </c>
      <c r="O232" t="s">
        <v>2790</v>
      </c>
      <c r="P232" s="5" t="str">
        <f>LEFT(O232,LEN(O232)-1)</f>
        <v>30</v>
      </c>
      <c r="Q232" t="s">
        <v>3308</v>
      </c>
      <c r="R232" s="52">
        <f>_xlfn.NUMBERVALUE(convertNumberStringPointToNumberComma(LEFT(Q232,FIND("x",Q232)-2)))</f>
        <v>56</v>
      </c>
      <c r="S232" s="52">
        <f>_xlfn.NUMBERVALUE(convertNumberStringPointToNumberComma(LEFT(RIGHT(Q232,LEN(Q232)-FIND("x",Q232)-1),LEN(RIGHT(Q232,LEN(Q232)-FIND("x",Q232)-1))-2)))</f>
        <v>12.8</v>
      </c>
    </row>
    <row r="233" spans="1:19" x14ac:dyDescent="0.25">
      <c r="A233" t="s">
        <v>1620</v>
      </c>
      <c r="B233" t="s">
        <v>1621</v>
      </c>
      <c r="E233" t="s">
        <v>2635</v>
      </c>
      <c r="H233" t="s">
        <v>2670</v>
      </c>
      <c r="L233" t="s">
        <v>2759</v>
      </c>
      <c r="M233" t="s">
        <v>2782</v>
      </c>
      <c r="N233" t="s">
        <v>2783</v>
      </c>
      <c r="O233" t="s">
        <v>2755</v>
      </c>
      <c r="Q233" t="s">
        <v>3580</v>
      </c>
      <c r="R233" s="52">
        <f>_xlfn.NUMBERVALUE(convertNumberStringPointToNumberComma(LEFT(Q233,FIND("x",Q233)-2)))</f>
        <v>56</v>
      </c>
      <c r="S233" s="52">
        <f>_xlfn.NUMBERVALUE(convertNumberStringPointToNumberComma(LEFT(RIGHT(Q233,LEN(Q233)-FIND("x",Q233)-1),LEN(RIGHT(Q233,LEN(Q233)-FIND("x",Q233)-1))-2)))</f>
        <v>36</v>
      </c>
    </row>
    <row r="234" spans="1:19" x14ac:dyDescent="0.25">
      <c r="A234" t="s">
        <v>2311</v>
      </c>
      <c r="B234" t="s">
        <v>1621</v>
      </c>
      <c r="E234" t="s">
        <v>2635</v>
      </c>
      <c r="H234" t="s">
        <v>2670</v>
      </c>
      <c r="L234" t="s">
        <v>2759</v>
      </c>
      <c r="M234" t="s">
        <v>2782</v>
      </c>
      <c r="N234" t="s">
        <v>2783</v>
      </c>
      <c r="O234" t="s">
        <v>2755</v>
      </c>
      <c r="Q234" t="s">
        <v>3580</v>
      </c>
      <c r="R234" s="52">
        <f>_xlfn.NUMBERVALUE(convertNumberStringPointToNumberComma(LEFT(Q234,FIND("x",Q234)-2)))</f>
        <v>56</v>
      </c>
      <c r="S234" s="52">
        <f>_xlfn.NUMBERVALUE(convertNumberStringPointToNumberComma(LEFT(RIGHT(Q234,LEN(Q234)-FIND("x",Q234)-1),LEN(RIGHT(Q234,LEN(Q234)-FIND("x",Q234)-1))-2)))</f>
        <v>36</v>
      </c>
    </row>
    <row r="235" spans="1:19" x14ac:dyDescent="0.25">
      <c r="A235" t="s">
        <v>2312</v>
      </c>
      <c r="B235" t="s">
        <v>1621</v>
      </c>
      <c r="E235" t="s">
        <v>2635</v>
      </c>
      <c r="H235" t="s">
        <v>2670</v>
      </c>
      <c r="L235" t="s">
        <v>2759</v>
      </c>
      <c r="M235" t="s">
        <v>2782</v>
      </c>
      <c r="N235" t="s">
        <v>2783</v>
      </c>
      <c r="O235" t="s">
        <v>2755</v>
      </c>
      <c r="Q235" t="s">
        <v>3580</v>
      </c>
      <c r="R235" s="52">
        <f>_xlfn.NUMBERVALUE(convertNumberStringPointToNumberComma(LEFT(Q235,FIND("x",Q235)-2)))</f>
        <v>56</v>
      </c>
      <c r="S235" s="52">
        <f>_xlfn.NUMBERVALUE(convertNumberStringPointToNumberComma(LEFT(RIGHT(Q235,LEN(Q235)-FIND("x",Q235)-1),LEN(RIGHT(Q235,LEN(Q235)-FIND("x",Q235)-1))-2)))</f>
        <v>36</v>
      </c>
    </row>
    <row r="236" spans="1:19" x14ac:dyDescent="0.25">
      <c r="A236" t="s">
        <v>1492</v>
      </c>
      <c r="B236" t="s">
        <v>960</v>
      </c>
      <c r="E236" t="s">
        <v>2638</v>
      </c>
      <c r="H236" t="s">
        <v>2669</v>
      </c>
      <c r="L236" t="s">
        <v>2910</v>
      </c>
      <c r="M236" t="s">
        <v>2680</v>
      </c>
      <c r="N236" t="s">
        <v>2681</v>
      </c>
      <c r="O236" t="s">
        <v>2779</v>
      </c>
      <c r="Q236" t="s">
        <v>3522</v>
      </c>
      <c r="R236" s="52">
        <f>_xlfn.NUMBERVALUE(convertNumberStringPointToNumberComma(LEFT(Q236,FIND("x",Q236)-2)))</f>
        <v>56</v>
      </c>
      <c r="S236" s="52">
        <f>_xlfn.NUMBERVALUE(convertNumberStringPointToNumberComma(LEFT(RIGHT(Q236,LEN(Q236)-FIND("x",Q236)-1),LEN(RIGHT(Q236,LEN(Q236)-FIND("x",Q236)-1))-2)))</f>
        <v>43</v>
      </c>
    </row>
    <row r="237" spans="1:19" x14ac:dyDescent="0.25">
      <c r="A237" t="s">
        <v>2531</v>
      </c>
      <c r="B237" t="s">
        <v>960</v>
      </c>
      <c r="E237" t="s">
        <v>2638</v>
      </c>
      <c r="H237" t="s">
        <v>2669</v>
      </c>
      <c r="L237" t="s">
        <v>2910</v>
      </c>
      <c r="M237" t="s">
        <v>2680</v>
      </c>
      <c r="N237" t="s">
        <v>2681</v>
      </c>
      <c r="O237" t="s">
        <v>2779</v>
      </c>
      <c r="Q237" t="s">
        <v>3522</v>
      </c>
      <c r="R237" s="52">
        <f>_xlfn.NUMBERVALUE(convertNumberStringPointToNumberComma(LEFT(Q237,FIND("x",Q237)-2)))</f>
        <v>56</v>
      </c>
      <c r="S237" s="52">
        <f>_xlfn.NUMBERVALUE(convertNumberStringPointToNumberComma(LEFT(RIGHT(Q237,LEN(Q237)-FIND("x",Q237)-1),LEN(RIGHT(Q237,LEN(Q237)-FIND("x",Q237)-1))-2)))</f>
        <v>43</v>
      </c>
    </row>
    <row r="238" spans="1:19" x14ac:dyDescent="0.25">
      <c r="A238" t="s">
        <v>1017</v>
      </c>
      <c r="B238" t="s">
        <v>635</v>
      </c>
      <c r="C238" s="5">
        <f>convertNumberStringPointToNumberComma(IFERROR(LEFT(B238,(FIND("-",B238)-1)),LEFT(B238,FIND("mm",B238)-1)))</f>
        <v>45</v>
      </c>
      <c r="D238" s="5">
        <f>convertNumberStringPointToNumberComma(IFERROR(RIGHT(LEFT(B238,FIND("m",B238)-1),LEN(LEFT(B238,FIND("m",B238)-1))-FIND("-",LEFT(B238,FIND("m",B238)-1))-1),C238))</f>
        <v>45</v>
      </c>
      <c r="E238" t="s">
        <v>2635</v>
      </c>
      <c r="F238" s="9">
        <f>convertNumberStringPointToNumberComma(LEFT(MID(E238,3,9),IFERROR(FIND("-",MID(E238,3,9))-2,3)))</f>
        <v>1.8</v>
      </c>
      <c r="G238" s="9">
        <f>convertNumberStringPointToNumberComma(RIGHT(E238,IF(ISERROR(FIND(".",RIGHT(E238,3))),1,3)))</f>
        <v>1.8</v>
      </c>
      <c r="H238" t="s">
        <v>2672</v>
      </c>
      <c r="I238" s="5" t="str">
        <f>IF(H238="none",0,LEFT(H238,LEN(H238)-2))</f>
        <v>37</v>
      </c>
      <c r="J238" s="5" t="s">
        <v>158</v>
      </c>
      <c r="K238" s="10">
        <f>IF(J238="",0,convertNumberStringPointToNumberComma(LEFT(J238,LEN(J238)-1)))</f>
        <v>0.23</v>
      </c>
      <c r="L238" t="s">
        <v>2692</v>
      </c>
      <c r="M238" t="s">
        <v>2680</v>
      </c>
      <c r="N238" t="s">
        <v>2681</v>
      </c>
      <c r="O238" t="s">
        <v>2730</v>
      </c>
      <c r="P238" s="5" t="str">
        <f>LEFT(O238,LEN(O238)-1)</f>
        <v>116</v>
      </c>
      <c r="Q238" t="s">
        <v>3266</v>
      </c>
      <c r="R238" s="52">
        <f>_xlfn.NUMBERVALUE(convertNumberStringPointToNumberComma(LEFT(Q238,FIND("x",Q238)-2)))</f>
        <v>56</v>
      </c>
      <c r="S238" s="52">
        <f>_xlfn.NUMBERVALUE(convertNumberStringPointToNumberComma(LEFT(RIGHT(Q238,LEN(Q238)-FIND("x",Q238)-1),LEN(RIGHT(Q238,LEN(Q238)-FIND("x",Q238)-1))-2)))</f>
        <v>46</v>
      </c>
    </row>
    <row r="239" spans="1:19" x14ac:dyDescent="0.25">
      <c r="A239" t="s">
        <v>1109</v>
      </c>
      <c r="B239" t="s">
        <v>635</v>
      </c>
      <c r="C239" s="5">
        <f>convertNumberStringPointToNumberComma(IFERROR(LEFT(B239,(FIND("-",B239)-1)),LEFT(B239,FIND("mm",B239)-1)))</f>
        <v>45</v>
      </c>
      <c r="D239" s="5">
        <f>convertNumberStringPointToNumberComma(IFERROR(RIGHT(LEFT(B239,FIND("m",B239)-1),LEN(LEFT(B239,FIND("m",B239)-1))-FIND("-",LEFT(B239,FIND("m",B239)-1))-1),C239))</f>
        <v>45</v>
      </c>
      <c r="E239" t="s">
        <v>2635</v>
      </c>
      <c r="F239" s="9">
        <f>convertNumberStringPointToNumberComma(LEFT(MID(E239,3,9),IFERROR(FIND("-",MID(E239,3,9))-2,3)))</f>
        <v>1.8</v>
      </c>
      <c r="G239" s="9">
        <f>convertNumberStringPointToNumberComma(RIGHT(E239,IF(ISERROR(FIND(".",RIGHT(E239,3))),1,3)))</f>
        <v>1.8</v>
      </c>
      <c r="H239" t="s">
        <v>2672</v>
      </c>
      <c r="I239" s="5" t="str">
        <f>IF(H239="none",0,LEFT(H239,LEN(H239)-2))</f>
        <v>37</v>
      </c>
      <c r="J239" s="5"/>
      <c r="K239" s="10">
        <f>IF(J239="",0,convertNumberStringPointToNumberComma(LEFT(J239,LEN(J239)-1)))</f>
        <v>0</v>
      </c>
      <c r="L239" t="s">
        <v>2692</v>
      </c>
      <c r="M239" t="s">
        <v>2680</v>
      </c>
      <c r="N239" t="s">
        <v>2681</v>
      </c>
      <c r="O239" t="s">
        <v>2730</v>
      </c>
      <c r="P239" s="5" t="str">
        <f>LEFT(O239,LEN(O239)-1)</f>
        <v>116</v>
      </c>
      <c r="Q239" t="s">
        <v>3266</v>
      </c>
      <c r="R239" s="52">
        <f>_xlfn.NUMBERVALUE(convertNumberStringPointToNumberComma(LEFT(Q239,FIND("x",Q239)-2)))</f>
        <v>56</v>
      </c>
      <c r="S239" s="52">
        <f>_xlfn.NUMBERVALUE(convertNumberStringPointToNumberComma(LEFT(RIGHT(Q239,LEN(Q239)-FIND("x",Q239)-1),LEN(RIGHT(Q239,LEN(Q239)-FIND("x",Q239)-1))-2)))</f>
        <v>46</v>
      </c>
    </row>
    <row r="240" spans="1:19" x14ac:dyDescent="0.25">
      <c r="B240" t="s">
        <v>592</v>
      </c>
      <c r="E240" t="s">
        <v>2643</v>
      </c>
      <c r="H240" t="s">
        <v>2669</v>
      </c>
      <c r="L240" t="s">
        <v>2817</v>
      </c>
      <c r="M240" t="s">
        <v>2818</v>
      </c>
      <c r="N240" t="s">
        <v>913</v>
      </c>
      <c r="O240" t="s">
        <v>697</v>
      </c>
      <c r="Q240" t="s">
        <v>3266</v>
      </c>
      <c r="R240" s="52">
        <f>_xlfn.NUMBERVALUE(convertNumberStringPointToNumberComma(LEFT(Q240,FIND("x",Q240)-2)))</f>
        <v>56</v>
      </c>
      <c r="S240" s="52">
        <f>_xlfn.NUMBERVALUE(convertNumberStringPointToNumberComma(LEFT(RIGHT(Q240,LEN(Q240)-FIND("x",Q240)-1),LEN(RIGHT(Q240,LEN(Q240)-FIND("x",Q240)-1))-2)))</f>
        <v>46</v>
      </c>
    </row>
    <row r="241" spans="1:19" x14ac:dyDescent="0.25">
      <c r="A241" t="s">
        <v>2533</v>
      </c>
      <c r="B241" t="s">
        <v>1098</v>
      </c>
      <c r="E241" t="s">
        <v>2639</v>
      </c>
      <c r="H241" t="s">
        <v>2669</v>
      </c>
      <c r="L241" t="s">
        <v>2743</v>
      </c>
      <c r="M241" t="s">
        <v>2680</v>
      </c>
      <c r="N241" t="s">
        <v>2681</v>
      </c>
      <c r="O241" t="s">
        <v>3177</v>
      </c>
      <c r="Q241" t="s">
        <v>4040</v>
      </c>
      <c r="R241" s="52">
        <f>_xlfn.NUMBERVALUE(convertNumberStringPointToNumberComma(LEFT(Q241,FIND("x",Q241)-2)))</f>
        <v>56</v>
      </c>
      <c r="S241" s="52">
        <f>_xlfn.NUMBERVALUE(convertNumberStringPointToNumberComma(LEFT(RIGHT(Q241,LEN(Q241)-FIND("x",Q241)-1),LEN(RIGHT(Q241,LEN(Q241)-FIND("x",Q241)-1))-2)))</f>
        <v>49</v>
      </c>
    </row>
    <row r="242" spans="1:19" x14ac:dyDescent="0.25">
      <c r="A242" t="s">
        <v>1006</v>
      </c>
      <c r="B242" t="s">
        <v>741</v>
      </c>
      <c r="C242" s="5">
        <f>convertNumberStringPointToNumberComma(IFERROR(LEFT(B242,(FIND("-",B242)-1)),LEFT(B242,FIND("mm",B242)-1)))</f>
        <v>60</v>
      </c>
      <c r="D242" s="5">
        <f>convertNumberStringPointToNumberComma(IFERROR(RIGHT(LEFT(B242,FIND("m",B242)-1),LEN(LEFT(B242,FIND("m",B242)-1))-FIND("-",LEFT(B242,FIND("m",B242)-1))-1),C242))</f>
        <v>60</v>
      </c>
      <c r="E242" t="s">
        <v>2632</v>
      </c>
      <c r="F242" s="9">
        <f>convertNumberStringPointToNumberComma(LEFT(MID(E242,3,9),IFERROR(FIND("-",MID(E242,3,9))-2,3)))</f>
        <v>2.8</v>
      </c>
      <c r="G242" s="9">
        <f>convertNumberStringPointToNumberComma(RIGHT(E242,IF(ISERROR(FIND(".",RIGHT(E242,3))),1,3)))</f>
        <v>2.8</v>
      </c>
      <c r="H242" t="s">
        <v>2669</v>
      </c>
      <c r="I242" s="5" t="str">
        <f>IF(H242="none",0,LEFT(H242,LEN(H242)-2))</f>
        <v>46</v>
      </c>
      <c r="J242" s="5" t="s">
        <v>238</v>
      </c>
      <c r="K242" s="10">
        <f>IF(J242="",0,convertNumberStringPointToNumberComma(LEFT(J242,LEN(J242)-1)))</f>
        <v>0.34</v>
      </c>
      <c r="L242" t="s">
        <v>2707</v>
      </c>
      <c r="M242" t="s">
        <v>2680</v>
      </c>
      <c r="N242" t="s">
        <v>2681</v>
      </c>
      <c r="O242" t="s">
        <v>686</v>
      </c>
      <c r="P242" s="5" t="str">
        <f>LEFT(O242,LEN(O242)-1)</f>
        <v>185</v>
      </c>
      <c r="Q242" t="s">
        <v>3257</v>
      </c>
      <c r="R242" s="52">
        <f>_xlfn.NUMBERVALUE(convertNumberStringPointToNumberComma(LEFT(Q242,FIND("x",Q242)-2)))</f>
        <v>56</v>
      </c>
      <c r="S242" s="52">
        <f>_xlfn.NUMBERVALUE(convertNumberStringPointToNumberComma(LEFT(RIGHT(Q242,LEN(Q242)-FIND("x",Q242)-1),LEN(RIGHT(Q242,LEN(Q242)-FIND("x",Q242)-1))-2)))</f>
        <v>82</v>
      </c>
    </row>
    <row r="243" spans="1:19" x14ac:dyDescent="0.25">
      <c r="A243" t="s">
        <v>1090</v>
      </c>
      <c r="B243" t="s">
        <v>222</v>
      </c>
      <c r="C243" s="5">
        <f>convertNumberStringPointToNumberComma(IFERROR(LEFT(B243,(FIND("-",B243)-1)),LEFT(B243,FIND("mm",B243)-1)))</f>
        <v>15</v>
      </c>
      <c r="D243" s="5">
        <f>convertNumberStringPointToNumberComma(IFERROR(RIGHT(LEFT(B243,FIND("m",B243)-1),LEN(LEFT(B243,FIND("m",B243)-1))-FIND("-",LEFT(B243,FIND("m",B243)-1))-1),C243))</f>
        <v>15</v>
      </c>
      <c r="E243" t="s">
        <v>2651</v>
      </c>
      <c r="F243" s="9">
        <f>convertNumberStringPointToNumberComma(LEFT(MID(E243,3,9),IFERROR(FIND("-",MID(E243,3,9))-2,3)))</f>
        <v>8</v>
      </c>
      <c r="G243" s="9">
        <f>convertNumberStringPointToNumberComma(RIGHT(E243,IF(ISERROR(FIND(".",RIGHT(E243,3))),1,3)))</f>
        <v>8</v>
      </c>
      <c r="I243" s="5" t="e">
        <f>IF(H243="none",0,LEFT(H243,LEN(H243)-2))</f>
        <v>#VALUE!</v>
      </c>
      <c r="J243" s="5" t="s">
        <v>16</v>
      </c>
      <c r="K243" s="10">
        <f>IF(J243="",0,convertNumberStringPointToNumberComma(LEFT(J243,LEN(J243)-1)))</f>
        <v>0.17</v>
      </c>
      <c r="L243" t="s">
        <v>2785</v>
      </c>
      <c r="M243" t="s">
        <v>2680</v>
      </c>
      <c r="N243" t="s">
        <v>2681</v>
      </c>
      <c r="O243" t="s">
        <v>2786</v>
      </c>
      <c r="P243" s="5" t="str">
        <f>LEFT(O243,LEN(O243)-1)</f>
        <v>22</v>
      </c>
      <c r="Q243" t="s">
        <v>3306</v>
      </c>
      <c r="R243" s="52">
        <f>_xlfn.NUMBERVALUE(convertNumberStringPointToNumberComma(LEFT(Q243,FIND("x",Q243)-2)))</f>
        <v>56</v>
      </c>
      <c r="S243" s="52">
        <f>_xlfn.NUMBERVALUE(convertNumberStringPointToNumberComma(LEFT(RIGHT(Q243,LEN(Q243)-FIND("x",Q243)-1),LEN(RIGHT(Q243,LEN(Q243)-FIND("x",Q243)-1))-2)))</f>
        <v>9</v>
      </c>
    </row>
    <row r="244" spans="1:19" x14ac:dyDescent="0.25">
      <c r="A244" t="s">
        <v>1093</v>
      </c>
      <c r="B244" t="s">
        <v>222</v>
      </c>
      <c r="C244" s="5">
        <f>convertNumberStringPointToNumberComma(IFERROR(LEFT(B244,(FIND("-",B244)-1)),LEFT(B244,FIND("mm",B244)-1)))</f>
        <v>15</v>
      </c>
      <c r="D244" s="5">
        <f>convertNumberStringPointToNumberComma(IFERROR(RIGHT(LEFT(B244,FIND("m",B244)-1),LEN(LEFT(B244,FIND("m",B244)-1))-FIND("-",LEFT(B244,FIND("m",B244)-1))-1),C244))</f>
        <v>15</v>
      </c>
      <c r="E244" t="s">
        <v>2651</v>
      </c>
      <c r="F244" s="9">
        <f>convertNumberStringPointToNumberComma(LEFT(MID(E244,3,9),IFERROR(FIND("-",MID(E244,3,9))-2,3)))</f>
        <v>8</v>
      </c>
      <c r="G244" s="9">
        <f>convertNumberStringPointToNumberComma(RIGHT(E244,IF(ISERROR(FIND(".",RIGHT(E244,3))),1,3)))</f>
        <v>8</v>
      </c>
      <c r="I244" s="5" t="e">
        <f>IF(H244="none",0,LEFT(H244,LEN(H244)-2))</f>
        <v>#VALUE!</v>
      </c>
      <c r="J244" s="5" t="s">
        <v>118</v>
      </c>
      <c r="K244" s="10">
        <f>IF(J244="",0,convertNumberStringPointToNumberComma(LEFT(J244,LEN(J244)-1)))</f>
        <v>0.16</v>
      </c>
      <c r="L244" t="s">
        <v>2785</v>
      </c>
      <c r="M244" t="s">
        <v>2680</v>
      </c>
      <c r="N244" t="s">
        <v>2681</v>
      </c>
      <c r="O244" t="s">
        <v>2786</v>
      </c>
      <c r="P244" s="5" t="str">
        <f>LEFT(O244,LEN(O244)-1)</f>
        <v>22</v>
      </c>
      <c r="Q244" t="s">
        <v>3306</v>
      </c>
      <c r="R244" s="52">
        <f>_xlfn.NUMBERVALUE(convertNumberStringPointToNumberComma(LEFT(Q244,FIND("x",Q244)-2)))</f>
        <v>56</v>
      </c>
      <c r="S244" s="52">
        <f>_xlfn.NUMBERVALUE(convertNumberStringPointToNumberComma(LEFT(RIGHT(Q244,LEN(Q244)-FIND("x",Q244)-1),LEN(RIGHT(Q244,LEN(Q244)-FIND("x",Q244)-1))-2)))</f>
        <v>9</v>
      </c>
    </row>
    <row r="245" spans="1:19" x14ac:dyDescent="0.25">
      <c r="A245" t="s">
        <v>1094</v>
      </c>
      <c r="B245" t="s">
        <v>222</v>
      </c>
      <c r="C245" s="5">
        <f>convertNumberStringPointToNumberComma(IFERROR(LEFT(B245,(FIND("-",B245)-1)),LEFT(B245,FIND("mm",B245)-1)))</f>
        <v>15</v>
      </c>
      <c r="D245" s="5">
        <f>convertNumberStringPointToNumberComma(IFERROR(RIGHT(LEFT(B245,FIND("m",B245)-1),LEN(LEFT(B245,FIND("m",B245)-1))-FIND("-",LEFT(B245,FIND("m",B245)-1))-1),C245))</f>
        <v>15</v>
      </c>
      <c r="E245" t="s">
        <v>2651</v>
      </c>
      <c r="F245" s="9">
        <f>convertNumberStringPointToNumberComma(LEFT(MID(E245,3,9),IFERROR(FIND("-",MID(E245,3,9))-2,3)))</f>
        <v>8</v>
      </c>
      <c r="G245" s="9">
        <f>convertNumberStringPointToNumberComma(RIGHT(E245,IF(ISERROR(FIND(".",RIGHT(E245,3))),1,3)))</f>
        <v>8</v>
      </c>
      <c r="I245" s="5" t="e">
        <f>IF(H245="none",0,LEFT(H245,LEN(H245)-2))</f>
        <v>#VALUE!</v>
      </c>
      <c r="J245" s="12" t="s">
        <v>162</v>
      </c>
      <c r="K245" s="10">
        <f>IF(J245="",0,convertNumberStringPointToNumberComma(LEFT(J245,LEN(J245)-1)))</f>
        <v>0.25</v>
      </c>
      <c r="L245" t="s">
        <v>2785</v>
      </c>
      <c r="M245" t="s">
        <v>2680</v>
      </c>
      <c r="N245" t="s">
        <v>2681</v>
      </c>
      <c r="O245" t="s">
        <v>2786</v>
      </c>
      <c r="P245" s="5" t="str">
        <f>LEFT(O245,LEN(O245)-1)</f>
        <v>22</v>
      </c>
      <c r="Q245" t="s">
        <v>3306</v>
      </c>
      <c r="R245" s="52">
        <f>_xlfn.NUMBERVALUE(convertNumberStringPointToNumberComma(LEFT(Q245,FIND("x",Q245)-2)))</f>
        <v>56</v>
      </c>
      <c r="S245" s="52">
        <f>_xlfn.NUMBERVALUE(convertNumberStringPointToNumberComma(LEFT(RIGHT(Q245,LEN(Q245)-FIND("x",Q245)-1),LEN(RIGHT(Q245,LEN(Q245)-FIND("x",Q245)-1))-2)))</f>
        <v>9</v>
      </c>
    </row>
    <row r="246" spans="1:19" x14ac:dyDescent="0.25">
      <c r="A246" t="s">
        <v>1095</v>
      </c>
      <c r="B246" t="s">
        <v>222</v>
      </c>
      <c r="C246" s="5">
        <f>convertNumberStringPointToNumberComma(IFERROR(LEFT(B246,(FIND("-",B246)-1)),LEFT(B246,FIND("mm",B246)-1)))</f>
        <v>15</v>
      </c>
      <c r="D246" s="5">
        <f>convertNumberStringPointToNumberComma(IFERROR(RIGHT(LEFT(B246,FIND("m",B246)-1),LEN(LEFT(B246,FIND("m",B246)-1))-FIND("-",LEFT(B246,FIND("m",B246)-1))-1),C246))</f>
        <v>15</v>
      </c>
      <c r="E246" t="s">
        <v>2651</v>
      </c>
      <c r="F246" s="9">
        <f>convertNumberStringPointToNumberComma(LEFT(MID(E246,3,9),IFERROR(FIND("-",MID(E246,3,9))-2,3)))</f>
        <v>8</v>
      </c>
      <c r="G246" s="9">
        <f>convertNumberStringPointToNumberComma(RIGHT(E246,IF(ISERROR(FIND(".",RIGHT(E246,3))),1,3)))</f>
        <v>8</v>
      </c>
      <c r="I246" s="5" t="e">
        <f>IF(H246="none",0,LEFT(H246,LEN(H246)-2))</f>
        <v>#VALUE!</v>
      </c>
      <c r="J246" s="5" t="s">
        <v>264</v>
      </c>
      <c r="K246" s="10">
        <f>IF(J246="",0,convertNumberStringPointToNumberComma(LEFT(J246,LEN(J246)-1)))</f>
        <v>0.1</v>
      </c>
      <c r="L246" t="s">
        <v>2785</v>
      </c>
      <c r="M246" t="s">
        <v>2680</v>
      </c>
      <c r="N246" t="s">
        <v>2681</v>
      </c>
      <c r="O246" t="s">
        <v>2786</v>
      </c>
      <c r="P246" s="5" t="str">
        <f>LEFT(O246,LEN(O246)-1)</f>
        <v>22</v>
      </c>
      <c r="Q246" t="s">
        <v>3306</v>
      </c>
      <c r="R246" s="52">
        <f>_xlfn.NUMBERVALUE(convertNumberStringPointToNumberComma(LEFT(Q246,FIND("x",Q246)-2)))</f>
        <v>56</v>
      </c>
      <c r="S246" s="52">
        <f>_xlfn.NUMBERVALUE(convertNumberStringPointToNumberComma(LEFT(RIGHT(Q246,LEN(Q246)-FIND("x",Q246)-1),LEN(RIGHT(Q246,LEN(Q246)-FIND("x",Q246)-1))-2)))</f>
        <v>9</v>
      </c>
    </row>
    <row r="247" spans="1:19" x14ac:dyDescent="0.25">
      <c r="A247" t="s">
        <v>1639</v>
      </c>
      <c r="B247" t="s">
        <v>1640</v>
      </c>
      <c r="E247" t="s">
        <v>2639</v>
      </c>
      <c r="H247" t="s">
        <v>318</v>
      </c>
      <c r="L247" t="s">
        <v>2958</v>
      </c>
      <c r="M247" t="s">
        <v>2782</v>
      </c>
      <c r="N247" t="s">
        <v>2783</v>
      </c>
      <c r="O247" t="s">
        <v>2712</v>
      </c>
      <c r="Q247" t="s">
        <v>3590</v>
      </c>
      <c r="R247" s="52">
        <f>_xlfn.NUMBERVALUE(convertNumberStringPointToNumberComma(LEFT(Q247,FIND("x",Q247)-2)))</f>
        <v>56.5</v>
      </c>
      <c r="S247" s="52">
        <f>_xlfn.NUMBERVALUE(convertNumberStringPointToNumberComma(LEFT(RIGHT(Q247,LEN(Q247)-FIND("x",Q247)-1),LEN(RIGHT(Q247,LEN(Q247)-FIND("x",Q247)-1))-2)))</f>
        <v>46</v>
      </c>
    </row>
    <row r="248" spans="1:19" x14ac:dyDescent="0.25">
      <c r="A248" t="s">
        <v>2366</v>
      </c>
      <c r="B248" t="s">
        <v>1640</v>
      </c>
      <c r="E248" t="s">
        <v>2639</v>
      </c>
      <c r="H248" t="s">
        <v>318</v>
      </c>
      <c r="L248" t="s">
        <v>2958</v>
      </c>
      <c r="M248" t="s">
        <v>2782</v>
      </c>
      <c r="N248" t="s">
        <v>2783</v>
      </c>
      <c r="O248" t="s">
        <v>2712</v>
      </c>
      <c r="Q248" t="s">
        <v>3590</v>
      </c>
      <c r="R248" s="52">
        <f>_xlfn.NUMBERVALUE(convertNumberStringPointToNumberComma(LEFT(Q248,FIND("x",Q248)-2)))</f>
        <v>56.5</v>
      </c>
      <c r="S248" s="52">
        <f>_xlfn.NUMBERVALUE(convertNumberStringPointToNumberComma(LEFT(RIGHT(Q248,LEN(Q248)-FIND("x",Q248)-1),LEN(RIGHT(Q248,LEN(Q248)-FIND("x",Q248)-1))-2)))</f>
        <v>46</v>
      </c>
    </row>
    <row r="249" spans="1:19" x14ac:dyDescent="0.25">
      <c r="A249" t="s">
        <v>2455</v>
      </c>
      <c r="B249" t="s">
        <v>1232</v>
      </c>
      <c r="E249" t="s">
        <v>2634</v>
      </c>
      <c r="H249" t="s">
        <v>318</v>
      </c>
      <c r="L249" t="s">
        <v>2726</v>
      </c>
      <c r="M249" t="s">
        <v>2680</v>
      </c>
      <c r="N249" t="s">
        <v>2681</v>
      </c>
      <c r="O249" t="s">
        <v>681</v>
      </c>
      <c r="Q249" t="s">
        <v>4003</v>
      </c>
      <c r="R249" s="52">
        <f>_xlfn.NUMBERVALUE(convertNumberStringPointToNumberComma(LEFT(Q249,FIND("x",Q249)-2)))</f>
        <v>56.5</v>
      </c>
      <c r="S249" s="52">
        <f>_xlfn.NUMBERVALUE(convertNumberStringPointToNumberComma(LEFT(RIGHT(Q249,LEN(Q249)-FIND("x",Q249)-1),LEN(RIGHT(Q249,LEN(Q249)-FIND("x",Q249)-1))-2)))</f>
        <v>49.5</v>
      </c>
    </row>
    <row r="250" spans="1:19" x14ac:dyDescent="0.25">
      <c r="A250" t="s">
        <v>1580</v>
      </c>
      <c r="B250" t="s">
        <v>1098</v>
      </c>
      <c r="E250" t="s">
        <v>2639</v>
      </c>
      <c r="H250" t="s">
        <v>2672</v>
      </c>
      <c r="L250" t="s">
        <v>2673</v>
      </c>
      <c r="M250" t="s">
        <v>2680</v>
      </c>
      <c r="N250" t="s">
        <v>2681</v>
      </c>
      <c r="O250" t="s">
        <v>2946</v>
      </c>
      <c r="Q250" t="s">
        <v>3569</v>
      </c>
      <c r="R250" s="52">
        <f>_xlfn.NUMBERVALUE(convertNumberStringPointToNumberComma(LEFT(Q250,FIND("x",Q250)-2)))</f>
        <v>56.5</v>
      </c>
      <c r="S250" s="52">
        <f>_xlfn.NUMBERVALUE(convertNumberStringPointToNumberComma(LEFT(RIGHT(Q250,LEN(Q250)-FIND("x",Q250)-1),LEN(RIGHT(Q250,LEN(Q250)-FIND("x",Q250)-1))-2)))</f>
        <v>50</v>
      </c>
    </row>
    <row r="251" spans="1:19" x14ac:dyDescent="0.25">
      <c r="A251" t="s">
        <v>1581</v>
      </c>
      <c r="B251" t="s">
        <v>1098</v>
      </c>
      <c r="E251" t="s">
        <v>2639</v>
      </c>
      <c r="H251" t="s">
        <v>2672</v>
      </c>
      <c r="L251" t="s">
        <v>2673</v>
      </c>
      <c r="M251" t="s">
        <v>2680</v>
      </c>
      <c r="N251" t="s">
        <v>2681</v>
      </c>
      <c r="O251" t="s">
        <v>2946</v>
      </c>
      <c r="Q251" t="s">
        <v>3569</v>
      </c>
      <c r="R251" s="52">
        <f>_xlfn.NUMBERVALUE(convertNumberStringPointToNumberComma(LEFT(Q251,FIND("x",Q251)-2)))</f>
        <v>56.5</v>
      </c>
      <c r="S251" s="52">
        <f>_xlfn.NUMBERVALUE(convertNumberStringPointToNumberComma(LEFT(RIGHT(Q251,LEN(Q251)-FIND("x",Q251)-1),LEN(RIGHT(Q251,LEN(Q251)-FIND("x",Q251)-1))-2)))</f>
        <v>50</v>
      </c>
    </row>
    <row r="252" spans="1:19" x14ac:dyDescent="0.25">
      <c r="A252" t="s">
        <v>1120</v>
      </c>
      <c r="B252" t="s">
        <v>1121</v>
      </c>
      <c r="C252" s="5">
        <f>convertNumberStringPointToNumberComma(IFERROR(LEFT(B252,(FIND("-",B252)-1)),LEFT(B252,FIND("mm",B252)-1)))</f>
        <v>17</v>
      </c>
      <c r="D252" s="5">
        <f>convertNumberStringPointToNumberComma(IFERROR(RIGHT(LEFT(B252,FIND("m",B252)-1),LEN(LEFT(B252,FIND("m",B252)-1))-FIND("-",LEFT(B252,FIND("m",B252)-1))-1),C252))</f>
        <v>17</v>
      </c>
      <c r="E252" t="s">
        <v>2632</v>
      </c>
      <c r="F252" s="9">
        <f>convertNumberStringPointToNumberComma(LEFT(MID(E252,3,9),IFERROR(FIND("-",MID(E252,3,9))-2,3)))</f>
        <v>2.8</v>
      </c>
      <c r="G252" s="9">
        <f>convertNumberStringPointToNumberComma(RIGHT(E252,IF(ISERROR(FIND(".",RIGHT(E252,3))),1,3)))</f>
        <v>2.8</v>
      </c>
      <c r="H252" t="s">
        <v>2672</v>
      </c>
      <c r="I252" s="5" t="str">
        <f>IF(H252="none",0,LEFT(H252,LEN(H252)-2))</f>
        <v>37</v>
      </c>
      <c r="J252" s="5" t="s">
        <v>22</v>
      </c>
      <c r="K252" s="10">
        <f>IF(J252="",0,convertNumberStringPointToNumberComma(LEFT(J252,LEN(J252)-1)))</f>
        <v>0.15</v>
      </c>
      <c r="L252" t="s">
        <v>2692</v>
      </c>
      <c r="M252" t="s">
        <v>2680</v>
      </c>
      <c r="N252" t="s">
        <v>2681</v>
      </c>
      <c r="O252" t="s">
        <v>2800</v>
      </c>
      <c r="P252" s="5" t="str">
        <f>LEFT(O252,LEN(O252)-1)</f>
        <v>71</v>
      </c>
      <c r="Q252" t="s">
        <v>3320</v>
      </c>
      <c r="R252" s="52">
        <f>_xlfn.NUMBERVALUE(convertNumberStringPointToNumberComma(LEFT(Q252,FIND("x",Q252)-2)))</f>
        <v>57</v>
      </c>
      <c r="S252" s="52">
        <f>_xlfn.NUMBERVALUE(convertNumberStringPointToNumberComma(LEFT(RIGHT(Q252,LEN(Q252)-FIND("x",Q252)-1),LEN(RIGHT(Q252,LEN(Q252)-FIND("x",Q252)-1))-2)))</f>
        <v>22</v>
      </c>
    </row>
    <row r="253" spans="1:19" x14ac:dyDescent="0.25">
      <c r="A253" t="s">
        <v>1582</v>
      </c>
      <c r="B253" t="s">
        <v>1121</v>
      </c>
      <c r="E253" t="s">
        <v>2632</v>
      </c>
      <c r="H253" t="s">
        <v>2672</v>
      </c>
      <c r="L253" t="s">
        <v>2692</v>
      </c>
      <c r="M253" t="s">
        <v>2680</v>
      </c>
      <c r="N253" t="s">
        <v>2681</v>
      </c>
      <c r="O253" t="s">
        <v>2800</v>
      </c>
      <c r="Q253" t="s">
        <v>3320</v>
      </c>
      <c r="R253" s="52">
        <f>_xlfn.NUMBERVALUE(convertNumberStringPointToNumberComma(LEFT(Q253,FIND("x",Q253)-2)))</f>
        <v>57</v>
      </c>
      <c r="S253" s="52">
        <f>_xlfn.NUMBERVALUE(convertNumberStringPointToNumberComma(LEFT(RIGHT(Q253,LEN(Q253)-FIND("x",Q253)-1),LEN(RIGHT(Q253,LEN(Q253)-FIND("x",Q253)-1))-2)))</f>
        <v>22</v>
      </c>
    </row>
    <row r="254" spans="1:19" x14ac:dyDescent="0.25">
      <c r="A254" t="s">
        <v>1425</v>
      </c>
      <c r="B254" t="s">
        <v>586</v>
      </c>
      <c r="E254" t="s">
        <v>2649</v>
      </c>
      <c r="H254" t="s">
        <v>2669</v>
      </c>
      <c r="L254" t="s">
        <v>2900</v>
      </c>
      <c r="M254" t="s">
        <v>2680</v>
      </c>
      <c r="N254" t="s">
        <v>2681</v>
      </c>
      <c r="O254" t="s">
        <v>2901</v>
      </c>
      <c r="Q254" t="s">
        <v>3493</v>
      </c>
      <c r="R254" s="52">
        <f>_xlfn.NUMBERVALUE(convertNumberStringPointToNumberComma(LEFT(Q254,FIND("x",Q254)-2)))</f>
        <v>57</v>
      </c>
      <c r="S254" s="52">
        <f>_xlfn.NUMBERVALUE(convertNumberStringPointToNumberComma(LEFT(RIGHT(Q254,LEN(Q254)-FIND("x",Q254)-1),LEN(RIGHT(Q254,LEN(Q254)-FIND("x",Q254)-1))-2)))</f>
        <v>60</v>
      </c>
    </row>
    <row r="255" spans="1:19" x14ac:dyDescent="0.25">
      <c r="A255" t="s">
        <v>1552</v>
      </c>
      <c r="B255" t="s">
        <v>263</v>
      </c>
      <c r="E255" t="s">
        <v>2632</v>
      </c>
      <c r="L255" t="s">
        <v>2726</v>
      </c>
      <c r="M255" t="s">
        <v>8</v>
      </c>
      <c r="N255" t="s">
        <v>913</v>
      </c>
      <c r="O255" t="s">
        <v>265</v>
      </c>
      <c r="Q255" t="s">
        <v>3551</v>
      </c>
      <c r="R255" s="52">
        <f>_xlfn.NUMBERVALUE(convertNumberStringPointToNumberComma(LEFT(Q255,FIND("x",Q255)-2)))</f>
        <v>57</v>
      </c>
      <c r="S255" s="52">
        <f>_xlfn.NUMBERVALUE(convertNumberStringPointToNumberComma(LEFT(RIGHT(Q255,LEN(Q255)-FIND("x",Q255)-1),LEN(RIGHT(Q255,LEN(Q255)-FIND("x",Q255)-1))-2)))</f>
        <v>63</v>
      </c>
    </row>
    <row r="256" spans="1:19" x14ac:dyDescent="0.25">
      <c r="A256" t="s">
        <v>1526</v>
      </c>
      <c r="B256" t="s">
        <v>1527</v>
      </c>
      <c r="E256" t="s">
        <v>2644</v>
      </c>
      <c r="H256" t="s">
        <v>318</v>
      </c>
      <c r="L256" t="s">
        <v>2923</v>
      </c>
      <c r="M256" t="s">
        <v>2680</v>
      </c>
      <c r="N256" t="s">
        <v>2681</v>
      </c>
      <c r="O256" t="s">
        <v>2924</v>
      </c>
      <c r="Q256" t="s">
        <v>3538</v>
      </c>
      <c r="R256" s="52">
        <f>_xlfn.NUMBERVALUE(convertNumberStringPointToNumberComma(LEFT(Q256,FIND("x",Q256)-2)))</f>
        <v>57</v>
      </c>
      <c r="S256" s="52">
        <f>_xlfn.NUMBERVALUE(convertNumberStringPointToNumberComma(LEFT(RIGHT(Q256,LEN(Q256)-FIND("x",Q256)-1),LEN(RIGHT(Q256,LEN(Q256)-FIND("x",Q256)-1))-2)))</f>
        <v>83</v>
      </c>
    </row>
    <row r="257" spans="1:19" x14ac:dyDescent="0.25">
      <c r="A257" t="s">
        <v>1528</v>
      </c>
      <c r="B257" t="s">
        <v>1527</v>
      </c>
      <c r="E257" t="s">
        <v>2644</v>
      </c>
      <c r="H257" t="s">
        <v>318</v>
      </c>
      <c r="L257" t="s">
        <v>2923</v>
      </c>
      <c r="M257" t="s">
        <v>2680</v>
      </c>
      <c r="N257" t="s">
        <v>2681</v>
      </c>
      <c r="O257" t="s">
        <v>2924</v>
      </c>
      <c r="Q257" t="s">
        <v>3538</v>
      </c>
      <c r="R257" s="52">
        <f>_xlfn.NUMBERVALUE(convertNumberStringPointToNumberComma(LEFT(Q257,FIND("x",Q257)-2)))</f>
        <v>57</v>
      </c>
      <c r="S257" s="52">
        <f>_xlfn.NUMBERVALUE(convertNumberStringPointToNumberComma(LEFT(RIGHT(Q257,LEN(Q257)-FIND("x",Q257)-1),LEN(RIGHT(Q257,LEN(Q257)-FIND("x",Q257)-1))-2)))</f>
        <v>83</v>
      </c>
    </row>
    <row r="258" spans="1:19" x14ac:dyDescent="0.25">
      <c r="A258" t="s">
        <v>1490</v>
      </c>
      <c r="B258" t="s">
        <v>1491</v>
      </c>
      <c r="E258" t="s">
        <v>2639</v>
      </c>
      <c r="H258" t="s">
        <v>2670</v>
      </c>
      <c r="L258" t="s">
        <v>2726</v>
      </c>
      <c r="M258" t="s">
        <v>2782</v>
      </c>
      <c r="N258" t="s">
        <v>2783</v>
      </c>
      <c r="O258" t="s">
        <v>2914</v>
      </c>
      <c r="Q258" t="s">
        <v>3521</v>
      </c>
      <c r="R258" s="52">
        <f>_xlfn.NUMBERVALUE(convertNumberStringPointToNumberComma(LEFT(Q258,FIND("x",Q258)-2)))</f>
        <v>57.5</v>
      </c>
      <c r="S258" s="52">
        <f>_xlfn.NUMBERVALUE(convertNumberStringPointToNumberComma(LEFT(RIGHT(Q258,LEN(Q258)-FIND("x",Q258)-1),LEN(RIGHT(Q258,LEN(Q258)-FIND("x",Q258)-1))-2)))</f>
        <v>31</v>
      </c>
    </row>
    <row r="259" spans="1:19" x14ac:dyDescent="0.25">
      <c r="A259" t="s">
        <v>1192</v>
      </c>
      <c r="B259" t="s">
        <v>1087</v>
      </c>
      <c r="C259" s="5">
        <f>convertNumberStringPointToNumberComma(IFERROR(LEFT(B259,(FIND("-",B259)-1)),LEFT(B259,FIND("mm",B259)-1)))</f>
        <v>10</v>
      </c>
      <c r="D259" s="5">
        <f>convertNumberStringPointToNumberComma(IFERROR(RIGHT(LEFT(B259,FIND("m",B259)-1),LEN(LEFT(B259,FIND("m",B259)-1))-FIND("-",LEFT(B259,FIND("m",B259)-1))-1),C259))</f>
        <v>0</v>
      </c>
      <c r="E259" t="s">
        <v>2639</v>
      </c>
      <c r="F259" s="9">
        <f>convertNumberStringPointToNumberComma(LEFT(MID(E259,3,9),IFERROR(FIND("-",MID(E259,3,9))-2,3)))</f>
        <v>3</v>
      </c>
      <c r="G259" s="9">
        <f>convertNumberStringPointToNumberComma(RIGHT(E259,IF(ISERROR(FIND(".",RIGHT(E259,3))),1,3)))</f>
        <v>5.6</v>
      </c>
      <c r="H259" t="s">
        <v>2670</v>
      </c>
      <c r="I259" s="5" t="str">
        <f>IF(H259="none",0,LEFT(H259,LEN(H259)-2))</f>
        <v>40.5</v>
      </c>
      <c r="J259" s="5"/>
      <c r="K259" s="10">
        <f>IF(J259="",0,convertNumberStringPointToNumberComma(LEFT(J259,LEN(J259)-1)))</f>
        <v>0</v>
      </c>
      <c r="L259" t="s">
        <v>2695</v>
      </c>
      <c r="M259" t="s">
        <v>2782</v>
      </c>
      <c r="N259" t="s">
        <v>2783</v>
      </c>
      <c r="O259" t="s">
        <v>2834</v>
      </c>
      <c r="P259" s="5" t="str">
        <f>LEFT(O259,LEN(O259)-1)</f>
        <v>115</v>
      </c>
      <c r="Q259" t="s">
        <v>3355</v>
      </c>
      <c r="R259" s="52">
        <f>_xlfn.NUMBERVALUE(convertNumberStringPointToNumberComma(LEFT(Q259,FIND("x",Q259)-2)))</f>
        <v>57.5</v>
      </c>
      <c r="S259" s="52">
        <f>_xlfn.NUMBERVALUE(convertNumberStringPointToNumberComma(LEFT(RIGHT(Q259,LEN(Q259)-FIND("x",Q259)-1),LEN(RIGHT(Q259,LEN(Q259)-FIND("x",Q259)-1))-2)))</f>
        <v>42</v>
      </c>
    </row>
    <row r="260" spans="1:19" x14ac:dyDescent="0.25">
      <c r="B260" t="s">
        <v>1357</v>
      </c>
      <c r="E260" t="s">
        <v>2635</v>
      </c>
      <c r="H260" t="s">
        <v>318</v>
      </c>
      <c r="L260" t="s">
        <v>2775</v>
      </c>
      <c r="M260" t="s">
        <v>2818</v>
      </c>
      <c r="N260" t="s">
        <v>2959</v>
      </c>
      <c r="O260" t="s">
        <v>2693</v>
      </c>
      <c r="Q260" t="s">
        <v>3987</v>
      </c>
      <c r="R260" s="52">
        <f>_xlfn.NUMBERVALUE(convertNumberStringPointToNumberComma(LEFT(Q260,FIND("x",Q260)-2)))</f>
        <v>57.9</v>
      </c>
      <c r="S260" s="52">
        <f>_xlfn.NUMBERVALUE(convertNumberStringPointToNumberComma(LEFT(RIGHT(Q260,LEN(Q260)-FIND("x",Q260)-1),LEN(RIGHT(Q260,LEN(Q260)-FIND("x",Q260)-1))-2)))</f>
        <v>73.8</v>
      </c>
    </row>
    <row r="261" spans="1:19" x14ac:dyDescent="0.25">
      <c r="A261" t="s">
        <v>1086</v>
      </c>
      <c r="B261" t="s">
        <v>1087</v>
      </c>
      <c r="C261" s="5">
        <f>convertNumberStringPointToNumberComma(IFERROR(LEFT(B261,(FIND("-",B261)-1)),LEFT(B261,FIND("mm",B261)-1)))</f>
        <v>10</v>
      </c>
      <c r="D261" s="5">
        <f>convertNumberStringPointToNumberComma(IFERROR(RIGHT(LEFT(B261,FIND("m",B261)-1),LEN(LEFT(B261,FIND("m",B261)-1))-FIND("-",LEFT(B261,FIND("m",B261)-1))-1),C261))</f>
        <v>0</v>
      </c>
      <c r="E261" t="s">
        <v>2639</v>
      </c>
      <c r="F261" s="9">
        <f>convertNumberStringPointToNumberComma(LEFT(MID(E261,3,9),IFERROR(FIND("-",MID(E261,3,9))-2,3)))</f>
        <v>3</v>
      </c>
      <c r="G261" s="9">
        <f>convertNumberStringPointToNumberComma(RIGHT(E261,IF(ISERROR(FIND(".",RIGHT(E261,3))),1,3)))</f>
        <v>5.6</v>
      </c>
      <c r="I261" s="5" t="e">
        <f>IF(H261="none",0,LEFT(H261,LEN(H261)-2))</f>
        <v>#VALUE!</v>
      </c>
      <c r="J261" s="5" t="s">
        <v>326</v>
      </c>
      <c r="K261" s="10">
        <f>IF(J261="",0,convertNumberStringPointToNumberComma(LEFT(J261,LEN(J261)-1)))</f>
        <v>0.33</v>
      </c>
      <c r="M261" t="s">
        <v>2782</v>
      </c>
      <c r="N261" t="s">
        <v>2783</v>
      </c>
      <c r="O261" t="s">
        <v>2784</v>
      </c>
      <c r="P261" s="5" t="str">
        <f>LEFT(O261,LEN(O261)-1)</f>
        <v>85</v>
      </c>
      <c r="Q261" t="s">
        <v>3305</v>
      </c>
      <c r="R261" s="52">
        <f>_xlfn.NUMBERVALUE(convertNumberStringPointToNumberComma(LEFT(Q261,FIND("x",Q261)-2)))</f>
        <v>58</v>
      </c>
      <c r="S261" s="52">
        <f>_xlfn.NUMBERVALUE(convertNumberStringPointToNumberComma(LEFT(RIGHT(Q261,LEN(Q261)-FIND("x",Q261)-1),LEN(RIGHT(Q261,LEN(Q261)-FIND("x",Q261)-1))-2)))</f>
        <v>28</v>
      </c>
    </row>
    <row r="262" spans="1:19" x14ac:dyDescent="0.25">
      <c r="A262" t="s">
        <v>1657</v>
      </c>
      <c r="B262" t="s">
        <v>222</v>
      </c>
      <c r="E262" t="s">
        <v>2640</v>
      </c>
      <c r="H262" t="s">
        <v>2669</v>
      </c>
      <c r="L262" t="s">
        <v>2726</v>
      </c>
      <c r="M262" t="s">
        <v>2680</v>
      </c>
      <c r="N262" t="s">
        <v>2681</v>
      </c>
      <c r="O262" t="s">
        <v>2834</v>
      </c>
      <c r="Q262" t="s">
        <v>3598</v>
      </c>
      <c r="R262" s="52">
        <f>_xlfn.NUMBERVALUE(convertNumberStringPointToNumberComma(LEFT(Q262,FIND("x",Q262)-2)))</f>
        <v>58</v>
      </c>
      <c r="S262" s="52">
        <f>_xlfn.NUMBERVALUE(convertNumberStringPointToNumberComma(LEFT(RIGHT(Q262,LEN(Q262)-FIND("x",Q262)-1),LEN(RIGHT(Q262,LEN(Q262)-FIND("x",Q262)-1))-2)))</f>
        <v>36</v>
      </c>
    </row>
    <row r="263" spans="1:19" x14ac:dyDescent="0.25">
      <c r="A263" t="s">
        <v>2427</v>
      </c>
      <c r="B263" t="s">
        <v>222</v>
      </c>
      <c r="E263" t="s">
        <v>2640</v>
      </c>
      <c r="H263" t="s">
        <v>2669</v>
      </c>
      <c r="L263" t="s">
        <v>2726</v>
      </c>
      <c r="M263" t="s">
        <v>2680</v>
      </c>
      <c r="N263" t="s">
        <v>2681</v>
      </c>
      <c r="O263" t="s">
        <v>2834</v>
      </c>
      <c r="Q263" t="s">
        <v>3598</v>
      </c>
      <c r="R263" s="52">
        <f>_xlfn.NUMBERVALUE(convertNumberStringPointToNumberComma(LEFT(Q263,FIND("x",Q263)-2)))</f>
        <v>58</v>
      </c>
      <c r="S263" s="52">
        <f>_xlfn.NUMBERVALUE(convertNumberStringPointToNumberComma(LEFT(RIGHT(Q263,LEN(Q263)-FIND("x",Q263)-1),LEN(RIGHT(Q263,LEN(Q263)-FIND("x",Q263)-1))-2)))</f>
        <v>36</v>
      </c>
    </row>
    <row r="264" spans="1:19" x14ac:dyDescent="0.25">
      <c r="A264" t="s">
        <v>2480</v>
      </c>
      <c r="B264" t="s">
        <v>1121</v>
      </c>
      <c r="E264" t="s">
        <v>2635</v>
      </c>
      <c r="H264" t="s">
        <v>2669</v>
      </c>
      <c r="L264" t="s">
        <v>2910</v>
      </c>
      <c r="M264" t="s">
        <v>2680</v>
      </c>
      <c r="N264" t="s">
        <v>2681</v>
      </c>
      <c r="O264" t="s">
        <v>2771</v>
      </c>
      <c r="Q264" t="s">
        <v>3598</v>
      </c>
      <c r="R264" s="52">
        <f>_xlfn.NUMBERVALUE(convertNumberStringPointToNumberComma(LEFT(Q264,FIND("x",Q264)-2)))</f>
        <v>58</v>
      </c>
      <c r="S264" s="52">
        <f>_xlfn.NUMBERVALUE(convertNumberStringPointToNumberComma(LEFT(RIGHT(Q264,LEN(Q264)-FIND("x",Q264)-1),LEN(RIGHT(Q264,LEN(Q264)-FIND("x",Q264)-1))-2)))</f>
        <v>36</v>
      </c>
    </row>
    <row r="265" spans="1:19" x14ac:dyDescent="0.25">
      <c r="A265" t="s">
        <v>2535</v>
      </c>
      <c r="B265" t="s">
        <v>1121</v>
      </c>
      <c r="E265" t="s">
        <v>2635</v>
      </c>
      <c r="H265" t="s">
        <v>2669</v>
      </c>
      <c r="L265" t="s">
        <v>2910</v>
      </c>
      <c r="M265" t="s">
        <v>2680</v>
      </c>
      <c r="N265" t="s">
        <v>2681</v>
      </c>
      <c r="O265" t="s">
        <v>2771</v>
      </c>
      <c r="Q265" t="s">
        <v>3598</v>
      </c>
      <c r="R265" s="52">
        <f>_xlfn.NUMBERVALUE(convertNumberStringPointToNumberComma(LEFT(Q265,FIND("x",Q265)-2)))</f>
        <v>58</v>
      </c>
      <c r="S265" s="52">
        <f>_xlfn.NUMBERVALUE(convertNumberStringPointToNumberComma(LEFT(RIGHT(Q265,LEN(Q265)-FIND("x",Q265)-1),LEN(RIGHT(Q265,LEN(Q265)-FIND("x",Q265)-1))-2)))</f>
        <v>36</v>
      </c>
    </row>
    <row r="266" spans="1:19" x14ac:dyDescent="0.25">
      <c r="A266" t="s">
        <v>2480</v>
      </c>
      <c r="B266" t="s">
        <v>1121</v>
      </c>
      <c r="E266" t="s">
        <v>2635</v>
      </c>
      <c r="H266" t="s">
        <v>2669</v>
      </c>
      <c r="L266" t="s">
        <v>2910</v>
      </c>
      <c r="M266" t="s">
        <v>2680</v>
      </c>
      <c r="N266" t="s">
        <v>2681</v>
      </c>
      <c r="O266" t="s">
        <v>2771</v>
      </c>
      <c r="Q266" t="s">
        <v>3598</v>
      </c>
      <c r="R266" s="52">
        <f>_xlfn.NUMBERVALUE(convertNumberStringPointToNumberComma(LEFT(Q266,FIND("x",Q266)-2)))</f>
        <v>58</v>
      </c>
      <c r="S266" s="52">
        <f>_xlfn.NUMBERVALUE(convertNumberStringPointToNumberComma(LEFT(RIGHT(Q266,LEN(Q266)-FIND("x",Q266)-1),LEN(RIGHT(Q266,LEN(Q266)-FIND("x",Q266)-1))-2)))</f>
        <v>36</v>
      </c>
    </row>
    <row r="267" spans="1:19" x14ac:dyDescent="0.25">
      <c r="A267" t="s">
        <v>1505</v>
      </c>
      <c r="B267" t="s">
        <v>526</v>
      </c>
      <c r="E267" t="s">
        <v>2635</v>
      </c>
      <c r="H267" t="s">
        <v>2669</v>
      </c>
      <c r="L267" t="s">
        <v>2677</v>
      </c>
      <c r="M267" t="s">
        <v>2680</v>
      </c>
      <c r="N267" t="s">
        <v>2681</v>
      </c>
      <c r="O267" t="s">
        <v>2916</v>
      </c>
      <c r="Q267" t="s">
        <v>3529</v>
      </c>
      <c r="R267" s="52">
        <f>_xlfn.NUMBERVALUE(convertNumberStringPointToNumberComma(LEFT(Q267,FIND("x",Q267)-2)))</f>
        <v>58</v>
      </c>
      <c r="S267" s="52">
        <f>_xlfn.NUMBERVALUE(convertNumberStringPointToNumberComma(LEFT(RIGHT(Q267,LEN(Q267)-FIND("x",Q267)-1),LEN(RIGHT(Q267,LEN(Q267)-FIND("x",Q267)-1))-2)))</f>
        <v>42</v>
      </c>
    </row>
    <row r="268" spans="1:19" x14ac:dyDescent="0.25">
      <c r="A268" t="s">
        <v>2423</v>
      </c>
      <c r="B268" t="s">
        <v>526</v>
      </c>
      <c r="E268" t="s">
        <v>2635</v>
      </c>
      <c r="H268" t="s">
        <v>2669</v>
      </c>
      <c r="L268" t="s">
        <v>2677</v>
      </c>
      <c r="M268" t="s">
        <v>2680</v>
      </c>
      <c r="N268" t="s">
        <v>2681</v>
      </c>
      <c r="O268" t="s">
        <v>2916</v>
      </c>
      <c r="Q268" t="s">
        <v>3529</v>
      </c>
      <c r="R268" s="52">
        <f>_xlfn.NUMBERVALUE(convertNumberStringPointToNumberComma(LEFT(Q268,FIND("x",Q268)-2)))</f>
        <v>58</v>
      </c>
      <c r="S268" s="52">
        <f>_xlfn.NUMBERVALUE(convertNumberStringPointToNumberComma(LEFT(RIGHT(Q268,LEN(Q268)-FIND("x",Q268)-1),LEN(RIGHT(Q268,LEN(Q268)-FIND("x",Q268)-1))-2)))</f>
        <v>42</v>
      </c>
    </row>
    <row r="269" spans="1:19" x14ac:dyDescent="0.25">
      <c r="B269" t="s">
        <v>592</v>
      </c>
      <c r="E269" t="s">
        <v>2656</v>
      </c>
      <c r="H269" t="s">
        <v>2667</v>
      </c>
      <c r="M269" t="s">
        <v>2674</v>
      </c>
      <c r="N269" t="s">
        <v>913</v>
      </c>
      <c r="O269" t="s">
        <v>632</v>
      </c>
      <c r="Q269" t="s">
        <v>3943</v>
      </c>
      <c r="R269" s="52">
        <f>_xlfn.NUMBERVALUE(convertNumberStringPointToNumberComma(LEFT(Q269,FIND("x",Q269)-2)))</f>
        <v>58</v>
      </c>
      <c r="S269" s="52">
        <f>_xlfn.NUMBERVALUE(convertNumberStringPointToNumberComma(LEFT(RIGHT(Q269,LEN(Q269)-FIND("x",Q269)-1),LEN(RIGHT(Q269,LEN(Q269)-FIND("x",Q269)-1))-2)))</f>
        <v>45</v>
      </c>
    </row>
    <row r="270" spans="1:19" x14ac:dyDescent="0.25">
      <c r="B270" t="s">
        <v>592</v>
      </c>
      <c r="E270" t="s">
        <v>2656</v>
      </c>
      <c r="H270" t="s">
        <v>2667</v>
      </c>
      <c r="M270" t="s">
        <v>2748</v>
      </c>
      <c r="N270" t="s">
        <v>913</v>
      </c>
      <c r="O270" t="s">
        <v>632</v>
      </c>
      <c r="Q270" t="s">
        <v>3943</v>
      </c>
      <c r="R270" s="52">
        <f>_xlfn.NUMBERVALUE(convertNumberStringPointToNumberComma(LEFT(Q270,FIND("x",Q270)-2)))</f>
        <v>58</v>
      </c>
      <c r="S270" s="52">
        <f>_xlfn.NUMBERVALUE(convertNumberStringPointToNumberComma(LEFT(RIGHT(Q270,LEN(Q270)-FIND("x",Q270)-1),LEN(RIGHT(Q270,LEN(Q270)-FIND("x",Q270)-1))-2)))</f>
        <v>45</v>
      </c>
    </row>
    <row r="271" spans="1:19" x14ac:dyDescent="0.25">
      <c r="B271" t="s">
        <v>1357</v>
      </c>
      <c r="E271" t="s">
        <v>2654</v>
      </c>
      <c r="H271" t="s">
        <v>318</v>
      </c>
      <c r="M271" t="s">
        <v>8</v>
      </c>
      <c r="N271" t="s">
        <v>913</v>
      </c>
      <c r="O271" t="s">
        <v>716</v>
      </c>
      <c r="Q271" t="s">
        <v>3946</v>
      </c>
      <c r="R271" s="52">
        <f>_xlfn.NUMBERVALUE(convertNumberStringPointToNumberComma(LEFT(Q271,FIND("x",Q271)-2)))</f>
        <v>58</v>
      </c>
      <c r="S271" s="52">
        <f>_xlfn.NUMBERVALUE(convertNumberStringPointToNumberComma(LEFT(RIGHT(Q271,LEN(Q271)-FIND("x",Q271)-1),LEN(RIGHT(Q271,LEN(Q271)-FIND("x",Q271)-1))-2)))</f>
        <v>55</v>
      </c>
    </row>
    <row r="272" spans="1:19" x14ac:dyDescent="0.25">
      <c r="B272" t="s">
        <v>1357</v>
      </c>
      <c r="E272" t="s">
        <v>2654</v>
      </c>
      <c r="H272" t="s">
        <v>318</v>
      </c>
      <c r="M272" t="s">
        <v>3165</v>
      </c>
      <c r="N272" t="s">
        <v>913</v>
      </c>
      <c r="O272" t="s">
        <v>716</v>
      </c>
      <c r="Q272" t="s">
        <v>3946</v>
      </c>
      <c r="R272" s="52">
        <f>_xlfn.NUMBERVALUE(convertNumberStringPointToNumberComma(LEFT(Q272,FIND("x",Q272)-2)))</f>
        <v>58</v>
      </c>
      <c r="S272" s="52">
        <f>_xlfn.NUMBERVALUE(convertNumberStringPointToNumberComma(LEFT(RIGHT(Q272,LEN(Q272)-FIND("x",Q272)-1),LEN(RIGHT(Q272,LEN(Q272)-FIND("x",Q272)-1))-2)))</f>
        <v>55</v>
      </c>
    </row>
    <row r="273" spans="1:19" x14ac:dyDescent="0.25">
      <c r="B273" t="s">
        <v>1357</v>
      </c>
      <c r="E273" t="s">
        <v>2654</v>
      </c>
      <c r="H273" t="s">
        <v>318</v>
      </c>
      <c r="M273" t="s">
        <v>2674</v>
      </c>
      <c r="N273" t="s">
        <v>913</v>
      </c>
      <c r="O273" t="s">
        <v>716</v>
      </c>
      <c r="Q273" t="s">
        <v>3946</v>
      </c>
      <c r="R273" s="52">
        <f>_xlfn.NUMBERVALUE(convertNumberStringPointToNumberComma(LEFT(Q273,FIND("x",Q273)-2)))</f>
        <v>58</v>
      </c>
      <c r="S273" s="52">
        <f>_xlfn.NUMBERVALUE(convertNumberStringPointToNumberComma(LEFT(RIGHT(Q273,LEN(Q273)-FIND("x",Q273)-1),LEN(RIGHT(Q273,LEN(Q273)-FIND("x",Q273)-1))-2)))</f>
        <v>55</v>
      </c>
    </row>
    <row r="274" spans="1:19" x14ac:dyDescent="0.25">
      <c r="B274" t="s">
        <v>1357</v>
      </c>
      <c r="E274" t="s">
        <v>2654</v>
      </c>
      <c r="H274" t="s">
        <v>318</v>
      </c>
      <c r="M274" t="s">
        <v>2802</v>
      </c>
      <c r="N274" t="s">
        <v>913</v>
      </c>
      <c r="O274" t="s">
        <v>716</v>
      </c>
      <c r="Q274" t="s">
        <v>3946</v>
      </c>
      <c r="R274" s="52">
        <f>_xlfn.NUMBERVALUE(convertNumberStringPointToNumberComma(LEFT(Q274,FIND("x",Q274)-2)))</f>
        <v>58</v>
      </c>
      <c r="S274" s="52">
        <f>_xlfn.NUMBERVALUE(convertNumberStringPointToNumberComma(LEFT(RIGHT(Q274,LEN(Q274)-FIND("x",Q274)-1),LEN(RIGHT(Q274,LEN(Q274)-FIND("x",Q274)-1))-2)))</f>
        <v>55</v>
      </c>
    </row>
    <row r="275" spans="1:19" x14ac:dyDescent="0.25">
      <c r="B275" t="s">
        <v>1357</v>
      </c>
      <c r="E275" t="s">
        <v>2654</v>
      </c>
      <c r="H275" t="s">
        <v>318</v>
      </c>
      <c r="M275" t="s">
        <v>2680</v>
      </c>
      <c r="N275" t="s">
        <v>913</v>
      </c>
      <c r="O275" t="s">
        <v>716</v>
      </c>
      <c r="Q275" t="s">
        <v>3946</v>
      </c>
      <c r="R275" s="52">
        <f>_xlfn.NUMBERVALUE(convertNumberStringPointToNumberComma(LEFT(Q275,FIND("x",Q275)-2)))</f>
        <v>58</v>
      </c>
      <c r="S275" s="52">
        <f>_xlfn.NUMBERVALUE(convertNumberStringPointToNumberComma(LEFT(RIGHT(Q275,LEN(Q275)-FIND("x",Q275)-1),LEN(RIGHT(Q275,LEN(Q275)-FIND("x",Q275)-1))-2)))</f>
        <v>55</v>
      </c>
    </row>
    <row r="276" spans="1:19" x14ac:dyDescent="0.25">
      <c r="B276" t="s">
        <v>1357</v>
      </c>
      <c r="E276" t="s">
        <v>2654</v>
      </c>
      <c r="H276" t="s">
        <v>318</v>
      </c>
      <c r="M276" t="s">
        <v>2915</v>
      </c>
      <c r="N276" t="s">
        <v>913</v>
      </c>
      <c r="O276" t="s">
        <v>716</v>
      </c>
      <c r="Q276" t="s">
        <v>3946</v>
      </c>
      <c r="R276" s="52">
        <f>_xlfn.NUMBERVALUE(convertNumberStringPointToNumberComma(LEFT(Q276,FIND("x",Q276)-2)))</f>
        <v>58</v>
      </c>
      <c r="S276" s="52">
        <f>_xlfn.NUMBERVALUE(convertNumberStringPointToNumberComma(LEFT(RIGHT(Q276,LEN(Q276)-FIND("x",Q276)-1),LEN(RIGHT(Q276,LEN(Q276)-FIND("x",Q276)-1))-2)))</f>
        <v>55</v>
      </c>
    </row>
    <row r="277" spans="1:19" x14ac:dyDescent="0.25">
      <c r="B277" t="s">
        <v>1357</v>
      </c>
      <c r="E277" t="s">
        <v>2654</v>
      </c>
      <c r="H277" t="s">
        <v>318</v>
      </c>
      <c r="M277" t="s">
        <v>2818</v>
      </c>
      <c r="N277" t="s">
        <v>913</v>
      </c>
      <c r="O277" t="s">
        <v>716</v>
      </c>
      <c r="Q277" t="s">
        <v>3946</v>
      </c>
      <c r="R277" s="52">
        <f>_xlfn.NUMBERVALUE(convertNumberStringPointToNumberComma(LEFT(Q277,FIND("x",Q277)-2)))</f>
        <v>58</v>
      </c>
      <c r="S277" s="52">
        <f>_xlfn.NUMBERVALUE(convertNumberStringPointToNumberComma(LEFT(RIGHT(Q277,LEN(Q277)-FIND("x",Q277)-1),LEN(RIGHT(Q277,LEN(Q277)-FIND("x",Q277)-1))-2)))</f>
        <v>55</v>
      </c>
    </row>
    <row r="278" spans="1:19" x14ac:dyDescent="0.25">
      <c r="B278" t="s">
        <v>1357</v>
      </c>
      <c r="E278" t="s">
        <v>2654</v>
      </c>
      <c r="H278" t="s">
        <v>318</v>
      </c>
      <c r="M278" t="s">
        <v>2748</v>
      </c>
      <c r="N278" t="s">
        <v>913</v>
      </c>
      <c r="O278" t="s">
        <v>716</v>
      </c>
      <c r="Q278" t="s">
        <v>3946</v>
      </c>
      <c r="R278" s="52">
        <f>_xlfn.NUMBERVALUE(convertNumberStringPointToNumberComma(LEFT(Q278,FIND("x",Q278)-2)))</f>
        <v>58</v>
      </c>
      <c r="S278" s="52">
        <f>_xlfn.NUMBERVALUE(convertNumberStringPointToNumberComma(LEFT(RIGHT(Q278,LEN(Q278)-FIND("x",Q278)-1),LEN(RIGHT(Q278,LEN(Q278)-FIND("x",Q278)-1))-2)))</f>
        <v>55</v>
      </c>
    </row>
    <row r="279" spans="1:19" x14ac:dyDescent="0.25">
      <c r="B279" t="s">
        <v>1357</v>
      </c>
      <c r="E279" t="s">
        <v>2654</v>
      </c>
      <c r="H279" t="s">
        <v>318</v>
      </c>
      <c r="M279" t="s">
        <v>2682</v>
      </c>
      <c r="N279" t="s">
        <v>913</v>
      </c>
      <c r="O279" t="s">
        <v>716</v>
      </c>
      <c r="Q279" t="s">
        <v>3946</v>
      </c>
      <c r="R279" s="52">
        <f>_xlfn.NUMBERVALUE(convertNumberStringPointToNumberComma(LEFT(Q279,FIND("x",Q279)-2)))</f>
        <v>58</v>
      </c>
      <c r="S279" s="52">
        <f>_xlfn.NUMBERVALUE(convertNumberStringPointToNumberComma(LEFT(RIGHT(Q279,LEN(Q279)-FIND("x",Q279)-1),LEN(RIGHT(Q279,LEN(Q279)-FIND("x",Q279)-1))-2)))</f>
        <v>55</v>
      </c>
    </row>
    <row r="280" spans="1:19" x14ac:dyDescent="0.25">
      <c r="B280" t="s">
        <v>678</v>
      </c>
      <c r="E280" t="s">
        <v>2656</v>
      </c>
      <c r="H280" t="s">
        <v>2667</v>
      </c>
      <c r="M280" t="s">
        <v>2748</v>
      </c>
      <c r="N280" t="s">
        <v>913</v>
      </c>
      <c r="O280" t="s">
        <v>2758</v>
      </c>
      <c r="Q280" t="s">
        <v>3957</v>
      </c>
      <c r="R280" s="52">
        <f>_xlfn.NUMBERVALUE(convertNumberStringPointToNumberComma(LEFT(Q280,FIND("x",Q280)-2)))</f>
        <v>58</v>
      </c>
      <c r="S280" s="52">
        <f>_xlfn.NUMBERVALUE(convertNumberStringPointToNumberComma(LEFT(RIGHT(Q280,LEN(Q280)-FIND("x",Q280)-1),LEN(RIGHT(Q280,LEN(Q280)-FIND("x",Q280)-1))-2)))</f>
        <v>65</v>
      </c>
    </row>
    <row r="281" spans="1:19" x14ac:dyDescent="0.25">
      <c r="B281" t="s">
        <v>678</v>
      </c>
      <c r="E281" t="s">
        <v>2656</v>
      </c>
      <c r="H281" t="s">
        <v>2667</v>
      </c>
      <c r="M281" t="s">
        <v>2674</v>
      </c>
      <c r="N281" t="s">
        <v>913</v>
      </c>
      <c r="O281" t="s">
        <v>2758</v>
      </c>
      <c r="Q281" t="s">
        <v>3957</v>
      </c>
      <c r="R281" s="52">
        <f>_xlfn.NUMBERVALUE(convertNumberStringPointToNumberComma(LEFT(Q281,FIND("x",Q281)-2)))</f>
        <v>58</v>
      </c>
      <c r="S281" s="52">
        <f>_xlfn.NUMBERVALUE(convertNumberStringPointToNumberComma(LEFT(RIGHT(Q281,LEN(Q281)-FIND("x",Q281)-1),LEN(RIGHT(Q281,LEN(Q281)-FIND("x",Q281)-1))-2)))</f>
        <v>65</v>
      </c>
    </row>
    <row r="282" spans="1:19" x14ac:dyDescent="0.25">
      <c r="A282" t="s">
        <v>1409</v>
      </c>
      <c r="B282" t="s">
        <v>459</v>
      </c>
      <c r="E282" t="s">
        <v>2643</v>
      </c>
      <c r="H282" t="s">
        <v>91</v>
      </c>
      <c r="M282" t="s">
        <v>2680</v>
      </c>
      <c r="N282" t="s">
        <v>2681</v>
      </c>
      <c r="O282" t="s">
        <v>2896</v>
      </c>
      <c r="Q282" t="s">
        <v>3481</v>
      </c>
      <c r="R282" s="52">
        <f>_xlfn.NUMBERVALUE(convertNumberStringPointToNumberComma(LEFT(Q282,FIND("x",Q282)-2)))</f>
        <v>58</v>
      </c>
      <c r="S282" s="52">
        <f>_xlfn.NUMBERVALUE(convertNumberStringPointToNumberComma(LEFT(RIGHT(Q282,LEN(Q282)-FIND("x",Q282)-1),LEN(RIGHT(Q282,LEN(Q282)-FIND("x",Q282)-1))-2)))</f>
        <v>66.400000000000006</v>
      </c>
    </row>
    <row r="283" spans="1:19" x14ac:dyDescent="0.25">
      <c r="A283" t="s">
        <v>1441</v>
      </c>
      <c r="B283" t="s">
        <v>459</v>
      </c>
      <c r="E283" t="s">
        <v>2643</v>
      </c>
      <c r="H283" t="s">
        <v>91</v>
      </c>
      <c r="M283" t="s">
        <v>2680</v>
      </c>
      <c r="N283" t="s">
        <v>2681</v>
      </c>
      <c r="O283" t="s">
        <v>2896</v>
      </c>
      <c r="Q283" t="s">
        <v>3481</v>
      </c>
      <c r="R283" s="52">
        <f>_xlfn.NUMBERVALUE(convertNumberStringPointToNumberComma(LEFT(Q283,FIND("x",Q283)-2)))</f>
        <v>58</v>
      </c>
      <c r="S283" s="52">
        <f>_xlfn.NUMBERVALUE(convertNumberStringPointToNumberComma(LEFT(RIGHT(Q283,LEN(Q283)-FIND("x",Q283)-1),LEN(RIGHT(Q283,LEN(Q283)-FIND("x",Q283)-1))-2)))</f>
        <v>66.400000000000006</v>
      </c>
    </row>
    <row r="284" spans="1:19" x14ac:dyDescent="0.25">
      <c r="B284" t="s">
        <v>1357</v>
      </c>
      <c r="E284" t="s">
        <v>2638</v>
      </c>
      <c r="H284" t="s">
        <v>2667</v>
      </c>
      <c r="L284" t="s">
        <v>2722</v>
      </c>
      <c r="M284" t="s">
        <v>2818</v>
      </c>
      <c r="N284" t="s">
        <v>913</v>
      </c>
      <c r="O284" t="s">
        <v>327</v>
      </c>
      <c r="Q284" t="s">
        <v>3966</v>
      </c>
      <c r="R284" s="52">
        <f>_xlfn.NUMBERVALUE(convertNumberStringPointToNumberComma(LEFT(Q284,FIND("x",Q284)-2)))</f>
        <v>58</v>
      </c>
      <c r="S284" s="52">
        <f>_xlfn.NUMBERVALUE(convertNumberStringPointToNumberComma(LEFT(RIGHT(Q284,LEN(Q284)-FIND("x",Q284)-1),LEN(RIGHT(Q284,LEN(Q284)-FIND("x",Q284)-1))-2)))</f>
        <v>66.8</v>
      </c>
    </row>
    <row r="285" spans="1:19" x14ac:dyDescent="0.25">
      <c r="A285" t="s">
        <v>1410</v>
      </c>
      <c r="B285" t="s">
        <v>459</v>
      </c>
      <c r="E285" t="s">
        <v>2643</v>
      </c>
      <c r="H285" t="s">
        <v>91</v>
      </c>
      <c r="M285" t="s">
        <v>2763</v>
      </c>
      <c r="N285" t="s">
        <v>903</v>
      </c>
      <c r="O285" t="s">
        <v>2897</v>
      </c>
      <c r="Q285" t="s">
        <v>3482</v>
      </c>
      <c r="R285" s="52">
        <f>_xlfn.NUMBERVALUE(convertNumberStringPointToNumberComma(LEFT(Q285,FIND("x",Q285)-2)))</f>
        <v>58</v>
      </c>
      <c r="S285" s="52">
        <f>_xlfn.NUMBERVALUE(convertNumberStringPointToNumberComma(LEFT(RIGHT(Q285,LEN(Q285)-FIND("x",Q285)-1),LEN(RIGHT(Q285,LEN(Q285)-FIND("x",Q285)-1))-2)))</f>
        <v>67.5</v>
      </c>
    </row>
    <row r="286" spans="1:19" x14ac:dyDescent="0.25">
      <c r="A286" t="s">
        <v>1443</v>
      </c>
      <c r="B286" t="s">
        <v>459</v>
      </c>
      <c r="E286" t="s">
        <v>2643</v>
      </c>
      <c r="H286" t="s">
        <v>91</v>
      </c>
      <c r="M286" t="s">
        <v>2763</v>
      </c>
      <c r="N286" t="s">
        <v>903</v>
      </c>
      <c r="O286" t="s">
        <v>2897</v>
      </c>
      <c r="Q286" t="s">
        <v>3482</v>
      </c>
      <c r="R286" s="52">
        <f>_xlfn.NUMBERVALUE(convertNumberStringPointToNumberComma(LEFT(Q286,FIND("x",Q286)-2)))</f>
        <v>58</v>
      </c>
      <c r="S286" s="52">
        <f>_xlfn.NUMBERVALUE(convertNumberStringPointToNumberComma(LEFT(RIGHT(Q286,LEN(Q286)-FIND("x",Q286)-1),LEN(RIGHT(Q286,LEN(Q286)-FIND("x",Q286)-1))-2)))</f>
        <v>67.5</v>
      </c>
    </row>
    <row r="287" spans="1:19" x14ac:dyDescent="0.25">
      <c r="A287" t="s">
        <v>1412</v>
      </c>
      <c r="B287" t="s">
        <v>459</v>
      </c>
      <c r="E287" t="s">
        <v>2643</v>
      </c>
      <c r="H287" t="s">
        <v>91</v>
      </c>
      <c r="M287" t="s">
        <v>2674</v>
      </c>
      <c r="N287" t="s">
        <v>903</v>
      </c>
      <c r="O287" t="s">
        <v>2897</v>
      </c>
      <c r="Q287" t="s">
        <v>3484</v>
      </c>
      <c r="R287" s="52">
        <f>_xlfn.NUMBERVALUE(convertNumberStringPointToNumberComma(LEFT(Q287,FIND("x",Q287)-2)))</f>
        <v>58</v>
      </c>
      <c r="S287" s="52">
        <f>_xlfn.NUMBERVALUE(convertNumberStringPointToNumberComma(LEFT(RIGHT(Q287,LEN(Q287)-FIND("x",Q287)-1),LEN(RIGHT(Q287,LEN(Q287)-FIND("x",Q287)-1))-2)))</f>
        <v>67.599999999999994</v>
      </c>
    </row>
    <row r="288" spans="1:19" x14ac:dyDescent="0.25">
      <c r="A288" t="s">
        <v>1440</v>
      </c>
      <c r="B288" t="s">
        <v>459</v>
      </c>
      <c r="E288" t="s">
        <v>2643</v>
      </c>
      <c r="H288" t="s">
        <v>91</v>
      </c>
      <c r="M288" t="s">
        <v>2674</v>
      </c>
      <c r="N288" t="s">
        <v>903</v>
      </c>
      <c r="O288" t="s">
        <v>2897</v>
      </c>
      <c r="Q288" t="s">
        <v>3484</v>
      </c>
      <c r="R288" s="52">
        <f>_xlfn.NUMBERVALUE(convertNumberStringPointToNumberComma(LEFT(Q288,FIND("x",Q288)-2)))</f>
        <v>58</v>
      </c>
      <c r="S288" s="52">
        <f>_xlfn.NUMBERVALUE(convertNumberStringPointToNumberComma(LEFT(RIGHT(Q288,LEN(Q288)-FIND("x",Q288)-1),LEN(RIGHT(Q288,LEN(Q288)-FIND("x",Q288)-1))-2)))</f>
        <v>67.599999999999994</v>
      </c>
    </row>
    <row r="289" spans="1:19" x14ac:dyDescent="0.25">
      <c r="A289" t="s">
        <v>1411</v>
      </c>
      <c r="B289" t="s">
        <v>459</v>
      </c>
      <c r="E289" t="s">
        <v>2643</v>
      </c>
      <c r="H289" t="s">
        <v>91</v>
      </c>
      <c r="M289" t="s">
        <v>2748</v>
      </c>
      <c r="N289" t="s">
        <v>903</v>
      </c>
      <c r="O289" t="s">
        <v>265</v>
      </c>
      <c r="Q289" t="s">
        <v>3483</v>
      </c>
      <c r="R289" s="52">
        <f>_xlfn.NUMBERVALUE(convertNumberStringPointToNumberComma(LEFT(Q289,FIND("x",Q289)-2)))</f>
        <v>58</v>
      </c>
      <c r="S289" s="52">
        <f>_xlfn.NUMBERVALUE(convertNumberStringPointToNumberComma(LEFT(RIGHT(Q289,LEN(Q289)-FIND("x",Q289)-1),LEN(RIGHT(Q289,LEN(Q289)-FIND("x",Q289)-1))-2)))</f>
        <v>67.900000000000006</v>
      </c>
    </row>
    <row r="290" spans="1:19" x14ac:dyDescent="0.25">
      <c r="A290" t="s">
        <v>1442</v>
      </c>
      <c r="B290" t="s">
        <v>459</v>
      </c>
      <c r="E290" t="s">
        <v>2643</v>
      </c>
      <c r="H290" t="s">
        <v>91</v>
      </c>
      <c r="M290" t="s">
        <v>2748</v>
      </c>
      <c r="N290" t="s">
        <v>903</v>
      </c>
      <c r="O290" t="s">
        <v>265</v>
      </c>
      <c r="Q290" t="s">
        <v>3483</v>
      </c>
      <c r="R290" s="52">
        <f>_xlfn.NUMBERVALUE(convertNumberStringPointToNumberComma(LEFT(Q290,FIND("x",Q290)-2)))</f>
        <v>58</v>
      </c>
      <c r="S290" s="52">
        <f>_xlfn.NUMBERVALUE(convertNumberStringPointToNumberComma(LEFT(RIGHT(Q290,LEN(Q290)-FIND("x",Q290)-1),LEN(RIGHT(Q290,LEN(Q290)-FIND("x",Q290)-1))-2)))</f>
        <v>67.900000000000006</v>
      </c>
    </row>
    <row r="291" spans="1:19" x14ac:dyDescent="0.25">
      <c r="B291" t="s">
        <v>505</v>
      </c>
      <c r="E291" t="s">
        <v>2656</v>
      </c>
      <c r="H291" t="s">
        <v>2667</v>
      </c>
      <c r="M291" t="s">
        <v>2674</v>
      </c>
      <c r="N291" t="s">
        <v>913</v>
      </c>
      <c r="O291" t="s">
        <v>697</v>
      </c>
      <c r="Q291" t="s">
        <v>3611</v>
      </c>
      <c r="R291" s="52">
        <f>_xlfn.NUMBERVALUE(convertNumberStringPointToNumberComma(LEFT(Q291,FIND("x",Q291)-2)))</f>
        <v>58</v>
      </c>
      <c r="S291" s="52">
        <f>_xlfn.NUMBERVALUE(convertNumberStringPointToNumberComma(LEFT(RIGHT(Q291,LEN(Q291)-FIND("x",Q291)-1),LEN(RIGHT(Q291,LEN(Q291)-FIND("x",Q291)-1))-2)))</f>
        <v>68</v>
      </c>
    </row>
    <row r="292" spans="1:19" x14ac:dyDescent="0.25">
      <c r="B292" t="s">
        <v>1357</v>
      </c>
      <c r="E292" t="s">
        <v>2656</v>
      </c>
      <c r="H292" t="s">
        <v>2667</v>
      </c>
      <c r="M292" t="s">
        <v>2674</v>
      </c>
      <c r="N292" t="s">
        <v>913</v>
      </c>
      <c r="O292" t="s">
        <v>223</v>
      </c>
      <c r="Q292" t="s">
        <v>3956</v>
      </c>
      <c r="R292" s="52">
        <f>_xlfn.NUMBERVALUE(convertNumberStringPointToNumberComma(LEFT(Q292,FIND("x",Q292)-2)))</f>
        <v>58</v>
      </c>
      <c r="S292" s="52">
        <f>_xlfn.NUMBERVALUE(convertNumberStringPointToNumberComma(LEFT(RIGHT(Q292,LEN(Q292)-FIND("x",Q292)-1),LEN(RIGHT(Q292,LEN(Q292)-FIND("x",Q292)-1))-2)))</f>
        <v>75</v>
      </c>
    </row>
    <row r="293" spans="1:19" x14ac:dyDescent="0.25">
      <c r="A293" t="s">
        <v>1848</v>
      </c>
      <c r="L293" t="s">
        <v>3028</v>
      </c>
      <c r="M293" t="s">
        <v>2802</v>
      </c>
      <c r="N293" t="s">
        <v>913</v>
      </c>
      <c r="O293" t="s">
        <v>686</v>
      </c>
      <c r="Q293" t="s">
        <v>3707</v>
      </c>
      <c r="R293" s="52">
        <f>_xlfn.NUMBERVALUE(convertNumberStringPointToNumberComma(LEFT(Q293,FIND("x",Q293)-2)))</f>
        <v>58.2</v>
      </c>
      <c r="S293" s="52">
        <f>_xlfn.NUMBERVALUE(convertNumberStringPointToNumberComma(LEFT(RIGHT(Q293,LEN(Q293)-FIND("x",Q293)-1),LEN(RIGHT(Q293,LEN(Q293)-FIND("x",Q293)-1))-2)))</f>
        <v>65</v>
      </c>
    </row>
    <row r="294" spans="1:19" x14ac:dyDescent="0.25">
      <c r="B294" t="s">
        <v>526</v>
      </c>
      <c r="E294" t="s">
        <v>2663</v>
      </c>
      <c r="H294" t="s">
        <v>318</v>
      </c>
      <c r="M294" t="s">
        <v>2680</v>
      </c>
      <c r="N294" t="s">
        <v>2681</v>
      </c>
      <c r="O294" t="s">
        <v>2749</v>
      </c>
      <c r="Q294" t="s">
        <v>3476</v>
      </c>
      <c r="R294" s="52">
        <f>_xlfn.NUMBERVALUE(convertNumberStringPointToNumberComma(LEFT(Q294,FIND("x",Q294)-2)))</f>
        <v>58.4</v>
      </c>
      <c r="S294" s="52">
        <f>_xlfn.NUMBERVALUE(convertNumberStringPointToNumberComma(LEFT(RIGHT(Q294,LEN(Q294)-FIND("x",Q294)-1),LEN(RIGHT(Q294,LEN(Q294)-FIND("x",Q294)-1))-2)))</f>
        <v>70</v>
      </c>
    </row>
    <row r="295" spans="1:19" x14ac:dyDescent="0.25">
      <c r="B295" t="s">
        <v>148</v>
      </c>
      <c r="E295" t="s">
        <v>3135</v>
      </c>
      <c r="H295" t="s">
        <v>2667</v>
      </c>
      <c r="L295" t="s">
        <v>2922</v>
      </c>
      <c r="M295" t="s">
        <v>2818</v>
      </c>
      <c r="N295" t="s">
        <v>913</v>
      </c>
      <c r="O295" t="s">
        <v>92</v>
      </c>
      <c r="Q295" t="s">
        <v>3964</v>
      </c>
      <c r="R295" s="52">
        <f>_xlfn.NUMBERVALUE(convertNumberStringPointToNumberComma(LEFT(Q295,FIND("x",Q295)-2)))</f>
        <v>58.5</v>
      </c>
      <c r="S295" s="52">
        <f>_xlfn.NUMBERVALUE(convertNumberStringPointToNumberComma(LEFT(RIGHT(Q295,LEN(Q295)-FIND("x",Q295)-1),LEN(RIGHT(Q295,LEN(Q295)-FIND("x",Q295)-1))-2)))</f>
        <v>104.7</v>
      </c>
    </row>
    <row r="296" spans="1:19" x14ac:dyDescent="0.25">
      <c r="A296" t="s">
        <v>974</v>
      </c>
      <c r="B296" t="s">
        <v>586</v>
      </c>
      <c r="C296" s="5">
        <f>convertNumberStringPointToNumberComma(IFERROR(LEFT(B296,(FIND("-",B296)-1)),LEFT(B296,FIND("mm",B296)-1)))</f>
        <v>30</v>
      </c>
      <c r="D296" s="5">
        <f>convertNumberStringPointToNumberComma(IFERROR(RIGHT(LEFT(B296,FIND("m",B296)-1),LEN(LEFT(B296,FIND("m",B296)-1))-FIND("-",LEFT(B296,FIND("m",B296)-1))-1),C296))</f>
        <v>30</v>
      </c>
      <c r="E296" t="s">
        <v>2632</v>
      </c>
      <c r="F296" s="9">
        <f>convertNumberStringPointToNumberComma(LEFT(MID(E296,3,9),IFERROR(FIND("-",MID(E296,3,9))-2,3)))</f>
        <v>2.8</v>
      </c>
      <c r="G296" s="9">
        <f>convertNumberStringPointToNumberComma(RIGHT(E296,IF(ISERROR(FIND(".",RIGHT(E296,3))),1,3)))</f>
        <v>2.8</v>
      </c>
      <c r="H296" t="s">
        <v>2669</v>
      </c>
      <c r="I296" s="5" t="str">
        <f>IF(H296="none",0,LEFT(H296,LEN(H296)-2))</f>
        <v>46</v>
      </c>
      <c r="J296" s="5" t="s">
        <v>251</v>
      </c>
      <c r="K296" s="10">
        <f>IF(J296="",0,convertNumberStringPointToNumberComma(LEFT(J296,LEN(J296)-1)))</f>
        <v>0.22</v>
      </c>
      <c r="L296" t="s">
        <v>2707</v>
      </c>
      <c r="M296" t="s">
        <v>2680</v>
      </c>
      <c r="N296" t="s">
        <v>2681</v>
      </c>
      <c r="O296" t="s">
        <v>2724</v>
      </c>
      <c r="P296" s="5" t="str">
        <f>LEFT(O296,LEN(O296)-1)</f>
        <v>180</v>
      </c>
      <c r="Q296" t="s">
        <v>3234</v>
      </c>
      <c r="R296" s="52">
        <f>_xlfn.NUMBERVALUE(convertNumberStringPointToNumberComma(LEFT(Q296,FIND("x",Q296)-2)))</f>
        <v>58.8</v>
      </c>
      <c r="S296" s="52">
        <f>_xlfn.NUMBERVALUE(convertNumberStringPointToNumberComma(LEFT(RIGHT(Q296,LEN(Q296)-FIND("x",Q296)-1),LEN(RIGHT(Q296,LEN(Q296)-FIND("x",Q296)-1))-2)))</f>
        <v>63.5</v>
      </c>
    </row>
    <row r="297" spans="1:19" x14ac:dyDescent="0.25">
      <c r="A297" t="s">
        <v>985</v>
      </c>
      <c r="B297" t="s">
        <v>678</v>
      </c>
      <c r="C297" s="5">
        <f>convertNumberStringPointToNumberComma(IFERROR(LEFT(B297,(FIND("-",B297)-1)),LEFT(B297,FIND("mm",B297)-1)))</f>
        <v>50</v>
      </c>
      <c r="D297" s="5">
        <f>convertNumberStringPointToNumberComma(IFERROR(RIGHT(LEFT(B297,FIND("m",B297)-1),LEN(LEFT(B297,FIND("m",B297)-1))-FIND("-",LEFT(B297,FIND("m",B297)-1))-1),C297))</f>
        <v>50</v>
      </c>
      <c r="E297" t="s">
        <v>2635</v>
      </c>
      <c r="F297" s="9">
        <f>convertNumberStringPointToNumberComma(LEFT(MID(E297,3,9),IFERROR(FIND("-",MID(E297,3,9))-2,3)))</f>
        <v>1.8</v>
      </c>
      <c r="G297" s="9">
        <f>convertNumberStringPointToNumberComma(RIGHT(E297,IF(ISERROR(FIND(".",RIGHT(E297,3))),1,3)))</f>
        <v>1.8</v>
      </c>
      <c r="H297" t="s">
        <v>2667</v>
      </c>
      <c r="I297" s="5" t="str">
        <f>IF(H297="none",0,LEFT(H297,LEN(H297)-2))</f>
        <v>49</v>
      </c>
      <c r="J297" s="5" t="s">
        <v>40</v>
      </c>
      <c r="K297" s="10">
        <f>IF(J297="",0,convertNumberStringPointToNumberComma(LEFT(J297,LEN(J297)-1)))</f>
        <v>0.2</v>
      </c>
      <c r="L297" t="s">
        <v>2709</v>
      </c>
      <c r="M297" t="s">
        <v>2674</v>
      </c>
      <c r="N297" t="s">
        <v>913</v>
      </c>
      <c r="O297" t="s">
        <v>2731</v>
      </c>
      <c r="P297" s="5" t="str">
        <f>LEFT(O297,LEN(O297)-1)</f>
        <v>186</v>
      </c>
      <c r="Q297" t="s">
        <v>3240</v>
      </c>
      <c r="R297" s="52">
        <f>_xlfn.NUMBERVALUE(convertNumberStringPointToNumberComma(LEFT(Q297,FIND("x",Q297)-2)))</f>
        <v>59.5</v>
      </c>
      <c r="S297" s="52">
        <f>_xlfn.NUMBERVALUE(convertNumberStringPointToNumberComma(LEFT(RIGHT(Q297,LEN(Q297)-FIND("x",Q297)-1),LEN(RIGHT(Q297,LEN(Q297)-FIND("x",Q297)-1))-2)))</f>
        <v>68.599999999999994</v>
      </c>
    </row>
    <row r="298" spans="1:19" x14ac:dyDescent="0.25">
      <c r="A298" t="s">
        <v>1074</v>
      </c>
      <c r="B298" t="s">
        <v>592</v>
      </c>
      <c r="C298" s="5">
        <f>convertNumberStringPointToNumberComma(IFERROR(LEFT(B298,(FIND("-",B298)-1)),LEFT(B298,FIND("mm",B298)-1)))</f>
        <v>35</v>
      </c>
      <c r="D298" s="5">
        <f>convertNumberStringPointToNumberComma(IFERROR(RIGHT(LEFT(B298,FIND("m",B298)-1),LEN(LEFT(B298,FIND("m",B298)-1))-FIND("-",LEFT(B298,FIND("m",B298)-1))-1),C298))</f>
        <v>35</v>
      </c>
      <c r="E298" t="s">
        <v>2638</v>
      </c>
      <c r="F298" s="9">
        <f>convertNumberStringPointToNumberComma(LEFT(MID(E298,3,9),IFERROR(FIND("-",MID(E298,3,9))-2,3)))</f>
        <v>2</v>
      </c>
      <c r="G298" s="9">
        <f>convertNumberStringPointToNumberComma(RIGHT(E298,IF(ISERROR(FIND(".",RIGHT(E298,3))),1,3)))</f>
        <v>2</v>
      </c>
      <c r="H298" t="s">
        <v>1186</v>
      </c>
      <c r="I298" s="5" t="str">
        <f>IF(H298="none",0,LEFT(H298,LEN(H298)-2))</f>
        <v>43</v>
      </c>
      <c r="J298" s="5" t="s">
        <v>36</v>
      </c>
      <c r="K298" s="10">
        <f>IF(J298="",0,convertNumberStringPointToNumberComma(LEFT(J298,LEN(J298)-1)))</f>
        <v>0.18</v>
      </c>
      <c r="L298" t="s">
        <v>2775</v>
      </c>
      <c r="M298" t="s">
        <v>2748</v>
      </c>
      <c r="N298" t="s">
        <v>903</v>
      </c>
      <c r="O298" t="s">
        <v>2720</v>
      </c>
      <c r="P298" s="5" t="str">
        <f>LEFT(O298,LEN(O298)-1)</f>
        <v>170</v>
      </c>
      <c r="Q298" t="s">
        <v>3297</v>
      </c>
      <c r="R298" s="52">
        <f>_xlfn.NUMBERVALUE(convertNumberStringPointToNumberComma(LEFT(Q298,FIND("x",Q298)-2)))</f>
        <v>60</v>
      </c>
      <c r="S298" s="52">
        <f>_xlfn.NUMBERVALUE(convertNumberStringPointToNumberComma(LEFT(RIGHT(Q298,LEN(Q298)-FIND("x",Q298)-1),LEN(RIGHT(Q298,LEN(Q298)-FIND("x",Q298)-1))-2)))</f>
        <v>45.9</v>
      </c>
    </row>
    <row r="299" spans="1:19" x14ac:dyDescent="0.25">
      <c r="A299" t="s">
        <v>1096</v>
      </c>
      <c r="B299" t="s">
        <v>592</v>
      </c>
      <c r="C299" s="5">
        <f>convertNumberStringPointToNumberComma(IFERROR(LEFT(B299,(FIND("-",B299)-1)),LEFT(B299,FIND("mm",B299)-1)))</f>
        <v>35</v>
      </c>
      <c r="D299" s="5">
        <f>convertNumberStringPointToNumberComma(IFERROR(RIGHT(LEFT(B299,FIND("m",B299)-1),LEN(LEFT(B299,FIND("m",B299)-1))-FIND("-",LEFT(B299,FIND("m",B299)-1))-1),C299))</f>
        <v>35</v>
      </c>
      <c r="E299" t="s">
        <v>2638</v>
      </c>
      <c r="F299" s="9">
        <f>convertNumberStringPointToNumberComma(LEFT(MID(E299,3,9),IFERROR(FIND("-",MID(E299,3,9))-2,3)))</f>
        <v>2</v>
      </c>
      <c r="G299" s="9">
        <f>convertNumberStringPointToNumberComma(RIGHT(E299,IF(ISERROR(FIND(".",RIGHT(E299,3))),1,3)))</f>
        <v>2</v>
      </c>
      <c r="H299" t="s">
        <v>1186</v>
      </c>
      <c r="I299" s="5" t="str">
        <f>IF(H299="none",0,LEFT(H299,LEN(H299)-2))</f>
        <v>43</v>
      </c>
      <c r="J299" s="5" t="s">
        <v>122</v>
      </c>
      <c r="K299" s="10">
        <f>IF(J299="",0,convertNumberStringPointToNumberComma(LEFT(J299,LEN(J299)-1)))</f>
        <v>0.14000000000000001</v>
      </c>
      <c r="L299" t="s">
        <v>2775</v>
      </c>
      <c r="M299" t="s">
        <v>2748</v>
      </c>
      <c r="N299" t="s">
        <v>903</v>
      </c>
      <c r="O299" t="s">
        <v>2720</v>
      </c>
      <c r="P299" s="5" t="str">
        <f>LEFT(O299,LEN(O299)-1)</f>
        <v>170</v>
      </c>
      <c r="Q299" t="s">
        <v>3297</v>
      </c>
      <c r="R299" s="52">
        <f>_xlfn.NUMBERVALUE(convertNumberStringPointToNumberComma(LEFT(Q299,FIND("x",Q299)-2)))</f>
        <v>60</v>
      </c>
      <c r="S299" s="52">
        <f>_xlfn.NUMBERVALUE(convertNumberStringPointToNumberComma(LEFT(RIGHT(Q299,LEN(Q299)-FIND("x",Q299)-1),LEN(RIGHT(Q299,LEN(Q299)-FIND("x",Q299)-1))-2)))</f>
        <v>45.9</v>
      </c>
    </row>
    <row r="300" spans="1:19" x14ac:dyDescent="0.25">
      <c r="A300" t="s">
        <v>1108</v>
      </c>
      <c r="B300" t="s">
        <v>968</v>
      </c>
      <c r="C300" s="5">
        <f>convertNumberStringPointToNumberComma(IFERROR(LEFT(B300,(FIND("-",B300)-1)),LEFT(B300,FIND("mm",B300)-1)))</f>
        <v>7.5</v>
      </c>
      <c r="D300" s="5">
        <f>convertNumberStringPointToNumberComma(IFERROR(RIGHT(LEFT(B300,FIND("m",B300)-1),LEN(LEFT(B300,FIND("m",B300)-1))-FIND("-",LEFT(B300,FIND("m",B300)-1))-1),C300))</f>
        <v>7.5</v>
      </c>
      <c r="E300" t="s">
        <v>2649</v>
      </c>
      <c r="F300" s="9">
        <f>convertNumberStringPointToNumberComma(LEFT(MID(E300,3,9),IFERROR(FIND("-",MID(E300,3,9))-2,3)))</f>
        <v>3.5</v>
      </c>
      <c r="G300" s="9">
        <f>convertNumberStringPointToNumberComma(RIGHT(E300,IF(ISERROR(FIND(".",RIGHT(E300,3))),1,3)))</f>
        <v>3.5</v>
      </c>
      <c r="I300" s="5" t="e">
        <f>IF(H300="none",0,LEFT(H300,LEN(H300)-2))</f>
        <v>#VALUE!</v>
      </c>
      <c r="J300" s="5" t="s">
        <v>36</v>
      </c>
      <c r="K300" s="10">
        <f>IF(J300="",0,convertNumberStringPointToNumberComma(LEFT(J300,LEN(J300)-1)))</f>
        <v>0.18</v>
      </c>
      <c r="M300" t="s">
        <v>2680</v>
      </c>
      <c r="N300" t="s">
        <v>2681</v>
      </c>
      <c r="O300" t="s">
        <v>2794</v>
      </c>
      <c r="P300" s="5" t="str">
        <f>LEFT(O300,LEN(O300)-1)</f>
        <v>197</v>
      </c>
      <c r="Q300" t="s">
        <v>3313</v>
      </c>
      <c r="R300" s="52">
        <f>_xlfn.NUMBERVALUE(convertNumberStringPointToNumberComma(LEFT(Q300,FIND("x",Q300)-2)))</f>
        <v>60</v>
      </c>
      <c r="S300" s="52">
        <f>_xlfn.NUMBERVALUE(convertNumberStringPointToNumberComma(LEFT(RIGHT(Q300,LEN(Q300)-FIND("x",Q300)-1),LEN(RIGHT(Q300,LEN(Q300)-FIND("x",Q300)-1))-2)))</f>
        <v>48.3</v>
      </c>
    </row>
    <row r="301" spans="1:19" x14ac:dyDescent="0.25">
      <c r="A301" t="s">
        <v>1600</v>
      </c>
      <c r="B301" t="s">
        <v>968</v>
      </c>
      <c r="E301" t="s">
        <v>2649</v>
      </c>
      <c r="M301" t="s">
        <v>2680</v>
      </c>
      <c r="N301" t="s">
        <v>2681</v>
      </c>
      <c r="O301" t="s">
        <v>2794</v>
      </c>
      <c r="Q301" t="s">
        <v>3313</v>
      </c>
      <c r="R301" s="52">
        <f>_xlfn.NUMBERVALUE(convertNumberStringPointToNumberComma(LEFT(Q301,FIND("x",Q301)-2)))</f>
        <v>60</v>
      </c>
      <c r="S301" s="52">
        <f>_xlfn.NUMBERVALUE(convertNumberStringPointToNumberComma(LEFT(RIGHT(Q301,LEN(Q301)-FIND("x",Q301)-1),LEN(RIGHT(Q301,LEN(Q301)-FIND("x",Q301)-1))-2)))</f>
        <v>48.3</v>
      </c>
    </row>
    <row r="302" spans="1:19" x14ac:dyDescent="0.25">
      <c r="A302" t="s">
        <v>1691</v>
      </c>
      <c r="B302" t="s">
        <v>856</v>
      </c>
      <c r="E302" t="s">
        <v>2632</v>
      </c>
      <c r="H302" t="s">
        <v>2668</v>
      </c>
      <c r="M302" t="s">
        <v>2804</v>
      </c>
      <c r="N302" t="s">
        <v>903</v>
      </c>
      <c r="O302" t="s">
        <v>2714</v>
      </c>
      <c r="Q302" t="s">
        <v>3313</v>
      </c>
      <c r="R302" s="52">
        <f>_xlfn.NUMBERVALUE(convertNumberStringPointToNumberComma(LEFT(Q302,FIND("x",Q302)-2)))</f>
        <v>60</v>
      </c>
      <c r="S302" s="52">
        <f>_xlfn.NUMBERVALUE(convertNumberStringPointToNumberComma(LEFT(RIGHT(Q302,LEN(Q302)-FIND("x",Q302)-1),LEN(RIGHT(Q302,LEN(Q302)-FIND("x",Q302)-1))-2)))</f>
        <v>48.3</v>
      </c>
    </row>
    <row r="303" spans="1:19" x14ac:dyDescent="0.25">
      <c r="A303" t="s">
        <v>2193</v>
      </c>
      <c r="B303" t="s">
        <v>856</v>
      </c>
      <c r="E303" t="s">
        <v>2632</v>
      </c>
      <c r="M303" t="s">
        <v>2804</v>
      </c>
      <c r="N303" t="s">
        <v>903</v>
      </c>
      <c r="O303" t="s">
        <v>3093</v>
      </c>
      <c r="Q303" t="s">
        <v>3313</v>
      </c>
      <c r="R303" s="52">
        <f>_xlfn.NUMBERVALUE(convertNumberStringPointToNumberComma(LEFT(Q303,FIND("x",Q303)-2)))</f>
        <v>60</v>
      </c>
      <c r="S303" s="52">
        <f>_xlfn.NUMBERVALUE(convertNumberStringPointToNumberComma(LEFT(RIGHT(Q303,LEN(Q303)-FIND("x",Q303)-1),LEN(RIGHT(Q303,LEN(Q303)-FIND("x",Q303)-1))-2)))</f>
        <v>48.3</v>
      </c>
    </row>
    <row r="304" spans="1:19" x14ac:dyDescent="0.25">
      <c r="A304" t="s">
        <v>2272</v>
      </c>
      <c r="B304" t="s">
        <v>968</v>
      </c>
      <c r="E304" t="s">
        <v>2978</v>
      </c>
      <c r="H304" t="s">
        <v>2668</v>
      </c>
      <c r="M304" t="s">
        <v>2680</v>
      </c>
      <c r="N304" t="s">
        <v>2681</v>
      </c>
      <c r="O304" t="s">
        <v>380</v>
      </c>
      <c r="Q304" t="s">
        <v>3313</v>
      </c>
      <c r="R304" s="52">
        <f>_xlfn.NUMBERVALUE(convertNumberStringPointToNumberComma(LEFT(Q304,FIND("x",Q304)-2)))</f>
        <v>60</v>
      </c>
      <c r="S304" s="52">
        <f>_xlfn.NUMBERVALUE(convertNumberStringPointToNumberComma(LEFT(RIGHT(Q304,LEN(Q304)-FIND("x",Q304)-1),LEN(RIGHT(Q304,LEN(Q304)-FIND("x",Q304)-1))-2)))</f>
        <v>48.3</v>
      </c>
    </row>
    <row r="305" spans="1:19" x14ac:dyDescent="0.25">
      <c r="A305" t="s">
        <v>1406</v>
      </c>
      <c r="B305" t="s">
        <v>968</v>
      </c>
      <c r="E305" t="s">
        <v>2649</v>
      </c>
      <c r="M305" t="s">
        <v>2680</v>
      </c>
      <c r="N305" t="s">
        <v>2681</v>
      </c>
      <c r="O305" t="s">
        <v>2720</v>
      </c>
      <c r="Q305" t="s">
        <v>3479</v>
      </c>
      <c r="R305" s="52">
        <f>_xlfn.NUMBERVALUE(convertNumberStringPointToNumberComma(LEFT(Q305,FIND("x",Q305)-2)))</f>
        <v>60</v>
      </c>
      <c r="S305" s="52">
        <f>_xlfn.NUMBERVALUE(convertNumberStringPointToNumberComma(LEFT(RIGHT(Q305,LEN(Q305)-FIND("x",Q305)-1),LEN(RIGHT(Q305,LEN(Q305)-FIND("x",Q305)-1))-2)))</f>
        <v>50</v>
      </c>
    </row>
    <row r="306" spans="1:19" x14ac:dyDescent="0.25">
      <c r="A306" t="s">
        <v>1700</v>
      </c>
      <c r="B306" t="s">
        <v>968</v>
      </c>
      <c r="E306" t="s">
        <v>2649</v>
      </c>
      <c r="M306" t="s">
        <v>2680</v>
      </c>
      <c r="N306" t="s">
        <v>2681</v>
      </c>
      <c r="O306" t="s">
        <v>2720</v>
      </c>
      <c r="Q306" t="s">
        <v>3479</v>
      </c>
      <c r="R306" s="52">
        <f>_xlfn.NUMBERVALUE(convertNumberStringPointToNumberComma(LEFT(Q306,FIND("x",Q306)-2)))</f>
        <v>60</v>
      </c>
      <c r="S306" s="52">
        <f>_xlfn.NUMBERVALUE(convertNumberStringPointToNumberComma(LEFT(RIGHT(Q306,LEN(Q306)-FIND("x",Q306)-1),LEN(RIGHT(Q306,LEN(Q306)-FIND("x",Q306)-1))-2)))</f>
        <v>50</v>
      </c>
    </row>
    <row r="307" spans="1:19" x14ac:dyDescent="0.25">
      <c r="A307" t="s">
        <v>1115</v>
      </c>
      <c r="B307" t="s">
        <v>1116</v>
      </c>
      <c r="C307" s="5">
        <f>convertNumberStringPointToNumberComma(IFERROR(LEFT(B307,(FIND("-",B307)-1)),LEFT(B307,FIND("mm",B307)-1)))</f>
        <v>23</v>
      </c>
      <c r="D307" s="5">
        <f>convertNumberStringPointToNumberComma(IFERROR(RIGHT(LEFT(B307,FIND("m",B307)-1),LEN(LEFT(B307,FIND("m",B307)-1))-FIND("-",LEFT(B307,FIND("m",B307)-1))-1),C307))</f>
        <v>23</v>
      </c>
      <c r="E307" t="s">
        <v>2638</v>
      </c>
      <c r="F307" s="9">
        <f>convertNumberStringPointToNumberComma(LEFT(MID(E307,3,9),IFERROR(FIND("-",MID(E307,3,9))-2,3)))</f>
        <v>2</v>
      </c>
      <c r="G307" s="9">
        <f>convertNumberStringPointToNumberComma(RIGHT(E307,IF(ISERROR(FIND(".",RIGHT(E307,3))),1,3)))</f>
        <v>2</v>
      </c>
      <c r="H307" t="s">
        <v>1186</v>
      </c>
      <c r="I307" s="5" t="str">
        <f>IF(H307="none",0,LEFT(H307,LEN(H307)-2))</f>
        <v>43</v>
      </c>
      <c r="J307" s="5" t="s">
        <v>99</v>
      </c>
      <c r="K307" s="10">
        <f>IF(J307="",0,convertNumberStringPointToNumberComma(LEFT(J307,LEN(J307)-1)))</f>
        <v>0.3</v>
      </c>
      <c r="L307" t="s">
        <v>2684</v>
      </c>
      <c r="M307" t="s">
        <v>2748</v>
      </c>
      <c r="N307" t="s">
        <v>903</v>
      </c>
      <c r="O307" t="s">
        <v>2724</v>
      </c>
      <c r="P307" s="5" t="str">
        <f>LEFT(O307,LEN(O307)-1)</f>
        <v>180</v>
      </c>
      <c r="Q307" t="s">
        <v>3317</v>
      </c>
      <c r="R307" s="52">
        <f>_xlfn.NUMBERVALUE(convertNumberStringPointToNumberComma(LEFT(Q307,FIND("x",Q307)-2)))</f>
        <v>60</v>
      </c>
      <c r="S307" s="52">
        <f>_xlfn.NUMBERVALUE(convertNumberStringPointToNumberComma(LEFT(RIGHT(Q307,LEN(Q307)-FIND("x",Q307)-1),LEN(RIGHT(Q307,LEN(Q307)-FIND("x",Q307)-1))-2)))</f>
        <v>51.9</v>
      </c>
    </row>
    <row r="308" spans="1:19" x14ac:dyDescent="0.25">
      <c r="A308" t="s">
        <v>2495</v>
      </c>
      <c r="B308" t="s">
        <v>1116</v>
      </c>
      <c r="E308" t="s">
        <v>2638</v>
      </c>
      <c r="H308" t="s">
        <v>1186</v>
      </c>
      <c r="L308" t="s">
        <v>2684</v>
      </c>
      <c r="M308" t="s">
        <v>2748</v>
      </c>
      <c r="N308" t="s">
        <v>903</v>
      </c>
      <c r="O308" t="s">
        <v>2724</v>
      </c>
      <c r="Q308" t="s">
        <v>3317</v>
      </c>
      <c r="R308" s="52">
        <f>_xlfn.NUMBERVALUE(convertNumberStringPointToNumberComma(LEFT(Q308,FIND("x",Q308)-2)))</f>
        <v>60</v>
      </c>
      <c r="S308" s="52">
        <f>_xlfn.NUMBERVALUE(convertNumberStringPointToNumberComma(LEFT(RIGHT(Q308,LEN(Q308)-FIND("x",Q308)-1),LEN(RIGHT(Q308,LEN(Q308)-FIND("x",Q308)-1))-2)))</f>
        <v>51.9</v>
      </c>
    </row>
    <row r="309" spans="1:19" x14ac:dyDescent="0.25">
      <c r="A309" t="s">
        <v>2377</v>
      </c>
      <c r="B309" t="s">
        <v>678</v>
      </c>
      <c r="E309" t="s">
        <v>2980</v>
      </c>
      <c r="M309" t="s">
        <v>2818</v>
      </c>
      <c r="N309" t="s">
        <v>2959</v>
      </c>
      <c r="O309" t="s">
        <v>3127</v>
      </c>
      <c r="Q309" t="s">
        <v>3933</v>
      </c>
      <c r="R309" s="52">
        <f>_xlfn.NUMBERVALUE(convertNumberStringPointToNumberComma(LEFT(Q309,FIND("x",Q309)-2)))</f>
        <v>60</v>
      </c>
      <c r="S309" s="52">
        <f>_xlfn.NUMBERVALUE(convertNumberStringPointToNumberComma(LEFT(RIGHT(Q309,LEN(Q309)-FIND("x",Q309)-1),LEN(RIGHT(Q309,LEN(Q309)-FIND("x",Q309)-1))-2)))</f>
        <v>54.5</v>
      </c>
    </row>
    <row r="310" spans="1:19" x14ac:dyDescent="0.25">
      <c r="A310" t="s">
        <v>1836</v>
      </c>
      <c r="B310" t="s">
        <v>856</v>
      </c>
      <c r="E310" t="s">
        <v>2632</v>
      </c>
      <c r="M310" t="s">
        <v>2674</v>
      </c>
      <c r="N310" t="s">
        <v>903</v>
      </c>
      <c r="O310" t="s">
        <v>2921</v>
      </c>
      <c r="Q310" t="s">
        <v>3702</v>
      </c>
      <c r="R310" s="52">
        <f>_xlfn.NUMBERVALUE(convertNumberStringPointToNumberComma(LEFT(Q310,FIND("x",Q310)-2)))</f>
        <v>60</v>
      </c>
      <c r="S310" s="52">
        <f>_xlfn.NUMBERVALUE(convertNumberStringPointToNumberComma(LEFT(RIGHT(Q310,LEN(Q310)-FIND("x",Q310)-1),LEN(RIGHT(Q310,LEN(Q310)-FIND("x",Q310)-1))-2)))</f>
        <v>55.8</v>
      </c>
    </row>
    <row r="311" spans="1:19" x14ac:dyDescent="0.25">
      <c r="A311" t="s">
        <v>1837</v>
      </c>
      <c r="B311" t="s">
        <v>856</v>
      </c>
      <c r="E311" t="s">
        <v>2632</v>
      </c>
      <c r="M311" t="s">
        <v>2674</v>
      </c>
      <c r="N311" t="s">
        <v>903</v>
      </c>
      <c r="O311" t="s">
        <v>2921</v>
      </c>
      <c r="Q311" t="s">
        <v>3702</v>
      </c>
      <c r="R311" s="52">
        <f>_xlfn.NUMBERVALUE(convertNumberStringPointToNumberComma(LEFT(Q311,FIND("x",Q311)-2)))</f>
        <v>60</v>
      </c>
      <c r="S311" s="52">
        <f>_xlfn.NUMBERVALUE(convertNumberStringPointToNumberComma(LEFT(RIGHT(Q311,LEN(Q311)-FIND("x",Q311)-1),LEN(RIGHT(Q311,LEN(Q311)-FIND("x",Q311)-1))-2)))</f>
        <v>55.8</v>
      </c>
    </row>
    <row r="312" spans="1:19" x14ac:dyDescent="0.25">
      <c r="A312" t="s">
        <v>1840</v>
      </c>
      <c r="B312" t="s">
        <v>856</v>
      </c>
      <c r="E312" t="s">
        <v>2632</v>
      </c>
      <c r="M312" t="s">
        <v>2748</v>
      </c>
      <c r="N312" t="s">
        <v>903</v>
      </c>
      <c r="O312" t="s">
        <v>2787</v>
      </c>
      <c r="Q312" t="s">
        <v>3705</v>
      </c>
      <c r="R312" s="52">
        <f>_xlfn.NUMBERVALUE(convertNumberStringPointToNumberComma(LEFT(Q312,FIND("x",Q312)-2)))</f>
        <v>60</v>
      </c>
      <c r="S312" s="52">
        <f>_xlfn.NUMBERVALUE(convertNumberStringPointToNumberComma(LEFT(RIGHT(Q312,LEN(Q312)-FIND("x",Q312)-1),LEN(RIGHT(Q312,LEN(Q312)-FIND("x",Q312)-1))-2)))</f>
        <v>56.1</v>
      </c>
    </row>
    <row r="313" spans="1:19" x14ac:dyDescent="0.25">
      <c r="A313" t="s">
        <v>1841</v>
      </c>
      <c r="B313" t="s">
        <v>856</v>
      </c>
      <c r="E313" t="s">
        <v>2632</v>
      </c>
      <c r="M313" t="s">
        <v>2748</v>
      </c>
      <c r="N313" t="s">
        <v>903</v>
      </c>
      <c r="O313" t="s">
        <v>2787</v>
      </c>
      <c r="Q313" t="s">
        <v>3705</v>
      </c>
      <c r="R313" s="52">
        <f>_xlfn.NUMBERVALUE(convertNumberStringPointToNumberComma(LEFT(Q313,FIND("x",Q313)-2)))</f>
        <v>60</v>
      </c>
      <c r="S313" s="52">
        <f>_xlfn.NUMBERVALUE(convertNumberStringPointToNumberComma(LEFT(RIGHT(Q313,LEN(Q313)-FIND("x",Q313)-1),LEN(RIGHT(Q313,LEN(Q313)-FIND("x",Q313)-1))-2)))</f>
        <v>56.1</v>
      </c>
    </row>
    <row r="314" spans="1:19" x14ac:dyDescent="0.25">
      <c r="A314" t="s">
        <v>1450</v>
      </c>
      <c r="B314" t="s">
        <v>856</v>
      </c>
      <c r="E314" t="s">
        <v>2632</v>
      </c>
      <c r="H314" t="s">
        <v>2668</v>
      </c>
      <c r="M314" t="s">
        <v>2804</v>
      </c>
      <c r="N314" t="s">
        <v>903</v>
      </c>
      <c r="O314" t="s">
        <v>2819</v>
      </c>
      <c r="Q314" t="s">
        <v>3501</v>
      </c>
      <c r="R314" s="52">
        <f>_xlfn.NUMBERVALUE(convertNumberStringPointToNumberComma(LEFT(Q314,FIND("x",Q314)-2)))</f>
        <v>60</v>
      </c>
      <c r="S314" s="52">
        <f>_xlfn.NUMBERVALUE(convertNumberStringPointToNumberComma(LEFT(RIGHT(Q314,LEN(Q314)-FIND("x",Q314)-1),LEN(RIGHT(Q314,LEN(Q314)-FIND("x",Q314)-1))-2)))</f>
        <v>57</v>
      </c>
    </row>
    <row r="315" spans="1:19" x14ac:dyDescent="0.25">
      <c r="A315" t="s">
        <v>1451</v>
      </c>
      <c r="B315" t="s">
        <v>856</v>
      </c>
      <c r="E315" t="s">
        <v>2632</v>
      </c>
      <c r="H315" t="s">
        <v>2668</v>
      </c>
      <c r="M315" t="s">
        <v>2804</v>
      </c>
      <c r="N315" t="s">
        <v>903</v>
      </c>
      <c r="O315" t="s">
        <v>2819</v>
      </c>
      <c r="Q315" t="s">
        <v>3501</v>
      </c>
      <c r="R315" s="52">
        <f>_xlfn.NUMBERVALUE(convertNumberStringPointToNumberComma(LEFT(Q315,FIND("x",Q315)-2)))</f>
        <v>60</v>
      </c>
      <c r="S315" s="52">
        <f>_xlfn.NUMBERVALUE(convertNumberStringPointToNumberComma(LEFT(RIGHT(Q315,LEN(Q315)-FIND("x",Q315)-1),LEN(RIGHT(Q315,LEN(Q315)-FIND("x",Q315)-1))-2)))</f>
        <v>57</v>
      </c>
    </row>
    <row r="316" spans="1:19" x14ac:dyDescent="0.25">
      <c r="A316" t="s">
        <v>1511</v>
      </c>
      <c r="B316" t="s">
        <v>678</v>
      </c>
      <c r="H316" t="s">
        <v>2669</v>
      </c>
      <c r="L316" t="s">
        <v>2686</v>
      </c>
      <c r="M316" t="s">
        <v>2748</v>
      </c>
      <c r="N316" t="s">
        <v>903</v>
      </c>
      <c r="O316" t="s">
        <v>597</v>
      </c>
      <c r="Q316" t="s">
        <v>3530</v>
      </c>
      <c r="R316" s="52">
        <f>_xlfn.NUMBERVALUE(convertNumberStringPointToNumberComma(LEFT(Q316,FIND("x",Q316)-2)))</f>
        <v>60</v>
      </c>
      <c r="S316" s="52">
        <f>_xlfn.NUMBERVALUE(convertNumberStringPointToNumberComma(LEFT(RIGHT(Q316,LEN(Q316)-FIND("x",Q316)-1),LEN(RIGHT(Q316,LEN(Q316)-FIND("x",Q316)-1))-2)))</f>
        <v>59.4</v>
      </c>
    </row>
    <row r="317" spans="1:19" x14ac:dyDescent="0.25">
      <c r="A317" t="s">
        <v>1512</v>
      </c>
      <c r="B317" t="s">
        <v>678</v>
      </c>
      <c r="H317" t="s">
        <v>2669</v>
      </c>
      <c r="L317" t="s">
        <v>2686</v>
      </c>
      <c r="M317" t="s">
        <v>2748</v>
      </c>
      <c r="N317" t="s">
        <v>903</v>
      </c>
      <c r="O317" t="s">
        <v>597</v>
      </c>
      <c r="Q317" t="s">
        <v>3530</v>
      </c>
      <c r="R317" s="52">
        <f>_xlfn.NUMBERVALUE(convertNumberStringPointToNumberComma(LEFT(Q317,FIND("x",Q317)-2)))</f>
        <v>60</v>
      </c>
      <c r="S317" s="52">
        <f>_xlfn.NUMBERVALUE(convertNumberStringPointToNumberComma(LEFT(RIGHT(Q317,LEN(Q317)-FIND("x",Q317)-1),LEN(RIGHT(Q317,LEN(Q317)-FIND("x",Q317)-1))-2)))</f>
        <v>59.4</v>
      </c>
    </row>
    <row r="318" spans="1:19" x14ac:dyDescent="0.25">
      <c r="A318" t="s">
        <v>2618</v>
      </c>
      <c r="B318" t="s">
        <v>678</v>
      </c>
      <c r="E318" t="s">
        <v>3146</v>
      </c>
      <c r="H318" t="s">
        <v>318</v>
      </c>
      <c r="M318" t="s">
        <v>2674</v>
      </c>
      <c r="N318" t="s">
        <v>903</v>
      </c>
      <c r="O318" t="s">
        <v>3192</v>
      </c>
      <c r="Q318" t="s">
        <v>4069</v>
      </c>
      <c r="R318" s="52">
        <f>_xlfn.NUMBERVALUE(convertNumberStringPointToNumberComma(LEFT(Q318,FIND("x",Q318)-2)))</f>
        <v>60</v>
      </c>
      <c r="S318" s="52">
        <f>_xlfn.NUMBERVALUE(convertNumberStringPointToNumberComma(LEFT(RIGHT(Q318,LEN(Q318)-FIND("x",Q318)-1),LEN(RIGHT(Q318,LEN(Q318)-FIND("x",Q318)-1))-2)))</f>
        <v>60</v>
      </c>
    </row>
    <row r="319" spans="1:19" x14ac:dyDescent="0.25">
      <c r="A319" t="s">
        <v>1193</v>
      </c>
      <c r="B319" t="s">
        <v>1194</v>
      </c>
      <c r="C319" s="5">
        <f>convertNumberStringPointToNumberComma(IFERROR(LEFT(B319,(FIND("-",B319)-1)),LEFT(B319,FIND("mm",B319)-1)))</f>
        <v>30</v>
      </c>
      <c r="D319" s="5">
        <f>convertNumberStringPointToNumberComma(IFERROR(RIGHT(LEFT(B319,FIND("m",B319)-1),LEN(LEFT(B319,FIND("m",B319)-1))-FIND("-",LEFT(B319,FIND("m",B319)-1))-1),C319))</f>
        <v>10</v>
      </c>
      <c r="E319" t="s">
        <v>2655</v>
      </c>
      <c r="F319" s="9">
        <f>convertNumberStringPointToNumberComma(LEFT(MID(E319,3,9),IFERROR(FIND("-",MID(E319,3,9))-2,3)))</f>
        <v>3</v>
      </c>
      <c r="G319" s="9">
        <f>convertNumberStringPointToNumberComma(RIGHT(E319,IF(ISERROR(FIND(".",RIGHT(E319,3))),1,3)))</f>
        <v>5.6</v>
      </c>
      <c r="H319" t="s">
        <v>2670</v>
      </c>
      <c r="I319" s="5" t="str">
        <f>IF(H319="none",0,LEFT(H319,LEN(H319)-2))</f>
        <v>40.5</v>
      </c>
      <c r="J319" s="5"/>
      <c r="K319" s="10">
        <f>IF(J319="",0,convertNumberStringPointToNumberComma(LEFT(J319,LEN(J319)-1)))</f>
        <v>0</v>
      </c>
      <c r="L319" t="s">
        <v>2726</v>
      </c>
      <c r="M319" t="s">
        <v>2782</v>
      </c>
      <c r="N319" t="s">
        <v>2783</v>
      </c>
      <c r="O319" t="s">
        <v>2724</v>
      </c>
      <c r="P319" s="5" t="str">
        <f>LEFT(O319,LEN(O319)-1)</f>
        <v>180</v>
      </c>
      <c r="Q319" t="s">
        <v>3356</v>
      </c>
      <c r="R319" s="52">
        <f>_xlfn.NUMBERVALUE(convertNumberStringPointToNumberComma(LEFT(Q319,FIND("x",Q319)-2)))</f>
        <v>60</v>
      </c>
      <c r="S319" s="52">
        <f>_xlfn.NUMBERVALUE(convertNumberStringPointToNumberComma(LEFT(RIGHT(Q319,LEN(Q319)-FIND("x",Q319)-1),LEN(RIGHT(Q319,LEN(Q319)-FIND("x",Q319)-1))-2)))</f>
        <v>61</v>
      </c>
    </row>
    <row r="320" spans="1:19" x14ac:dyDescent="0.25">
      <c r="A320" t="s">
        <v>1213</v>
      </c>
      <c r="B320" t="s">
        <v>1194</v>
      </c>
      <c r="C320" s="5">
        <f>convertNumberStringPointToNumberComma(IFERROR(LEFT(B320,(FIND("-",B320)-1)),LEFT(B320,FIND("mm",B320)-1)))</f>
        <v>30</v>
      </c>
      <c r="D320" s="5">
        <f>convertNumberStringPointToNumberComma(IFERROR(RIGHT(LEFT(B320,FIND("m",B320)-1),LEN(LEFT(B320,FIND("m",B320)-1))-FIND("-",LEFT(B320,FIND("m",B320)-1))-1),C320))</f>
        <v>10</v>
      </c>
      <c r="E320" t="s">
        <v>2655</v>
      </c>
      <c r="F320" s="9">
        <f>convertNumberStringPointToNumberComma(LEFT(MID(E320,3,9),IFERROR(FIND("-",MID(E320,3,9))-2,3)))</f>
        <v>3</v>
      </c>
      <c r="G320" s="9">
        <f>convertNumberStringPointToNumberComma(RIGHT(E320,IF(ISERROR(FIND(".",RIGHT(E320,3))),1,3)))</f>
        <v>5.6</v>
      </c>
      <c r="H320" t="s">
        <v>2670</v>
      </c>
      <c r="I320" s="5" t="str">
        <f>IF(H320="none",0,LEFT(H320,LEN(H320)-2))</f>
        <v>40.5</v>
      </c>
      <c r="J320" s="5" t="s">
        <v>149</v>
      </c>
      <c r="K320" s="10">
        <f>IF(J320="",0,convertNumberStringPointToNumberComma(LEFT(J320,LEN(J320)-1)))</f>
        <v>0.48</v>
      </c>
      <c r="L320" t="s">
        <v>2726</v>
      </c>
      <c r="M320" t="s">
        <v>2782</v>
      </c>
      <c r="N320" t="s">
        <v>2783</v>
      </c>
      <c r="O320" t="s">
        <v>2724</v>
      </c>
      <c r="P320" s="5" t="str">
        <f>LEFT(O320,LEN(O320)-1)</f>
        <v>180</v>
      </c>
      <c r="Q320" t="s">
        <v>3356</v>
      </c>
      <c r="R320" s="52">
        <f>_xlfn.NUMBERVALUE(convertNumberStringPointToNumberComma(LEFT(Q320,FIND("x",Q320)-2)))</f>
        <v>60</v>
      </c>
      <c r="S320" s="52">
        <f>_xlfn.NUMBERVALUE(convertNumberStringPointToNumberComma(LEFT(RIGHT(Q320,LEN(Q320)-FIND("x",Q320)-1),LEN(RIGHT(Q320,LEN(Q320)-FIND("x",Q320)-1))-2)))</f>
        <v>61</v>
      </c>
    </row>
    <row r="321" spans="1:19" x14ac:dyDescent="0.25">
      <c r="A321" t="s">
        <v>1452</v>
      </c>
      <c r="B321" t="s">
        <v>856</v>
      </c>
      <c r="E321" t="s">
        <v>2632</v>
      </c>
      <c r="H321" t="s">
        <v>2668</v>
      </c>
      <c r="M321" t="s">
        <v>2763</v>
      </c>
      <c r="N321" t="s">
        <v>903</v>
      </c>
      <c r="O321" t="s">
        <v>2787</v>
      </c>
      <c r="Q321" t="s">
        <v>3502</v>
      </c>
      <c r="R321" s="52">
        <f>_xlfn.NUMBERVALUE(convertNumberStringPointToNumberComma(LEFT(Q321,FIND("x",Q321)-2)))</f>
        <v>60</v>
      </c>
      <c r="S321" s="52">
        <f>_xlfn.NUMBERVALUE(convertNumberStringPointToNumberComma(LEFT(RIGHT(Q321,LEN(Q321)-FIND("x",Q321)-1),LEN(RIGHT(Q321,LEN(Q321)-FIND("x",Q321)-1))-2)))</f>
        <v>64.400000000000006</v>
      </c>
    </row>
    <row r="322" spans="1:19" x14ac:dyDescent="0.25">
      <c r="A322" t="s">
        <v>1453</v>
      </c>
      <c r="B322" t="s">
        <v>856</v>
      </c>
      <c r="E322" t="s">
        <v>2632</v>
      </c>
      <c r="H322" t="s">
        <v>2668</v>
      </c>
      <c r="M322" t="s">
        <v>2763</v>
      </c>
      <c r="N322" t="s">
        <v>903</v>
      </c>
      <c r="O322" t="s">
        <v>2787</v>
      </c>
      <c r="Q322" t="s">
        <v>3502</v>
      </c>
      <c r="R322" s="52">
        <f>_xlfn.NUMBERVALUE(convertNumberStringPointToNumberComma(LEFT(Q322,FIND("x",Q322)-2)))</f>
        <v>60</v>
      </c>
      <c r="S322" s="52">
        <f>_xlfn.NUMBERVALUE(convertNumberStringPointToNumberComma(LEFT(RIGHT(Q322,LEN(Q322)-FIND("x",Q322)-1),LEN(RIGHT(Q322,LEN(Q322)-FIND("x",Q322)-1))-2)))</f>
        <v>64.400000000000006</v>
      </c>
    </row>
    <row r="323" spans="1:19" x14ac:dyDescent="0.25">
      <c r="A323" t="s">
        <v>1456</v>
      </c>
      <c r="B323" t="s">
        <v>856</v>
      </c>
      <c r="E323" t="s">
        <v>2632</v>
      </c>
      <c r="H323" t="s">
        <v>2668</v>
      </c>
      <c r="M323" t="s">
        <v>2674</v>
      </c>
      <c r="N323" t="s">
        <v>903</v>
      </c>
      <c r="O323" t="s">
        <v>388</v>
      </c>
      <c r="Q323" t="s">
        <v>3504</v>
      </c>
      <c r="R323" s="52">
        <f>_xlfn.NUMBERVALUE(convertNumberStringPointToNumberComma(LEFT(Q323,FIND("x",Q323)-2)))</f>
        <v>60</v>
      </c>
      <c r="S323" s="52">
        <f>_xlfn.NUMBERVALUE(convertNumberStringPointToNumberComma(LEFT(RIGHT(Q323,LEN(Q323)-FIND("x",Q323)-1),LEN(RIGHT(Q323,LEN(Q323)-FIND("x",Q323)-1))-2)))</f>
        <v>64.5</v>
      </c>
    </row>
    <row r="324" spans="1:19" x14ac:dyDescent="0.25">
      <c r="A324" t="s">
        <v>1457</v>
      </c>
      <c r="B324" t="s">
        <v>856</v>
      </c>
      <c r="E324" t="s">
        <v>2632</v>
      </c>
      <c r="H324" t="s">
        <v>2668</v>
      </c>
      <c r="M324" t="s">
        <v>2674</v>
      </c>
      <c r="N324" t="s">
        <v>903</v>
      </c>
      <c r="O324" t="s">
        <v>388</v>
      </c>
      <c r="Q324" t="s">
        <v>3504</v>
      </c>
      <c r="R324" s="52">
        <f>_xlfn.NUMBERVALUE(convertNumberStringPointToNumberComma(LEFT(Q324,FIND("x",Q324)-2)))</f>
        <v>60</v>
      </c>
      <c r="S324" s="52">
        <f>_xlfn.NUMBERVALUE(convertNumberStringPointToNumberComma(LEFT(RIGHT(Q324,LEN(Q324)-FIND("x",Q324)-1),LEN(RIGHT(Q324,LEN(Q324)-FIND("x",Q324)-1))-2)))</f>
        <v>64.5</v>
      </c>
    </row>
    <row r="325" spans="1:19" x14ac:dyDescent="0.25">
      <c r="A325" t="s">
        <v>1454</v>
      </c>
      <c r="B325" t="s">
        <v>856</v>
      </c>
      <c r="E325" t="s">
        <v>2632</v>
      </c>
      <c r="H325" t="s">
        <v>2668</v>
      </c>
      <c r="M325" t="s">
        <v>2748</v>
      </c>
      <c r="N325" t="s">
        <v>903</v>
      </c>
      <c r="O325" t="s">
        <v>2897</v>
      </c>
      <c r="Q325" t="s">
        <v>3503</v>
      </c>
      <c r="R325" s="52">
        <f>_xlfn.NUMBERVALUE(convertNumberStringPointToNumberComma(LEFT(Q325,FIND("x",Q325)-2)))</f>
        <v>60</v>
      </c>
      <c r="S325" s="52">
        <f>_xlfn.NUMBERVALUE(convertNumberStringPointToNumberComma(LEFT(RIGHT(Q325,LEN(Q325)-FIND("x",Q325)-1),LEN(RIGHT(Q325,LEN(Q325)-FIND("x",Q325)-1))-2)))</f>
        <v>64.8</v>
      </c>
    </row>
    <row r="326" spans="1:19" x14ac:dyDescent="0.25">
      <c r="A326" t="s">
        <v>1455</v>
      </c>
      <c r="B326" t="s">
        <v>856</v>
      </c>
      <c r="E326" t="s">
        <v>2632</v>
      </c>
      <c r="H326" t="s">
        <v>2668</v>
      </c>
      <c r="M326" t="s">
        <v>2748</v>
      </c>
      <c r="N326" t="s">
        <v>903</v>
      </c>
      <c r="O326" t="s">
        <v>2897</v>
      </c>
      <c r="Q326" t="s">
        <v>3503</v>
      </c>
      <c r="R326" s="52">
        <f>_xlfn.NUMBERVALUE(convertNumberStringPointToNumberComma(LEFT(Q326,FIND("x",Q326)-2)))</f>
        <v>60</v>
      </c>
      <c r="S326" s="52">
        <f>_xlfn.NUMBERVALUE(convertNumberStringPointToNumberComma(LEFT(RIGHT(Q326,LEN(Q326)-FIND("x",Q326)-1),LEN(RIGHT(Q326,LEN(Q326)-FIND("x",Q326)-1))-2)))</f>
        <v>64.8</v>
      </c>
    </row>
    <row r="327" spans="1:19" x14ac:dyDescent="0.25">
      <c r="A327" t="s">
        <v>1614</v>
      </c>
      <c r="B327" t="s">
        <v>856</v>
      </c>
      <c r="E327" t="s">
        <v>2632</v>
      </c>
      <c r="H327" t="s">
        <v>2668</v>
      </c>
      <c r="M327" t="s">
        <v>2763</v>
      </c>
      <c r="N327" t="s">
        <v>903</v>
      </c>
      <c r="O327" t="s">
        <v>265</v>
      </c>
      <c r="Q327" t="s">
        <v>3578</v>
      </c>
      <c r="R327" s="52">
        <f>_xlfn.NUMBERVALUE(convertNumberStringPointToNumberComma(LEFT(Q327,FIND("x",Q327)-2)))</f>
        <v>60</v>
      </c>
      <c r="S327" s="52">
        <f>_xlfn.NUMBERVALUE(convertNumberStringPointToNumberComma(LEFT(RIGHT(Q327,LEN(Q327)-FIND("x",Q327)-1),LEN(RIGHT(Q327,LEN(Q327)-FIND("x",Q327)-1))-2)))</f>
        <v>65</v>
      </c>
    </row>
    <row r="328" spans="1:19" x14ac:dyDescent="0.25">
      <c r="A328" t="s">
        <v>1615</v>
      </c>
      <c r="B328" t="s">
        <v>856</v>
      </c>
      <c r="E328" t="s">
        <v>2632</v>
      </c>
      <c r="H328" t="s">
        <v>2668</v>
      </c>
      <c r="M328" t="s">
        <v>2748</v>
      </c>
      <c r="N328" t="s">
        <v>903</v>
      </c>
      <c r="O328" t="s">
        <v>265</v>
      </c>
      <c r="Q328" t="s">
        <v>3578</v>
      </c>
      <c r="R328" s="52">
        <f>_xlfn.NUMBERVALUE(convertNumberStringPointToNumberComma(LEFT(Q328,FIND("x",Q328)-2)))</f>
        <v>60</v>
      </c>
      <c r="S328" s="52">
        <f>_xlfn.NUMBERVALUE(convertNumberStringPointToNumberComma(LEFT(RIGHT(Q328,LEN(Q328)-FIND("x",Q328)-1),LEN(RIGHT(Q328,LEN(Q328)-FIND("x",Q328)-1))-2)))</f>
        <v>65</v>
      </c>
    </row>
    <row r="329" spans="1:19" x14ac:dyDescent="0.25">
      <c r="A329" t="s">
        <v>1616</v>
      </c>
      <c r="B329" t="s">
        <v>856</v>
      </c>
      <c r="E329" t="s">
        <v>2632</v>
      </c>
      <c r="H329" t="s">
        <v>2668</v>
      </c>
      <c r="M329" t="s">
        <v>2674</v>
      </c>
      <c r="N329" t="s">
        <v>903</v>
      </c>
      <c r="O329" t="s">
        <v>265</v>
      </c>
      <c r="Q329" t="s">
        <v>3578</v>
      </c>
      <c r="R329" s="52">
        <f>_xlfn.NUMBERVALUE(convertNumberStringPointToNumberComma(LEFT(Q329,FIND("x",Q329)-2)))</f>
        <v>60</v>
      </c>
      <c r="S329" s="52">
        <f>_xlfn.NUMBERVALUE(convertNumberStringPointToNumberComma(LEFT(RIGHT(Q329,LEN(Q329)-FIND("x",Q329)-1),LEN(RIGHT(Q329,LEN(Q329)-FIND("x",Q329)-1))-2)))</f>
        <v>65</v>
      </c>
    </row>
    <row r="330" spans="1:19" x14ac:dyDescent="0.25">
      <c r="A330" t="s">
        <v>1617</v>
      </c>
      <c r="B330" t="s">
        <v>856</v>
      </c>
      <c r="E330" t="s">
        <v>2632</v>
      </c>
      <c r="H330" t="s">
        <v>2668</v>
      </c>
      <c r="M330" t="s">
        <v>2674</v>
      </c>
      <c r="N330" t="s">
        <v>903</v>
      </c>
      <c r="O330" t="s">
        <v>265</v>
      </c>
      <c r="Q330" t="s">
        <v>3578</v>
      </c>
      <c r="R330" s="52">
        <f>_xlfn.NUMBERVALUE(convertNumberStringPointToNumberComma(LEFT(Q330,FIND("x",Q330)-2)))</f>
        <v>60</v>
      </c>
      <c r="S330" s="52">
        <f>_xlfn.NUMBERVALUE(convertNumberStringPointToNumberComma(LEFT(RIGHT(Q330,LEN(Q330)-FIND("x",Q330)-1),LEN(RIGHT(Q330,LEN(Q330)-FIND("x",Q330)-1))-2)))</f>
        <v>65</v>
      </c>
    </row>
    <row r="331" spans="1:19" x14ac:dyDescent="0.25">
      <c r="B331" t="s">
        <v>526</v>
      </c>
      <c r="E331" t="s">
        <v>2635</v>
      </c>
      <c r="H331" t="s">
        <v>62</v>
      </c>
      <c r="L331" t="s">
        <v>2992</v>
      </c>
      <c r="M331" t="s">
        <v>2680</v>
      </c>
      <c r="N331" t="s">
        <v>2681</v>
      </c>
      <c r="O331" t="s">
        <v>330</v>
      </c>
      <c r="Q331" t="s">
        <v>3969</v>
      </c>
      <c r="R331" s="52">
        <f>_xlfn.NUMBERVALUE(convertNumberStringPointToNumberComma(LEFT(Q331,FIND("x",Q331)-2)))</f>
        <v>60</v>
      </c>
      <c r="S331" s="52">
        <f>_xlfn.NUMBERVALUE(convertNumberStringPointToNumberComma(LEFT(RIGHT(Q331,LEN(Q331)-FIND("x",Q331)-1),LEN(RIGHT(Q331,LEN(Q331)-FIND("x",Q331)-1))-2)))</f>
        <v>94</v>
      </c>
    </row>
    <row r="332" spans="1:19" x14ac:dyDescent="0.25">
      <c r="A332" t="s">
        <v>1812</v>
      </c>
      <c r="B332" t="s">
        <v>552</v>
      </c>
      <c r="E332" t="s">
        <v>2632</v>
      </c>
      <c r="H332" t="s">
        <v>2667</v>
      </c>
      <c r="L332" t="s">
        <v>2692</v>
      </c>
      <c r="M332" t="s">
        <v>2763</v>
      </c>
      <c r="N332" t="s">
        <v>903</v>
      </c>
      <c r="O332" t="s">
        <v>3019</v>
      </c>
      <c r="Q332" t="s">
        <v>3697</v>
      </c>
      <c r="R332" s="52">
        <f>_xlfn.NUMBERVALUE(convertNumberStringPointToNumberComma(LEFT(Q332,FIND("x",Q332)-2)))</f>
        <v>60.4</v>
      </c>
      <c r="S332" s="52">
        <f>_xlfn.NUMBERVALUE(convertNumberStringPointToNumberComma(LEFT(RIGHT(Q332,LEN(Q332)-FIND("x",Q332)-1),LEN(RIGHT(Q332,LEN(Q332)-FIND("x",Q332)-1))-2)))</f>
        <v>29</v>
      </c>
    </row>
    <row r="333" spans="1:19" x14ac:dyDescent="0.25">
      <c r="A333" t="s">
        <v>1813</v>
      </c>
      <c r="B333" t="s">
        <v>552</v>
      </c>
      <c r="E333" t="s">
        <v>2632</v>
      </c>
      <c r="H333" t="s">
        <v>2667</v>
      </c>
      <c r="L333" t="s">
        <v>2692</v>
      </c>
      <c r="M333" t="s">
        <v>2748</v>
      </c>
      <c r="N333" t="s">
        <v>903</v>
      </c>
      <c r="O333" t="s">
        <v>3019</v>
      </c>
      <c r="Q333" t="s">
        <v>3697</v>
      </c>
      <c r="R333" s="52">
        <f>_xlfn.NUMBERVALUE(convertNumberStringPointToNumberComma(LEFT(Q333,FIND("x",Q333)-2)))</f>
        <v>60.4</v>
      </c>
      <c r="S333" s="52">
        <f>_xlfn.NUMBERVALUE(convertNumberStringPointToNumberComma(LEFT(RIGHT(Q333,LEN(Q333)-FIND("x",Q333)-1),LEN(RIGHT(Q333,LEN(Q333)-FIND("x",Q333)-1))-2)))</f>
        <v>29</v>
      </c>
    </row>
    <row r="334" spans="1:19" x14ac:dyDescent="0.25">
      <c r="A334" t="s">
        <v>1814</v>
      </c>
      <c r="B334" t="s">
        <v>552</v>
      </c>
      <c r="E334" t="s">
        <v>2632</v>
      </c>
      <c r="H334" t="s">
        <v>2667</v>
      </c>
      <c r="L334" t="s">
        <v>2692</v>
      </c>
      <c r="M334" t="s">
        <v>2680</v>
      </c>
      <c r="N334" t="s">
        <v>903</v>
      </c>
      <c r="O334" t="s">
        <v>3019</v>
      </c>
      <c r="Q334" t="s">
        <v>3697</v>
      </c>
      <c r="R334" s="52">
        <f>_xlfn.NUMBERVALUE(convertNumberStringPointToNumberComma(LEFT(Q334,FIND("x",Q334)-2)))</f>
        <v>60.4</v>
      </c>
      <c r="S334" s="52">
        <f>_xlfn.NUMBERVALUE(convertNumberStringPointToNumberComma(LEFT(RIGHT(Q334,LEN(Q334)-FIND("x",Q334)-1),LEN(RIGHT(Q334,LEN(Q334)-FIND("x",Q334)-1))-2)))</f>
        <v>29</v>
      </c>
    </row>
    <row r="335" spans="1:19" x14ac:dyDescent="0.25">
      <c r="B335" t="s">
        <v>552</v>
      </c>
      <c r="E335" t="s">
        <v>2632</v>
      </c>
      <c r="H335" t="s">
        <v>2667</v>
      </c>
      <c r="M335" t="s">
        <v>2680</v>
      </c>
      <c r="N335" t="s">
        <v>903</v>
      </c>
      <c r="O335" t="s">
        <v>3019</v>
      </c>
      <c r="Q335" t="s">
        <v>3697</v>
      </c>
      <c r="R335" s="52">
        <f>_xlfn.NUMBERVALUE(convertNumberStringPointToNumberComma(LEFT(Q335,FIND("x",Q335)-2)))</f>
        <v>60.4</v>
      </c>
      <c r="S335" s="52">
        <f>_xlfn.NUMBERVALUE(convertNumberStringPointToNumberComma(LEFT(RIGHT(Q335,LEN(Q335)-FIND("x",Q335)-1),LEN(RIGHT(Q335,LEN(Q335)-FIND("x",Q335)-1))-2)))</f>
        <v>29</v>
      </c>
    </row>
    <row r="336" spans="1:19" x14ac:dyDescent="0.25">
      <c r="B336" t="s">
        <v>552</v>
      </c>
      <c r="E336" t="s">
        <v>2632</v>
      </c>
      <c r="H336" t="s">
        <v>2667</v>
      </c>
      <c r="M336" t="s">
        <v>2674</v>
      </c>
      <c r="N336" t="s">
        <v>903</v>
      </c>
      <c r="O336" t="s">
        <v>3019</v>
      </c>
      <c r="Q336" t="s">
        <v>3697</v>
      </c>
      <c r="R336" s="52">
        <f>_xlfn.NUMBERVALUE(convertNumberStringPointToNumberComma(LEFT(Q336,FIND("x",Q336)-2)))</f>
        <v>60.4</v>
      </c>
      <c r="S336" s="52">
        <f>_xlfn.NUMBERVALUE(convertNumberStringPointToNumberComma(LEFT(RIGHT(Q336,LEN(Q336)-FIND("x",Q336)-1),LEN(RIGHT(Q336,LEN(Q336)-FIND("x",Q336)-1))-2)))</f>
        <v>29</v>
      </c>
    </row>
    <row r="337" spans="1:19" x14ac:dyDescent="0.25">
      <c r="B337" t="s">
        <v>552</v>
      </c>
      <c r="E337" t="s">
        <v>2632</v>
      </c>
      <c r="H337" t="s">
        <v>2667</v>
      </c>
      <c r="M337" t="s">
        <v>2782</v>
      </c>
      <c r="N337" t="s">
        <v>903</v>
      </c>
      <c r="O337" t="s">
        <v>3019</v>
      </c>
      <c r="Q337" t="s">
        <v>3697</v>
      </c>
      <c r="R337" s="52">
        <f>_xlfn.NUMBERVALUE(convertNumberStringPointToNumberComma(LEFT(Q337,FIND("x",Q337)-2)))</f>
        <v>60.4</v>
      </c>
      <c r="S337" s="52">
        <f>_xlfn.NUMBERVALUE(convertNumberStringPointToNumberComma(LEFT(RIGHT(Q337,LEN(Q337)-FIND("x",Q337)-1),LEN(RIGHT(Q337,LEN(Q337)-FIND("x",Q337)-1))-2)))</f>
        <v>29</v>
      </c>
    </row>
    <row r="338" spans="1:19" x14ac:dyDescent="0.25">
      <c r="B338" t="s">
        <v>552</v>
      </c>
      <c r="E338" t="s">
        <v>2632</v>
      </c>
      <c r="H338" t="s">
        <v>2667</v>
      </c>
      <c r="M338" t="s">
        <v>2763</v>
      </c>
      <c r="N338" t="s">
        <v>903</v>
      </c>
      <c r="O338" t="s">
        <v>3019</v>
      </c>
      <c r="Q338" t="s">
        <v>3697</v>
      </c>
      <c r="R338" s="52">
        <f>_xlfn.NUMBERVALUE(convertNumberStringPointToNumberComma(LEFT(Q338,FIND("x",Q338)-2)))</f>
        <v>60.4</v>
      </c>
      <c r="S338" s="52">
        <f>_xlfn.NUMBERVALUE(convertNumberStringPointToNumberComma(LEFT(RIGHT(Q338,LEN(Q338)-FIND("x",Q338)-1),LEN(RIGHT(Q338,LEN(Q338)-FIND("x",Q338)-1))-2)))</f>
        <v>29</v>
      </c>
    </row>
    <row r="339" spans="1:19" x14ac:dyDescent="0.25">
      <c r="B339" t="s">
        <v>552</v>
      </c>
      <c r="E339" t="s">
        <v>2632</v>
      </c>
      <c r="H339" t="s">
        <v>2667</v>
      </c>
      <c r="M339" t="s">
        <v>2748</v>
      </c>
      <c r="N339" t="s">
        <v>903</v>
      </c>
      <c r="O339" t="s">
        <v>3019</v>
      </c>
      <c r="Q339" t="s">
        <v>3697</v>
      </c>
      <c r="R339" s="52">
        <f>_xlfn.NUMBERVALUE(convertNumberStringPointToNumberComma(LEFT(Q339,FIND("x",Q339)-2)))</f>
        <v>60.4</v>
      </c>
      <c r="S339" s="52">
        <f>_xlfn.NUMBERVALUE(convertNumberStringPointToNumberComma(LEFT(RIGHT(Q339,LEN(Q339)-FIND("x",Q339)-1),LEN(RIGHT(Q339,LEN(Q339)-FIND("x",Q339)-1))-2)))</f>
        <v>29</v>
      </c>
    </row>
    <row r="340" spans="1:19" x14ac:dyDescent="0.25">
      <c r="A340" t="s">
        <v>2609</v>
      </c>
      <c r="B340" t="s">
        <v>552</v>
      </c>
      <c r="E340" t="s">
        <v>2632</v>
      </c>
      <c r="H340" t="s">
        <v>2667</v>
      </c>
      <c r="L340" t="s">
        <v>2692</v>
      </c>
      <c r="M340" t="s">
        <v>2674</v>
      </c>
      <c r="N340" t="s">
        <v>903</v>
      </c>
      <c r="O340" t="s">
        <v>3019</v>
      </c>
      <c r="Q340" t="s">
        <v>3697</v>
      </c>
      <c r="R340" s="52">
        <f>_xlfn.NUMBERVALUE(convertNumberStringPointToNumberComma(LEFT(Q340,FIND("x",Q340)-2)))</f>
        <v>60.4</v>
      </c>
      <c r="S340" s="52">
        <f>_xlfn.NUMBERVALUE(convertNumberStringPointToNumberComma(LEFT(RIGHT(Q340,LEN(Q340)-FIND("x",Q340)-1),LEN(RIGHT(Q340,LEN(Q340)-FIND("x",Q340)-1))-2)))</f>
        <v>29</v>
      </c>
    </row>
    <row r="341" spans="1:19" x14ac:dyDescent="0.25">
      <c r="A341" t="s">
        <v>1815</v>
      </c>
      <c r="B341" t="s">
        <v>592</v>
      </c>
      <c r="E341" t="s">
        <v>2640</v>
      </c>
      <c r="H341" t="s">
        <v>2667</v>
      </c>
      <c r="L341" t="s">
        <v>3020</v>
      </c>
      <c r="M341" t="s">
        <v>2763</v>
      </c>
      <c r="N341" t="s">
        <v>903</v>
      </c>
      <c r="O341" t="s">
        <v>3021</v>
      </c>
      <c r="Q341" t="s">
        <v>3698</v>
      </c>
      <c r="R341" s="52">
        <f>_xlfn.NUMBERVALUE(convertNumberStringPointToNumberComma(LEFT(Q341,FIND("x",Q341)-2)))</f>
        <v>60.5</v>
      </c>
      <c r="S341" s="52">
        <f>_xlfn.NUMBERVALUE(convertNumberStringPointToNumberComma(LEFT(RIGHT(Q341,LEN(Q341)-FIND("x",Q341)-1),LEN(RIGHT(Q341,LEN(Q341)-FIND("x",Q341)-1))-2)))</f>
        <v>41</v>
      </c>
    </row>
    <row r="342" spans="1:19" x14ac:dyDescent="0.25">
      <c r="A342" t="s">
        <v>1816</v>
      </c>
      <c r="B342" t="s">
        <v>592</v>
      </c>
      <c r="E342" t="s">
        <v>2640</v>
      </c>
      <c r="H342" t="s">
        <v>2667</v>
      </c>
      <c r="L342" t="s">
        <v>3020</v>
      </c>
      <c r="M342" t="s">
        <v>2748</v>
      </c>
      <c r="N342" t="s">
        <v>903</v>
      </c>
      <c r="O342" t="s">
        <v>3021</v>
      </c>
      <c r="Q342" t="s">
        <v>3698</v>
      </c>
      <c r="R342" s="52">
        <f>_xlfn.NUMBERVALUE(convertNumberStringPointToNumberComma(LEFT(Q342,FIND("x",Q342)-2)))</f>
        <v>60.5</v>
      </c>
      <c r="S342" s="52">
        <f>_xlfn.NUMBERVALUE(convertNumberStringPointToNumberComma(LEFT(RIGHT(Q342,LEN(Q342)-FIND("x",Q342)-1),LEN(RIGHT(Q342,LEN(Q342)-FIND("x",Q342)-1))-2)))</f>
        <v>41</v>
      </c>
    </row>
    <row r="343" spans="1:19" x14ac:dyDescent="0.25">
      <c r="A343" t="s">
        <v>1817</v>
      </c>
      <c r="B343" t="s">
        <v>592</v>
      </c>
      <c r="E343" t="s">
        <v>2640</v>
      </c>
      <c r="H343" t="s">
        <v>2667</v>
      </c>
      <c r="L343" t="s">
        <v>3020</v>
      </c>
      <c r="M343" t="s">
        <v>2782</v>
      </c>
      <c r="N343" t="s">
        <v>903</v>
      </c>
      <c r="O343" t="s">
        <v>3021</v>
      </c>
      <c r="Q343" t="s">
        <v>3698</v>
      </c>
      <c r="R343" s="52">
        <f>_xlfn.NUMBERVALUE(convertNumberStringPointToNumberComma(LEFT(Q343,FIND("x",Q343)-2)))</f>
        <v>60.5</v>
      </c>
      <c r="S343" s="52">
        <f>_xlfn.NUMBERVALUE(convertNumberStringPointToNumberComma(LEFT(RIGHT(Q343,LEN(Q343)-FIND("x",Q343)-1),LEN(RIGHT(Q343,LEN(Q343)-FIND("x",Q343)-1))-2)))</f>
        <v>41</v>
      </c>
    </row>
    <row r="344" spans="1:19" x14ac:dyDescent="0.25">
      <c r="A344" t="s">
        <v>1818</v>
      </c>
      <c r="B344" t="s">
        <v>678</v>
      </c>
      <c r="E344" t="s">
        <v>2638</v>
      </c>
      <c r="H344" t="s">
        <v>2667</v>
      </c>
      <c r="L344" t="s">
        <v>2910</v>
      </c>
      <c r="M344" t="s">
        <v>2763</v>
      </c>
      <c r="N344" t="s">
        <v>903</v>
      </c>
      <c r="O344" t="s">
        <v>3022</v>
      </c>
      <c r="Q344" t="s">
        <v>3698</v>
      </c>
      <c r="R344" s="52">
        <f>_xlfn.NUMBERVALUE(convertNumberStringPointToNumberComma(LEFT(Q344,FIND("x",Q344)-2)))</f>
        <v>60.5</v>
      </c>
      <c r="S344" s="52">
        <f>_xlfn.NUMBERVALUE(convertNumberStringPointToNumberComma(LEFT(RIGHT(Q344,LEN(Q344)-FIND("x",Q344)-1),LEN(RIGHT(Q344,LEN(Q344)-FIND("x",Q344)-1))-2)))</f>
        <v>41</v>
      </c>
    </row>
    <row r="345" spans="1:19" x14ac:dyDescent="0.25">
      <c r="A345" t="s">
        <v>1819</v>
      </c>
      <c r="B345" t="s">
        <v>678</v>
      </c>
      <c r="E345" t="s">
        <v>2638</v>
      </c>
      <c r="H345" t="s">
        <v>2667</v>
      </c>
      <c r="L345" t="s">
        <v>2910</v>
      </c>
      <c r="M345" t="s">
        <v>2748</v>
      </c>
      <c r="N345" t="s">
        <v>903</v>
      </c>
      <c r="O345" t="s">
        <v>3022</v>
      </c>
      <c r="Q345" t="s">
        <v>3698</v>
      </c>
      <c r="R345" s="52">
        <f>_xlfn.NUMBERVALUE(convertNumberStringPointToNumberComma(LEFT(Q345,FIND("x",Q345)-2)))</f>
        <v>60.5</v>
      </c>
      <c r="S345" s="52">
        <f>_xlfn.NUMBERVALUE(convertNumberStringPointToNumberComma(LEFT(RIGHT(Q345,LEN(Q345)-FIND("x",Q345)-1),LEN(RIGHT(Q345,LEN(Q345)-FIND("x",Q345)-1))-2)))</f>
        <v>41</v>
      </c>
    </row>
    <row r="346" spans="1:19" x14ac:dyDescent="0.25">
      <c r="A346" t="s">
        <v>1820</v>
      </c>
      <c r="B346" t="s">
        <v>678</v>
      </c>
      <c r="E346" t="s">
        <v>2638</v>
      </c>
      <c r="H346" t="s">
        <v>2667</v>
      </c>
      <c r="L346" t="s">
        <v>2910</v>
      </c>
      <c r="M346" t="s">
        <v>2680</v>
      </c>
      <c r="N346" t="s">
        <v>903</v>
      </c>
      <c r="O346" t="s">
        <v>3022</v>
      </c>
      <c r="Q346" t="s">
        <v>3698</v>
      </c>
      <c r="R346" s="52">
        <f>_xlfn.NUMBERVALUE(convertNumberStringPointToNumberComma(LEFT(Q346,FIND("x",Q346)-2)))</f>
        <v>60.5</v>
      </c>
      <c r="S346" s="52">
        <f>_xlfn.NUMBERVALUE(convertNumberStringPointToNumberComma(LEFT(RIGHT(Q346,LEN(Q346)-FIND("x",Q346)-1),LEN(RIGHT(Q346,LEN(Q346)-FIND("x",Q346)-1))-2)))</f>
        <v>41</v>
      </c>
    </row>
    <row r="347" spans="1:19" x14ac:dyDescent="0.25">
      <c r="A347" t="s">
        <v>1821</v>
      </c>
      <c r="B347" t="s">
        <v>678</v>
      </c>
      <c r="E347" t="s">
        <v>2638</v>
      </c>
      <c r="H347" t="s">
        <v>2667</v>
      </c>
      <c r="L347" t="s">
        <v>2910</v>
      </c>
      <c r="M347" t="s">
        <v>2674</v>
      </c>
      <c r="N347" t="s">
        <v>903</v>
      </c>
      <c r="O347" t="s">
        <v>3022</v>
      </c>
      <c r="Q347" t="s">
        <v>3698</v>
      </c>
      <c r="R347" s="52">
        <f>_xlfn.NUMBERVALUE(convertNumberStringPointToNumberComma(LEFT(Q347,FIND("x",Q347)-2)))</f>
        <v>60.5</v>
      </c>
      <c r="S347" s="52">
        <f>_xlfn.NUMBERVALUE(convertNumberStringPointToNumberComma(LEFT(RIGHT(Q347,LEN(Q347)-FIND("x",Q347)-1),LEN(RIGHT(Q347,LEN(Q347)-FIND("x",Q347)-1))-2)))</f>
        <v>41</v>
      </c>
    </row>
    <row r="348" spans="1:19" x14ac:dyDescent="0.25">
      <c r="A348" t="s">
        <v>2394</v>
      </c>
      <c r="B348" t="s">
        <v>592</v>
      </c>
      <c r="E348" t="s">
        <v>2640</v>
      </c>
      <c r="H348" t="s">
        <v>2667</v>
      </c>
      <c r="M348" t="s">
        <v>2763</v>
      </c>
      <c r="N348" t="s">
        <v>903</v>
      </c>
      <c r="O348" t="s">
        <v>3021</v>
      </c>
      <c r="Q348" t="s">
        <v>3698</v>
      </c>
      <c r="R348" s="52">
        <f>_xlfn.NUMBERVALUE(convertNumberStringPointToNumberComma(LEFT(Q348,FIND("x",Q348)-2)))</f>
        <v>60.5</v>
      </c>
      <c r="S348" s="52">
        <f>_xlfn.NUMBERVALUE(convertNumberStringPointToNumberComma(LEFT(RIGHT(Q348,LEN(Q348)-FIND("x",Q348)-1),LEN(RIGHT(Q348,LEN(Q348)-FIND("x",Q348)-1))-2)))</f>
        <v>41</v>
      </c>
    </row>
    <row r="349" spans="1:19" x14ac:dyDescent="0.25">
      <c r="B349" t="s">
        <v>592</v>
      </c>
      <c r="E349" t="s">
        <v>2640</v>
      </c>
      <c r="H349" t="s">
        <v>2667</v>
      </c>
      <c r="M349" t="s">
        <v>2674</v>
      </c>
      <c r="N349" t="s">
        <v>903</v>
      </c>
      <c r="O349" t="s">
        <v>3021</v>
      </c>
      <c r="Q349" t="s">
        <v>3698</v>
      </c>
      <c r="R349" s="52">
        <f>_xlfn.NUMBERVALUE(convertNumberStringPointToNumberComma(LEFT(Q349,FIND("x",Q349)-2)))</f>
        <v>60.5</v>
      </c>
      <c r="S349" s="52">
        <f>_xlfn.NUMBERVALUE(convertNumberStringPointToNumberComma(LEFT(RIGHT(Q349,LEN(Q349)-FIND("x",Q349)-1),LEN(RIGHT(Q349,LEN(Q349)-FIND("x",Q349)-1))-2)))</f>
        <v>41</v>
      </c>
    </row>
    <row r="350" spans="1:19" x14ac:dyDescent="0.25">
      <c r="B350" t="s">
        <v>678</v>
      </c>
      <c r="E350" t="s">
        <v>2638</v>
      </c>
      <c r="H350" t="s">
        <v>2667</v>
      </c>
      <c r="M350" t="s">
        <v>2680</v>
      </c>
      <c r="N350" t="s">
        <v>903</v>
      </c>
      <c r="O350" t="s">
        <v>3022</v>
      </c>
      <c r="Q350" t="s">
        <v>3698</v>
      </c>
      <c r="R350" s="52">
        <f>_xlfn.NUMBERVALUE(convertNumberStringPointToNumberComma(LEFT(Q350,FIND("x",Q350)-2)))</f>
        <v>60.5</v>
      </c>
      <c r="S350" s="52">
        <f>_xlfn.NUMBERVALUE(convertNumberStringPointToNumberComma(LEFT(RIGHT(Q350,LEN(Q350)-FIND("x",Q350)-1),LEN(RIGHT(Q350,LEN(Q350)-FIND("x",Q350)-1))-2)))</f>
        <v>41</v>
      </c>
    </row>
    <row r="351" spans="1:19" x14ac:dyDescent="0.25">
      <c r="B351" t="s">
        <v>678</v>
      </c>
      <c r="E351" t="s">
        <v>2638</v>
      </c>
      <c r="H351" t="s">
        <v>2667</v>
      </c>
      <c r="M351" t="s">
        <v>2674</v>
      </c>
      <c r="N351" t="s">
        <v>903</v>
      </c>
      <c r="O351" t="s">
        <v>3022</v>
      </c>
      <c r="Q351" t="s">
        <v>3698</v>
      </c>
      <c r="R351" s="52">
        <f>_xlfn.NUMBERVALUE(convertNumberStringPointToNumberComma(LEFT(Q351,FIND("x",Q351)-2)))</f>
        <v>60.5</v>
      </c>
      <c r="S351" s="52">
        <f>_xlfn.NUMBERVALUE(convertNumberStringPointToNumberComma(LEFT(RIGHT(Q351,LEN(Q351)-FIND("x",Q351)-1),LEN(RIGHT(Q351,LEN(Q351)-FIND("x",Q351)-1))-2)))</f>
        <v>41</v>
      </c>
    </row>
    <row r="352" spans="1:19" x14ac:dyDescent="0.25">
      <c r="B352" t="s">
        <v>678</v>
      </c>
      <c r="E352" t="s">
        <v>2638</v>
      </c>
      <c r="H352" t="s">
        <v>2667</v>
      </c>
      <c r="M352" t="s">
        <v>2782</v>
      </c>
      <c r="N352" t="s">
        <v>903</v>
      </c>
      <c r="O352" t="s">
        <v>3022</v>
      </c>
      <c r="Q352" t="s">
        <v>3698</v>
      </c>
      <c r="R352" s="52">
        <f>_xlfn.NUMBERVALUE(convertNumberStringPointToNumberComma(LEFT(Q352,FIND("x",Q352)-2)))</f>
        <v>60.5</v>
      </c>
      <c r="S352" s="52">
        <f>_xlfn.NUMBERVALUE(convertNumberStringPointToNumberComma(LEFT(RIGHT(Q352,LEN(Q352)-FIND("x",Q352)-1),LEN(RIGHT(Q352,LEN(Q352)-FIND("x",Q352)-1))-2)))</f>
        <v>41</v>
      </c>
    </row>
    <row r="353" spans="1:19" x14ac:dyDescent="0.25">
      <c r="B353" t="s">
        <v>592</v>
      </c>
      <c r="E353" t="s">
        <v>2640</v>
      </c>
      <c r="H353" t="s">
        <v>2667</v>
      </c>
      <c r="M353" t="s">
        <v>2748</v>
      </c>
      <c r="N353" t="s">
        <v>903</v>
      </c>
      <c r="O353" t="s">
        <v>3021</v>
      </c>
      <c r="Q353" t="s">
        <v>3698</v>
      </c>
      <c r="R353" s="52">
        <f>_xlfn.NUMBERVALUE(convertNumberStringPointToNumberComma(LEFT(Q353,FIND("x",Q353)-2)))</f>
        <v>60.5</v>
      </c>
      <c r="S353" s="52">
        <f>_xlfn.NUMBERVALUE(convertNumberStringPointToNumberComma(LEFT(RIGHT(Q353,LEN(Q353)-FIND("x",Q353)-1),LEN(RIGHT(Q353,LEN(Q353)-FIND("x",Q353)-1))-2)))</f>
        <v>41</v>
      </c>
    </row>
    <row r="354" spans="1:19" x14ac:dyDescent="0.25">
      <c r="B354" t="s">
        <v>592</v>
      </c>
      <c r="E354" t="s">
        <v>2640</v>
      </c>
      <c r="H354" t="s">
        <v>2667</v>
      </c>
      <c r="M354" t="s">
        <v>2782</v>
      </c>
      <c r="N354" t="s">
        <v>903</v>
      </c>
      <c r="O354" t="s">
        <v>3021</v>
      </c>
      <c r="Q354" t="s">
        <v>3698</v>
      </c>
      <c r="R354" s="52">
        <f>_xlfn.NUMBERVALUE(convertNumberStringPointToNumberComma(LEFT(Q354,FIND("x",Q354)-2)))</f>
        <v>60.5</v>
      </c>
      <c r="S354" s="52">
        <f>_xlfn.NUMBERVALUE(convertNumberStringPointToNumberComma(LEFT(RIGHT(Q354,LEN(Q354)-FIND("x",Q354)-1),LEN(RIGHT(Q354,LEN(Q354)-FIND("x",Q354)-1))-2)))</f>
        <v>41</v>
      </c>
    </row>
    <row r="355" spans="1:19" x14ac:dyDescent="0.25">
      <c r="B355" t="s">
        <v>592</v>
      </c>
      <c r="E355" t="s">
        <v>2640</v>
      </c>
      <c r="H355" t="s">
        <v>2667</v>
      </c>
      <c r="M355" t="s">
        <v>2680</v>
      </c>
      <c r="N355" t="s">
        <v>903</v>
      </c>
      <c r="O355" t="s">
        <v>3021</v>
      </c>
      <c r="Q355" t="s">
        <v>3698</v>
      </c>
      <c r="R355" s="52">
        <f>_xlfn.NUMBERVALUE(convertNumberStringPointToNumberComma(LEFT(Q355,FIND("x",Q355)-2)))</f>
        <v>60.5</v>
      </c>
      <c r="S355" s="52">
        <f>_xlfn.NUMBERVALUE(convertNumberStringPointToNumberComma(LEFT(RIGHT(Q355,LEN(Q355)-FIND("x",Q355)-1),LEN(RIGHT(Q355,LEN(Q355)-FIND("x",Q355)-1))-2)))</f>
        <v>41</v>
      </c>
    </row>
    <row r="356" spans="1:19" x14ac:dyDescent="0.25">
      <c r="A356" t="s">
        <v>2610</v>
      </c>
      <c r="B356" t="s">
        <v>592</v>
      </c>
      <c r="E356" t="s">
        <v>2640</v>
      </c>
      <c r="H356" t="s">
        <v>2667</v>
      </c>
      <c r="L356" t="s">
        <v>3020</v>
      </c>
      <c r="M356" t="s">
        <v>2674</v>
      </c>
      <c r="N356" t="s">
        <v>903</v>
      </c>
      <c r="O356" t="s">
        <v>3021</v>
      </c>
      <c r="Q356" t="s">
        <v>3698</v>
      </c>
      <c r="R356" s="52">
        <f>_xlfn.NUMBERVALUE(convertNumberStringPointToNumberComma(LEFT(Q356,FIND("x",Q356)-2)))</f>
        <v>60.5</v>
      </c>
      <c r="S356" s="52">
        <f>_xlfn.NUMBERVALUE(convertNumberStringPointToNumberComma(LEFT(RIGHT(Q356,LEN(Q356)-FIND("x",Q356)-1),LEN(RIGHT(Q356,LEN(Q356)-FIND("x",Q356)-1))-2)))</f>
        <v>41</v>
      </c>
    </row>
    <row r="357" spans="1:19" x14ac:dyDescent="0.25">
      <c r="A357" t="s">
        <v>1385</v>
      </c>
      <c r="B357" t="s">
        <v>1386</v>
      </c>
      <c r="E357" t="s">
        <v>2634</v>
      </c>
      <c r="H357" t="s">
        <v>62</v>
      </c>
      <c r="L357" t="s">
        <v>2753</v>
      </c>
      <c r="M357" t="s">
        <v>2782</v>
      </c>
      <c r="N357" t="s">
        <v>2783</v>
      </c>
      <c r="O357" t="s">
        <v>2890</v>
      </c>
      <c r="Q357" t="s">
        <v>3465</v>
      </c>
      <c r="R357" s="52">
        <f>_xlfn.NUMBERVALUE(convertNumberStringPointToNumberComma(LEFT(Q357,FIND("x",Q357)-2)))</f>
        <v>60.5</v>
      </c>
      <c r="S357" s="52">
        <f>_xlfn.NUMBERVALUE(convertNumberStringPointToNumberComma(LEFT(RIGHT(Q357,LEN(Q357)-FIND("x",Q357)-1),LEN(RIGHT(Q357,LEN(Q357)-FIND("x",Q357)-1))-2)))</f>
        <v>70.5</v>
      </c>
    </row>
    <row r="358" spans="1:19" x14ac:dyDescent="0.25">
      <c r="A358" t="s">
        <v>2364</v>
      </c>
      <c r="B358" t="s">
        <v>1386</v>
      </c>
      <c r="E358" t="s">
        <v>2634</v>
      </c>
      <c r="H358" t="s">
        <v>62</v>
      </c>
      <c r="L358" t="s">
        <v>2753</v>
      </c>
      <c r="M358" t="s">
        <v>2782</v>
      </c>
      <c r="N358" t="s">
        <v>2783</v>
      </c>
      <c r="O358" t="s">
        <v>2890</v>
      </c>
      <c r="Q358" t="s">
        <v>3465</v>
      </c>
      <c r="R358" s="52">
        <f>_xlfn.NUMBERVALUE(convertNumberStringPointToNumberComma(LEFT(Q358,FIND("x",Q358)-2)))</f>
        <v>60.5</v>
      </c>
      <c r="S358" s="52">
        <f>_xlfn.NUMBERVALUE(convertNumberStringPointToNumberComma(LEFT(RIGHT(Q358,LEN(Q358)-FIND("x",Q358)-1),LEN(RIGHT(Q358,LEN(Q358)-FIND("x",Q358)-1))-2)))</f>
        <v>70.5</v>
      </c>
    </row>
    <row r="359" spans="1:19" x14ac:dyDescent="0.25">
      <c r="A359" t="s">
        <v>2365</v>
      </c>
      <c r="B359" t="s">
        <v>1386</v>
      </c>
      <c r="E359" t="s">
        <v>2634</v>
      </c>
      <c r="H359" t="s">
        <v>62</v>
      </c>
      <c r="L359" t="s">
        <v>2753</v>
      </c>
      <c r="M359" t="s">
        <v>2782</v>
      </c>
      <c r="N359" t="s">
        <v>2783</v>
      </c>
      <c r="O359" t="s">
        <v>2890</v>
      </c>
      <c r="Q359" t="s">
        <v>3465</v>
      </c>
      <c r="R359" s="52">
        <f>_xlfn.NUMBERVALUE(convertNumberStringPointToNumberComma(LEFT(Q359,FIND("x",Q359)-2)))</f>
        <v>60.5</v>
      </c>
      <c r="S359" s="52">
        <f>_xlfn.NUMBERVALUE(convertNumberStringPointToNumberComma(LEFT(RIGHT(Q359,LEN(Q359)-FIND("x",Q359)-1),LEN(RIGHT(Q359,LEN(Q359)-FIND("x",Q359)-1))-2)))</f>
        <v>70.5</v>
      </c>
    </row>
    <row r="360" spans="1:19" x14ac:dyDescent="0.25">
      <c r="A360" t="s">
        <v>1097</v>
      </c>
      <c r="B360" t="s">
        <v>1098</v>
      </c>
      <c r="C360" s="5">
        <f>convertNumberStringPointToNumberComma(IFERROR(LEFT(B360,(FIND("-",B360)-1)),LEFT(B360,FIND("mm",B360)-1)))</f>
        <v>14</v>
      </c>
      <c r="D360" s="5">
        <f>convertNumberStringPointToNumberComma(IFERROR(RIGHT(LEFT(B360,FIND("m",B360)-1),LEN(LEFT(B360,FIND("m",B360)-1))-FIND("-",LEFT(B360,FIND("m",B360)-1))-1),C360))</f>
        <v>2</v>
      </c>
      <c r="E360" t="s">
        <v>2639</v>
      </c>
      <c r="F360" s="9">
        <f>convertNumberStringPointToNumberComma(LEFT(MID(E360,3,9),IFERROR(FIND("-",MID(E360,3,9))-2,3)))</f>
        <v>3</v>
      </c>
      <c r="G360" s="9">
        <f>convertNumberStringPointToNumberComma(RIGHT(E360,IF(ISERROR(FIND(".",RIGHT(E360,3))),1,3)))</f>
        <v>5.6</v>
      </c>
      <c r="H360" t="s">
        <v>2672</v>
      </c>
      <c r="I360" s="5" t="str">
        <f>IF(H360="none",0,LEFT(H360,LEN(H360)-2))</f>
        <v>37</v>
      </c>
      <c r="J360" s="5" t="s">
        <v>144</v>
      </c>
      <c r="K360" s="10">
        <f>IF(J360="",0,convertNumberStringPointToNumberComma(LEFT(J360,LEN(J360)-1)))</f>
        <v>0.24</v>
      </c>
      <c r="L360" t="s">
        <v>2675</v>
      </c>
      <c r="M360" t="s">
        <v>2680</v>
      </c>
      <c r="N360" t="s">
        <v>2681</v>
      </c>
      <c r="O360" t="s">
        <v>2788</v>
      </c>
      <c r="P360" s="5" t="str">
        <f>LEFT(O360,LEN(O360)-1)</f>
        <v>93</v>
      </c>
      <c r="Q360" t="s">
        <v>3307</v>
      </c>
      <c r="R360" s="52">
        <f>_xlfn.NUMBERVALUE(convertNumberStringPointToNumberComma(LEFT(Q360,FIND("x",Q360)-2)))</f>
        <v>60.6</v>
      </c>
      <c r="S360" s="52">
        <f>_xlfn.NUMBERVALUE(convertNumberStringPointToNumberComma(LEFT(RIGHT(Q360,LEN(Q360)-FIND("x",Q360)-1),LEN(RIGHT(Q360,LEN(Q360)-FIND("x",Q360)-1))-2)))</f>
        <v>22.5</v>
      </c>
    </row>
    <row r="361" spans="1:19" x14ac:dyDescent="0.25">
      <c r="A361" t="s">
        <v>2555</v>
      </c>
      <c r="B361" t="s">
        <v>1098</v>
      </c>
      <c r="E361" t="s">
        <v>2639</v>
      </c>
      <c r="H361" t="s">
        <v>2672</v>
      </c>
      <c r="L361" t="s">
        <v>2675</v>
      </c>
      <c r="M361" t="s">
        <v>2680</v>
      </c>
      <c r="N361" t="s">
        <v>2681</v>
      </c>
      <c r="O361" t="s">
        <v>2788</v>
      </c>
      <c r="Q361" t="s">
        <v>3307</v>
      </c>
      <c r="R361" s="52">
        <f>_xlfn.NUMBERVALUE(convertNumberStringPointToNumberComma(LEFT(Q361,FIND("x",Q361)-2)))</f>
        <v>60.6</v>
      </c>
      <c r="S361" s="52">
        <f>_xlfn.NUMBERVALUE(convertNumberStringPointToNumberComma(LEFT(RIGHT(Q361,LEN(Q361)-FIND("x",Q361)-1),LEN(RIGHT(Q361,LEN(Q361)-FIND("x",Q361)-1))-2)))</f>
        <v>22.5</v>
      </c>
    </row>
    <row r="362" spans="1:19" x14ac:dyDescent="0.25">
      <c r="A362" t="s">
        <v>2044</v>
      </c>
      <c r="B362" t="s">
        <v>586</v>
      </c>
      <c r="E362" t="s">
        <v>2632</v>
      </c>
      <c r="H362" t="s">
        <v>2669</v>
      </c>
      <c r="L362" t="s">
        <v>2822</v>
      </c>
      <c r="M362" t="s">
        <v>2680</v>
      </c>
      <c r="N362" t="s">
        <v>2681</v>
      </c>
      <c r="O362" t="s">
        <v>2947</v>
      </c>
      <c r="Q362" t="s">
        <v>3811</v>
      </c>
      <c r="R362" s="52">
        <f>_xlfn.NUMBERVALUE(convertNumberStringPointToNumberComma(LEFT(Q362,FIND("x",Q362)-2)))</f>
        <v>60.6</v>
      </c>
      <c r="S362" s="52">
        <f>_xlfn.NUMBERVALUE(convertNumberStringPointToNumberComma(LEFT(RIGHT(Q362,LEN(Q362)-FIND("x",Q362)-1),LEN(RIGHT(Q362,LEN(Q362)-FIND("x",Q362)-1))-2)))</f>
        <v>38.6</v>
      </c>
    </row>
    <row r="363" spans="1:19" x14ac:dyDescent="0.25">
      <c r="A363" t="s">
        <v>2045</v>
      </c>
      <c r="B363" t="s">
        <v>413</v>
      </c>
      <c r="E363" t="s">
        <v>2632</v>
      </c>
      <c r="H363" t="s">
        <v>2669</v>
      </c>
      <c r="L363" t="s">
        <v>2864</v>
      </c>
      <c r="M363" t="s">
        <v>2680</v>
      </c>
      <c r="N363" t="s">
        <v>2681</v>
      </c>
      <c r="O363" t="s">
        <v>2875</v>
      </c>
      <c r="Q363" t="s">
        <v>3812</v>
      </c>
      <c r="R363" s="52">
        <f>_xlfn.NUMBERVALUE(convertNumberStringPointToNumberComma(LEFT(Q363,FIND("x",Q363)-2)))</f>
        <v>60.6</v>
      </c>
      <c r="S363" s="52">
        <f>_xlfn.NUMBERVALUE(convertNumberStringPointToNumberComma(LEFT(RIGHT(Q363,LEN(Q363)-FIND("x",Q363)-1),LEN(RIGHT(Q363,LEN(Q363)-FIND("x",Q363)-1))-2)))</f>
        <v>45.7</v>
      </c>
    </row>
    <row r="364" spans="1:19" x14ac:dyDescent="0.25">
      <c r="A364" t="s">
        <v>1852</v>
      </c>
      <c r="B364" t="s">
        <v>856</v>
      </c>
      <c r="E364" t="s">
        <v>2649</v>
      </c>
      <c r="L364" t="s">
        <v>2698</v>
      </c>
      <c r="M364" t="s">
        <v>2680</v>
      </c>
      <c r="N364" t="s">
        <v>2681</v>
      </c>
      <c r="O364" t="s">
        <v>2876</v>
      </c>
      <c r="Q364" t="s">
        <v>3708</v>
      </c>
      <c r="R364" s="52">
        <f>_xlfn.NUMBERVALUE(convertNumberStringPointToNumberComma(LEFT(Q364,FIND("x",Q364)-2)))</f>
        <v>60.7</v>
      </c>
      <c r="S364" s="52">
        <f>_xlfn.NUMBERVALUE(convertNumberStringPointToNumberComma(LEFT(RIGHT(Q364,LEN(Q364)-FIND("x",Q364)-1),LEN(RIGHT(Q364,LEN(Q364)-FIND("x",Q364)-1))-2)))</f>
        <v>51.7</v>
      </c>
    </row>
    <row r="365" spans="1:19" x14ac:dyDescent="0.25">
      <c r="A365" t="s">
        <v>1348</v>
      </c>
      <c r="B365" t="s">
        <v>586</v>
      </c>
      <c r="E365" t="s">
        <v>2632</v>
      </c>
      <c r="H365" t="s">
        <v>2669</v>
      </c>
      <c r="L365" t="s">
        <v>2838</v>
      </c>
      <c r="M365" t="s">
        <v>2674</v>
      </c>
      <c r="N365" t="s">
        <v>903</v>
      </c>
      <c r="Q365" t="s">
        <v>3444</v>
      </c>
      <c r="R365" s="52">
        <f>_xlfn.NUMBERVALUE(convertNumberStringPointToNumberComma(LEFT(Q365,FIND("x",Q365)-2)))</f>
        <v>60.8</v>
      </c>
      <c r="S365" s="52">
        <f>_xlfn.NUMBERVALUE(convertNumberStringPointToNumberComma(LEFT(RIGHT(Q365,LEN(Q365)-FIND("x",Q365)-1),LEN(RIGHT(Q365,LEN(Q365)-FIND("x",Q365)-1))-2)))</f>
        <v>40.5</v>
      </c>
    </row>
    <row r="366" spans="1:19" x14ac:dyDescent="0.25">
      <c r="A366" t="s">
        <v>2322</v>
      </c>
      <c r="B366" t="s">
        <v>586</v>
      </c>
      <c r="E366" t="s">
        <v>2632</v>
      </c>
      <c r="H366" t="s">
        <v>2669</v>
      </c>
      <c r="L366" t="s">
        <v>2838</v>
      </c>
      <c r="M366" t="s">
        <v>2680</v>
      </c>
      <c r="N366" t="s">
        <v>2681</v>
      </c>
      <c r="Q366" t="s">
        <v>3444</v>
      </c>
      <c r="R366" s="52">
        <f>_xlfn.NUMBERVALUE(convertNumberStringPointToNumberComma(LEFT(Q366,FIND("x",Q366)-2)))</f>
        <v>60.8</v>
      </c>
      <c r="S366" s="52">
        <f>_xlfn.NUMBERVALUE(convertNumberStringPointToNumberComma(LEFT(RIGHT(Q366,LEN(Q366)-FIND("x",Q366)-1),LEN(RIGHT(Q366,LEN(Q366)-FIND("x",Q366)-1))-2)))</f>
        <v>40.5</v>
      </c>
    </row>
    <row r="367" spans="1:19" x14ac:dyDescent="0.25">
      <c r="A367" t="s">
        <v>2323</v>
      </c>
      <c r="B367" t="s">
        <v>586</v>
      </c>
      <c r="E367" t="s">
        <v>2632</v>
      </c>
      <c r="H367" t="s">
        <v>2669</v>
      </c>
      <c r="L367" t="s">
        <v>2838</v>
      </c>
      <c r="M367" t="s">
        <v>2680</v>
      </c>
      <c r="N367" t="s">
        <v>2681</v>
      </c>
      <c r="Q367" t="s">
        <v>3444</v>
      </c>
      <c r="R367" s="52">
        <f>_xlfn.NUMBERVALUE(convertNumberStringPointToNumberComma(LEFT(Q367,FIND("x",Q367)-2)))</f>
        <v>60.8</v>
      </c>
      <c r="S367" s="52">
        <f>_xlfn.NUMBERVALUE(convertNumberStringPointToNumberComma(LEFT(RIGHT(Q367,LEN(Q367)-FIND("x",Q367)-1),LEN(RIGHT(Q367,LEN(Q367)-FIND("x",Q367)-1))-2)))</f>
        <v>40.5</v>
      </c>
    </row>
    <row r="368" spans="1:19" x14ac:dyDescent="0.25">
      <c r="A368" t="s">
        <v>2578</v>
      </c>
      <c r="B368" t="s">
        <v>586</v>
      </c>
      <c r="E368" t="s">
        <v>2632</v>
      </c>
      <c r="H368" t="s">
        <v>2669</v>
      </c>
      <c r="L368" t="s">
        <v>2838</v>
      </c>
      <c r="M368" t="s">
        <v>2674</v>
      </c>
      <c r="N368" t="s">
        <v>903</v>
      </c>
      <c r="Q368" t="s">
        <v>3444</v>
      </c>
      <c r="R368" s="52">
        <f>_xlfn.NUMBERVALUE(convertNumberStringPointToNumberComma(LEFT(Q368,FIND("x",Q368)-2)))</f>
        <v>60.8</v>
      </c>
      <c r="S368" s="52">
        <f>_xlfn.NUMBERVALUE(convertNumberStringPointToNumberComma(LEFT(RIGHT(Q368,LEN(Q368)-FIND("x",Q368)-1),LEN(RIGHT(Q368,LEN(Q368)-FIND("x",Q368)-1))-2)))</f>
        <v>40.5</v>
      </c>
    </row>
    <row r="369" spans="1:19" x14ac:dyDescent="0.25">
      <c r="A369" t="s">
        <v>1352</v>
      </c>
      <c r="B369" t="s">
        <v>413</v>
      </c>
      <c r="E369" t="s">
        <v>2632</v>
      </c>
      <c r="H369" t="s">
        <v>2669</v>
      </c>
      <c r="L369" t="s">
        <v>2864</v>
      </c>
      <c r="M369" t="s">
        <v>2680</v>
      </c>
      <c r="N369" t="s">
        <v>2681</v>
      </c>
      <c r="Q369" t="s">
        <v>3447</v>
      </c>
      <c r="R369" s="52">
        <f>_xlfn.NUMBERVALUE(convertNumberStringPointToNumberComma(LEFT(Q369,FIND("x",Q369)-2)))</f>
        <v>60.8</v>
      </c>
      <c r="S369" s="52">
        <f>_xlfn.NUMBERVALUE(convertNumberStringPointToNumberComma(LEFT(RIGHT(Q369,LEN(Q369)-FIND("x",Q369)-1),LEN(RIGHT(Q369,LEN(Q369)-FIND("x",Q369)-1))-2)))</f>
        <v>45.7</v>
      </c>
    </row>
    <row r="370" spans="1:19" x14ac:dyDescent="0.25">
      <c r="A370" t="s">
        <v>2324</v>
      </c>
      <c r="B370" t="s">
        <v>413</v>
      </c>
      <c r="E370" t="s">
        <v>2632</v>
      </c>
      <c r="H370" t="s">
        <v>2669</v>
      </c>
      <c r="L370" t="s">
        <v>2864</v>
      </c>
      <c r="M370" t="s">
        <v>2680</v>
      </c>
      <c r="N370" t="s">
        <v>2681</v>
      </c>
      <c r="Q370" t="s">
        <v>3447</v>
      </c>
      <c r="R370" s="52">
        <f>_xlfn.NUMBERVALUE(convertNumberStringPointToNumberComma(LEFT(Q370,FIND("x",Q370)-2)))</f>
        <v>60.8</v>
      </c>
      <c r="S370" s="52">
        <f>_xlfn.NUMBERVALUE(convertNumberStringPointToNumberComma(LEFT(RIGHT(Q370,LEN(Q370)-FIND("x",Q370)-1),LEN(RIGHT(Q370,LEN(Q370)-FIND("x",Q370)-1))-2)))</f>
        <v>45.7</v>
      </c>
    </row>
    <row r="371" spans="1:19" x14ac:dyDescent="0.25">
      <c r="A371" t="s">
        <v>2325</v>
      </c>
      <c r="B371" t="s">
        <v>413</v>
      </c>
      <c r="E371" t="s">
        <v>2632</v>
      </c>
      <c r="H371" t="s">
        <v>2669</v>
      </c>
      <c r="L371" t="s">
        <v>2864</v>
      </c>
      <c r="M371" t="s">
        <v>2674</v>
      </c>
      <c r="N371" t="s">
        <v>903</v>
      </c>
      <c r="Q371" t="s">
        <v>3447</v>
      </c>
      <c r="R371" s="52">
        <f>_xlfn.NUMBERVALUE(convertNumberStringPointToNumberComma(LEFT(Q371,FIND("x",Q371)-2)))</f>
        <v>60.8</v>
      </c>
      <c r="S371" s="52">
        <f>_xlfn.NUMBERVALUE(convertNumberStringPointToNumberComma(LEFT(RIGHT(Q371,LEN(Q371)-FIND("x",Q371)-1),LEN(RIGHT(Q371,LEN(Q371)-FIND("x",Q371)-1))-2)))</f>
        <v>45.7</v>
      </c>
    </row>
    <row r="372" spans="1:19" x14ac:dyDescent="0.25">
      <c r="A372" t="s">
        <v>2496</v>
      </c>
      <c r="B372" t="s">
        <v>413</v>
      </c>
      <c r="E372" t="s">
        <v>2632</v>
      </c>
      <c r="H372" t="s">
        <v>2669</v>
      </c>
      <c r="L372" t="s">
        <v>2864</v>
      </c>
      <c r="M372" t="s">
        <v>2674</v>
      </c>
      <c r="N372" t="s">
        <v>903</v>
      </c>
      <c r="Q372" t="s">
        <v>3447</v>
      </c>
      <c r="R372" s="52">
        <f>_xlfn.NUMBERVALUE(convertNumberStringPointToNumberComma(LEFT(Q372,FIND("x",Q372)-2)))</f>
        <v>60.8</v>
      </c>
      <c r="S372" s="52">
        <f>_xlfn.NUMBERVALUE(convertNumberStringPointToNumberComma(LEFT(RIGHT(Q372,LEN(Q372)-FIND("x",Q372)-1),LEN(RIGHT(Q372,LEN(Q372)-FIND("x",Q372)-1))-2)))</f>
        <v>45.7</v>
      </c>
    </row>
    <row r="373" spans="1:19" x14ac:dyDescent="0.25">
      <c r="A373" t="s">
        <v>955</v>
      </c>
      <c r="B373" t="s">
        <v>526</v>
      </c>
      <c r="C373" s="5">
        <f>convertNumberStringPointToNumberComma(IFERROR(LEFT(B373,(FIND("-",B373)-1)),LEFT(B373,FIND("mm",B373)-1)))</f>
        <v>25</v>
      </c>
      <c r="D373" s="5">
        <f>convertNumberStringPointToNumberComma(IFERROR(RIGHT(LEFT(B373,FIND("m",B373)-1),LEN(LEFT(B373,FIND("m",B373)-1))-FIND("-",LEFT(B373,FIND("m",B373)-1))-1),C373))</f>
        <v>25</v>
      </c>
      <c r="E373" t="s">
        <v>2640</v>
      </c>
      <c r="F373" s="9">
        <f>convertNumberStringPointToNumberComma(LEFT(MID(E373,3,9),IFERROR(FIND("-",MID(E373,3,9))-2,3)))</f>
        <v>1.7</v>
      </c>
      <c r="G373" s="9">
        <f>convertNumberStringPointToNumberComma(RIGHT(E373,IF(ISERROR(FIND(".",RIGHT(E373,3))),1,3)))</f>
        <v>1.7</v>
      </c>
      <c r="H373" t="s">
        <v>2669</v>
      </c>
      <c r="I373" s="5" t="str">
        <f>IF(H373="none",0,LEFT(H373,LEN(H373)-2))</f>
        <v>46</v>
      </c>
      <c r="J373" s="5" t="s">
        <v>22</v>
      </c>
      <c r="K373" s="10">
        <f>IF(J373="",0,convertNumberStringPointToNumberComma(LEFT(J373,LEN(J373)-1)))</f>
        <v>0.15</v>
      </c>
      <c r="L373" t="s">
        <v>2709</v>
      </c>
      <c r="M373" t="s">
        <v>2680</v>
      </c>
      <c r="N373" t="s">
        <v>2681</v>
      </c>
      <c r="O373" t="s">
        <v>2712</v>
      </c>
      <c r="P373" s="5" t="str">
        <f>LEFT(O373,LEN(O373)-1)</f>
        <v>125</v>
      </c>
      <c r="Q373" t="s">
        <v>3222</v>
      </c>
      <c r="R373" s="52">
        <f>_xlfn.NUMBERVALUE(convertNumberStringPointToNumberComma(LEFT(Q373,FIND("x",Q373)-2)))</f>
        <v>60.8</v>
      </c>
      <c r="S373" s="52">
        <f>_xlfn.NUMBERVALUE(convertNumberStringPointToNumberComma(LEFT(RIGHT(Q373,LEN(Q373)-FIND("x",Q373)-1),LEN(RIGHT(Q373,LEN(Q373)-FIND("x",Q373)-1))-2)))</f>
        <v>52</v>
      </c>
    </row>
    <row r="374" spans="1:19" x14ac:dyDescent="0.25">
      <c r="A374" t="s">
        <v>1643</v>
      </c>
      <c r="B374" t="s">
        <v>526</v>
      </c>
      <c r="E374" t="s">
        <v>2640</v>
      </c>
      <c r="H374" t="s">
        <v>2669</v>
      </c>
      <c r="L374" t="s">
        <v>2709</v>
      </c>
      <c r="M374" t="s">
        <v>2680</v>
      </c>
      <c r="N374" t="s">
        <v>2681</v>
      </c>
      <c r="O374" t="s">
        <v>2712</v>
      </c>
      <c r="Q374" t="s">
        <v>3222</v>
      </c>
      <c r="R374" s="52">
        <f>_xlfn.NUMBERVALUE(convertNumberStringPointToNumberComma(LEFT(Q374,FIND("x",Q374)-2)))</f>
        <v>60.8</v>
      </c>
      <c r="S374" s="52">
        <f>_xlfn.NUMBERVALUE(convertNumberStringPointToNumberComma(LEFT(RIGHT(Q374,LEN(Q374)-FIND("x",Q374)-1),LEN(RIGHT(Q374,LEN(Q374)-FIND("x",Q374)-1))-2)))</f>
        <v>52</v>
      </c>
    </row>
    <row r="375" spans="1:19" x14ac:dyDescent="0.25">
      <c r="A375" t="s">
        <v>1112</v>
      </c>
      <c r="B375" t="s">
        <v>741</v>
      </c>
      <c r="C375" s="5">
        <f>convertNumberStringPointToNumberComma(IFERROR(LEFT(B375,(FIND("-",B375)-1)),LEFT(B375,FIND("mm",B375)-1)))</f>
        <v>60</v>
      </c>
      <c r="D375" s="5">
        <f>convertNumberStringPointToNumberComma(IFERROR(RIGHT(LEFT(B375,FIND("m",B375)-1),LEN(LEFT(B375,FIND("m",B375)-1))-FIND("-",LEFT(B375,FIND("m",B375)-1))-1),C375))</f>
        <v>60</v>
      </c>
      <c r="E375" t="s">
        <v>2632</v>
      </c>
      <c r="F375" s="9">
        <f>convertNumberStringPointToNumberComma(LEFT(MID(E375,3,9),IFERROR(FIND("-",MID(E375,3,9))-2,3)))</f>
        <v>2.8</v>
      </c>
      <c r="G375" s="9">
        <f>convertNumberStringPointToNumberComma(RIGHT(E375,IF(ISERROR(FIND(".",RIGHT(E375,3))),1,3)))</f>
        <v>2.8</v>
      </c>
      <c r="H375" t="s">
        <v>2669</v>
      </c>
      <c r="I375" s="5" t="str">
        <f>IF(H375="none",0,LEFT(H375,LEN(H375)-2))</f>
        <v>46</v>
      </c>
      <c r="J375" s="12" t="s">
        <v>198</v>
      </c>
      <c r="K375" s="10">
        <f>IF(J375="",0,convertNumberStringPointToNumberComma(LEFT(J375,LEN(J375)-1)))</f>
        <v>0.19</v>
      </c>
      <c r="L375" t="s">
        <v>2796</v>
      </c>
      <c r="M375" t="s">
        <v>2674</v>
      </c>
      <c r="N375" t="s">
        <v>903</v>
      </c>
      <c r="P375" s="5" t="e">
        <f>LEFT(O375,LEN(O375)-1)</f>
        <v>#VALUE!</v>
      </c>
      <c r="Q375" t="s">
        <v>3315</v>
      </c>
      <c r="R375" s="52">
        <f>_xlfn.NUMBERVALUE(convertNumberStringPointToNumberComma(LEFT(Q375,FIND("x",Q375)-2)))</f>
        <v>60.8</v>
      </c>
      <c r="S375" s="52">
        <f>_xlfn.NUMBERVALUE(convertNumberStringPointToNumberComma(LEFT(RIGHT(Q375,LEN(Q375)-FIND("x",Q375)-1),LEN(RIGHT(Q375,LEN(Q375)-FIND("x",Q375)-1))-2)))</f>
        <v>55.6</v>
      </c>
    </row>
    <row r="376" spans="1:19" x14ac:dyDescent="0.25">
      <c r="A376" t="s">
        <v>1113</v>
      </c>
      <c r="B376" t="s">
        <v>741</v>
      </c>
      <c r="C376" s="5">
        <f>convertNumberStringPointToNumberComma(IFERROR(LEFT(B376,(FIND("-",B376)-1)),LEFT(B376,FIND("mm",B376)-1)))</f>
        <v>60</v>
      </c>
      <c r="D376" s="5">
        <f>convertNumberStringPointToNumberComma(IFERROR(RIGHT(LEFT(B376,FIND("m",B376)-1),LEN(LEFT(B376,FIND("m",B376)-1))-FIND("-",LEFT(B376,FIND("m",B376)-1))-1),C376))</f>
        <v>60</v>
      </c>
      <c r="E376" t="s">
        <v>2632</v>
      </c>
      <c r="F376" s="9">
        <f>convertNumberStringPointToNumberComma(LEFT(MID(E376,3,9),IFERROR(FIND("-",MID(E376,3,9))-2,3)))</f>
        <v>2.8</v>
      </c>
      <c r="G376" s="9">
        <f>convertNumberStringPointToNumberComma(RIGHT(E376,IF(ISERROR(FIND(".",RIGHT(E376,3))),1,3)))</f>
        <v>2.8</v>
      </c>
      <c r="H376" t="s">
        <v>2669</v>
      </c>
      <c r="I376" s="5" t="str">
        <f>IF(H376="none",0,LEFT(H376,LEN(H376)-2))</f>
        <v>46</v>
      </c>
      <c r="J376" s="5" t="s">
        <v>63</v>
      </c>
      <c r="K376" s="10">
        <f>IF(J376="",0,convertNumberStringPointToNumberComma(LEFT(J376,LEN(J376)-1)))</f>
        <v>1</v>
      </c>
      <c r="L376" t="s">
        <v>2796</v>
      </c>
      <c r="M376" t="s">
        <v>2674</v>
      </c>
      <c r="N376" t="s">
        <v>903</v>
      </c>
      <c r="P376" s="5" t="e">
        <f>LEFT(O376,LEN(O376)-1)</f>
        <v>#VALUE!</v>
      </c>
      <c r="Q376" t="s">
        <v>3315</v>
      </c>
      <c r="R376" s="52">
        <f>_xlfn.NUMBERVALUE(convertNumberStringPointToNumberComma(LEFT(Q376,FIND("x",Q376)-2)))</f>
        <v>60.8</v>
      </c>
      <c r="S376" s="52">
        <f>_xlfn.NUMBERVALUE(convertNumberStringPointToNumberComma(LEFT(RIGHT(Q376,LEN(Q376)-FIND("x",Q376)-1),LEN(RIGHT(Q376,LEN(Q376)-FIND("x",Q376)-1))-2)))</f>
        <v>55.6</v>
      </c>
    </row>
    <row r="377" spans="1:19" x14ac:dyDescent="0.25">
      <c r="A377" t="s">
        <v>1331</v>
      </c>
      <c r="B377" t="s">
        <v>741</v>
      </c>
      <c r="E377" t="s">
        <v>2632</v>
      </c>
      <c r="H377" t="s">
        <v>2669</v>
      </c>
      <c r="L377" t="s">
        <v>2796</v>
      </c>
      <c r="M377" t="s">
        <v>2680</v>
      </c>
      <c r="N377" t="s">
        <v>2681</v>
      </c>
      <c r="Q377" t="s">
        <v>3315</v>
      </c>
      <c r="R377" s="52">
        <f>_xlfn.NUMBERVALUE(convertNumberStringPointToNumberComma(LEFT(Q377,FIND("x",Q377)-2)))</f>
        <v>60.8</v>
      </c>
      <c r="S377" s="52">
        <f>_xlfn.NUMBERVALUE(convertNumberStringPointToNumberComma(LEFT(RIGHT(Q377,LEN(Q377)-FIND("x",Q377)-1),LEN(RIGHT(Q377,LEN(Q377)-FIND("x",Q377)-1))-2)))</f>
        <v>55.6</v>
      </c>
    </row>
    <row r="378" spans="1:19" x14ac:dyDescent="0.25">
      <c r="A378" t="s">
        <v>1332</v>
      </c>
      <c r="B378" t="s">
        <v>741</v>
      </c>
      <c r="E378" t="s">
        <v>2632</v>
      </c>
      <c r="H378" t="s">
        <v>2669</v>
      </c>
      <c r="L378" t="s">
        <v>2796</v>
      </c>
      <c r="M378" t="s">
        <v>2680</v>
      </c>
      <c r="N378" t="s">
        <v>2681</v>
      </c>
      <c r="Q378" t="s">
        <v>3315</v>
      </c>
      <c r="R378" s="52">
        <f>_xlfn.NUMBERVALUE(convertNumberStringPointToNumberComma(LEFT(Q378,FIND("x",Q378)-2)))</f>
        <v>60.8</v>
      </c>
      <c r="S378" s="52">
        <f>_xlfn.NUMBERVALUE(convertNumberStringPointToNumberComma(LEFT(RIGHT(Q378,LEN(Q378)-FIND("x",Q378)-1),LEN(RIGHT(Q378,LEN(Q378)-FIND("x",Q378)-1))-2)))</f>
        <v>55.6</v>
      </c>
    </row>
    <row r="379" spans="1:19" x14ac:dyDescent="0.25">
      <c r="A379" t="s">
        <v>2448</v>
      </c>
      <c r="B379" t="s">
        <v>2449</v>
      </c>
      <c r="E379" t="s">
        <v>2638</v>
      </c>
      <c r="H379" t="s">
        <v>1186</v>
      </c>
      <c r="L379" t="s">
        <v>2679</v>
      </c>
      <c r="M379" t="s">
        <v>2763</v>
      </c>
      <c r="N379" t="s">
        <v>903</v>
      </c>
      <c r="O379" t="s">
        <v>3168</v>
      </c>
      <c r="Q379" t="s">
        <v>3998</v>
      </c>
      <c r="R379" s="52">
        <f>_xlfn.NUMBERVALUE(convertNumberStringPointToNumberComma(LEFT(Q379,FIND("x",Q379)-2)))</f>
        <v>60.9</v>
      </c>
      <c r="S379" s="52">
        <f>_xlfn.NUMBERVALUE(convertNumberStringPointToNumberComma(LEFT(RIGHT(Q379,LEN(Q379)-FIND("x",Q379)-1),LEN(RIGHT(Q379,LEN(Q379)-FIND("x",Q379)-1))-2)))</f>
        <v>23.7</v>
      </c>
    </row>
    <row r="380" spans="1:19" x14ac:dyDescent="0.25">
      <c r="A380" t="s">
        <v>2596</v>
      </c>
      <c r="B380" t="s">
        <v>1755</v>
      </c>
      <c r="E380" t="s">
        <v>2644</v>
      </c>
      <c r="H380" t="s">
        <v>2667</v>
      </c>
      <c r="L380" t="s">
        <v>2728</v>
      </c>
      <c r="M380" t="s">
        <v>2763</v>
      </c>
      <c r="N380" t="s">
        <v>903</v>
      </c>
      <c r="O380" t="s">
        <v>2779</v>
      </c>
      <c r="Q380" t="s">
        <v>4062</v>
      </c>
      <c r="R380" s="52">
        <f>_xlfn.NUMBERVALUE(convertNumberStringPointToNumberComma(LEFT(Q380,FIND("x",Q380)-2)))</f>
        <v>60.9</v>
      </c>
      <c r="S380" s="52">
        <f>_xlfn.NUMBERVALUE(convertNumberStringPointToNumberComma(LEFT(RIGHT(Q380,LEN(Q380)-FIND("x",Q380)-1),LEN(RIGHT(Q380,LEN(Q380)-FIND("x",Q380)-1))-2)))</f>
        <v>44.5</v>
      </c>
    </row>
    <row r="381" spans="1:19" x14ac:dyDescent="0.25">
      <c r="A381" t="s">
        <v>2597</v>
      </c>
      <c r="B381" t="s">
        <v>1755</v>
      </c>
      <c r="E381" t="s">
        <v>2644</v>
      </c>
      <c r="H381" t="s">
        <v>2667</v>
      </c>
      <c r="L381" t="s">
        <v>2728</v>
      </c>
      <c r="M381" t="s">
        <v>2763</v>
      </c>
      <c r="N381" t="s">
        <v>903</v>
      </c>
      <c r="O381" t="s">
        <v>2779</v>
      </c>
      <c r="Q381" t="s">
        <v>4062</v>
      </c>
      <c r="R381" s="52">
        <f>_xlfn.NUMBERVALUE(convertNumberStringPointToNumberComma(LEFT(Q381,FIND("x",Q381)-2)))</f>
        <v>60.9</v>
      </c>
      <c r="S381" s="52">
        <f>_xlfn.NUMBERVALUE(convertNumberStringPointToNumberComma(LEFT(RIGHT(Q381,LEN(Q381)-FIND("x",Q381)-1),LEN(RIGHT(Q381,LEN(Q381)-FIND("x",Q381)-1))-2)))</f>
        <v>44.5</v>
      </c>
    </row>
    <row r="382" spans="1:19" x14ac:dyDescent="0.25">
      <c r="A382" t="s">
        <v>2548</v>
      </c>
      <c r="B382" t="s">
        <v>552</v>
      </c>
      <c r="E382" t="s">
        <v>2649</v>
      </c>
      <c r="H382" t="s">
        <v>1186</v>
      </c>
      <c r="L382" t="s">
        <v>3179</v>
      </c>
      <c r="M382" t="s">
        <v>2763</v>
      </c>
      <c r="N382" t="s">
        <v>903</v>
      </c>
      <c r="O382" t="s">
        <v>2779</v>
      </c>
      <c r="Q382" t="s">
        <v>4044</v>
      </c>
      <c r="R382" s="52">
        <f>_xlfn.NUMBERVALUE(convertNumberStringPointToNumberComma(LEFT(Q382,FIND("x",Q382)-2)))</f>
        <v>60.9</v>
      </c>
      <c r="S382" s="52">
        <f>_xlfn.NUMBERVALUE(convertNumberStringPointToNumberComma(LEFT(RIGHT(Q382,LEN(Q382)-FIND("x",Q382)-1),LEN(RIGHT(Q382,LEN(Q382)-FIND("x",Q382)-1))-2)))</f>
        <v>45.5</v>
      </c>
    </row>
    <row r="383" spans="1:19" x14ac:dyDescent="0.25">
      <c r="A383" t="s">
        <v>2482</v>
      </c>
      <c r="B383" t="s">
        <v>1504</v>
      </c>
      <c r="E383" t="s">
        <v>2634</v>
      </c>
      <c r="H383" t="s">
        <v>62</v>
      </c>
      <c r="L383" t="s">
        <v>2701</v>
      </c>
      <c r="M383" t="s">
        <v>2763</v>
      </c>
      <c r="N383" t="s">
        <v>903</v>
      </c>
      <c r="O383" t="s">
        <v>2852</v>
      </c>
      <c r="Q383" t="s">
        <v>4018</v>
      </c>
      <c r="R383" s="52">
        <f>_xlfn.NUMBERVALUE(convertNumberStringPointToNumberComma(LEFT(Q383,FIND("x",Q383)-2)))</f>
        <v>60.9</v>
      </c>
      <c r="S383" s="52">
        <f>_xlfn.NUMBERVALUE(convertNumberStringPointToNumberComma(LEFT(RIGHT(Q383,LEN(Q383)-FIND("x",Q383)-1),LEN(RIGHT(Q383,LEN(Q383)-FIND("x",Q383)-1))-2)))</f>
        <v>58.2</v>
      </c>
    </row>
    <row r="384" spans="1:19" x14ac:dyDescent="0.25">
      <c r="A384" t="s">
        <v>1888</v>
      </c>
      <c r="B384" t="s">
        <v>1036</v>
      </c>
      <c r="E384" t="s">
        <v>2639</v>
      </c>
      <c r="H384" t="s">
        <v>318</v>
      </c>
      <c r="L384" t="s">
        <v>2728</v>
      </c>
      <c r="M384" t="s">
        <v>2763</v>
      </c>
      <c r="N384" t="s">
        <v>903</v>
      </c>
      <c r="O384" t="s">
        <v>2714</v>
      </c>
      <c r="Q384" t="s">
        <v>3735</v>
      </c>
      <c r="R384" s="52">
        <f>_xlfn.NUMBERVALUE(convertNumberStringPointToNumberComma(LEFT(Q384,FIND("x",Q384)-2)))</f>
        <v>60.9</v>
      </c>
      <c r="S384" s="52">
        <f>_xlfn.NUMBERVALUE(convertNumberStringPointToNumberComma(LEFT(RIGHT(Q384,LEN(Q384)-FIND("x",Q384)-1),LEN(RIGHT(Q384,LEN(Q384)-FIND("x",Q384)-1))-2)))</f>
        <v>61</v>
      </c>
    </row>
    <row r="385" spans="1:19" x14ac:dyDescent="0.25">
      <c r="A385" t="s">
        <v>1047</v>
      </c>
      <c r="B385" t="s">
        <v>1048</v>
      </c>
      <c r="C385" s="5">
        <f>convertNumberStringPointToNumberComma(IFERROR(LEFT(B385,(FIND("-",B385)-1)),LEFT(B385,FIND("mm",B385)-1)))</f>
        <v>18</v>
      </c>
      <c r="D385" s="5">
        <f>convertNumberStringPointToNumberComma(IFERROR(RIGHT(LEFT(B385,FIND("m",B385)-1),LEN(LEFT(B385,FIND("m",B385)-1))-FIND("-",LEFT(B385,FIND("m",B385)-1))-1),C385))</f>
        <v>50</v>
      </c>
      <c r="E385" t="s">
        <v>2644</v>
      </c>
      <c r="F385" s="9">
        <f>convertNumberStringPointToNumberComma(LEFT(MID(E385,3,9),IFERROR(FIND("-",MID(E385,3,9))-2,3)))</f>
        <v>3</v>
      </c>
      <c r="G385" s="9">
        <f>convertNumberStringPointToNumberComma(RIGHT(E385,IF(ISERROR(FIND(".",RIGHT(E385,3))),1,3)))</f>
        <v>6.3</v>
      </c>
      <c r="H385" t="s">
        <v>62</v>
      </c>
      <c r="I385" s="5" t="str">
        <f>IF(H385="none",0,LEFT(H385,LEN(H385)-2))</f>
        <v>55</v>
      </c>
      <c r="J385" s="5" t="s">
        <v>40</v>
      </c>
      <c r="K385" s="10">
        <f>IF(J385="",0,convertNumberStringPointToNumberComma(LEFT(J385,LEN(J385)-1)))</f>
        <v>0.2</v>
      </c>
      <c r="L385" t="s">
        <v>2679</v>
      </c>
      <c r="M385" t="s">
        <v>2763</v>
      </c>
      <c r="N385" t="s">
        <v>903</v>
      </c>
      <c r="O385" t="s">
        <v>716</v>
      </c>
      <c r="P385" s="5" t="str">
        <f>LEFT(O385,LEN(O385)-1)</f>
        <v>300</v>
      </c>
      <c r="Q385" t="s">
        <v>3283</v>
      </c>
      <c r="R385" s="52">
        <f>_xlfn.NUMBERVALUE(convertNumberStringPointToNumberComma(LEFT(Q385,FIND("x",Q385)-2)))</f>
        <v>60.9</v>
      </c>
      <c r="S385" s="52">
        <f>_xlfn.NUMBERVALUE(convertNumberStringPointToNumberComma(LEFT(RIGHT(Q385,LEN(Q385)-FIND("x",Q385)-1),LEN(RIGHT(Q385,LEN(Q385)-FIND("x",Q385)-1))-2)))</f>
        <v>86.5</v>
      </c>
    </row>
    <row r="386" spans="1:19" x14ac:dyDescent="0.25">
      <c r="A386" t="s">
        <v>1091</v>
      </c>
      <c r="B386" t="s">
        <v>1019</v>
      </c>
      <c r="C386" s="5">
        <f>convertNumberStringPointToNumberComma(IFERROR(LEFT(B386,(FIND("-",B386)-1)),LEFT(B386,FIND("mm",B386)-1)))</f>
        <v>55</v>
      </c>
      <c r="D386" s="5">
        <f>convertNumberStringPointToNumberComma(IFERROR(RIGHT(LEFT(B386,FIND("m",B386)-1),LEN(LEFT(B386,FIND("m",B386)-1))-FIND("-",LEFT(B386,FIND("m",B386)-1))-1),C386))</f>
        <v>0</v>
      </c>
      <c r="E386" t="s">
        <v>2642</v>
      </c>
      <c r="F386" s="9">
        <f>convertNumberStringPointToNumberComma(LEFT(MID(E386,3,9),IFERROR(FIND("-",MID(E386,3,9))-2,3)))</f>
        <v>4</v>
      </c>
      <c r="G386" s="9">
        <f>convertNumberStringPointToNumberComma(RIGHT(E386,IF(ISERROR(FIND(".",RIGHT(E386,3))),1,3)))</f>
        <v>6.3</v>
      </c>
      <c r="H386" t="s">
        <v>318</v>
      </c>
      <c r="I386" s="5" t="str">
        <f>IF(H386="none",0,LEFT(H386,LEN(H386)-2))</f>
        <v>52</v>
      </c>
      <c r="J386" s="5" t="s">
        <v>251</v>
      </c>
      <c r="K386" s="10">
        <f>IF(J386="",0,convertNumberStringPointToNumberComma(LEFT(J386,LEN(J386)-1)))</f>
        <v>0.22</v>
      </c>
      <c r="L386" t="s">
        <v>2679</v>
      </c>
      <c r="M386" t="s">
        <v>2763</v>
      </c>
      <c r="N386" t="s">
        <v>903</v>
      </c>
      <c r="O386" t="s">
        <v>2787</v>
      </c>
      <c r="P386" s="5" t="str">
        <f>LEFT(O386,LEN(O386)-1)</f>
        <v>260</v>
      </c>
      <c r="Q386" t="s">
        <v>3283</v>
      </c>
      <c r="R386" s="52">
        <f>_xlfn.NUMBERVALUE(convertNumberStringPointToNumberComma(LEFT(Q386,FIND("x",Q386)-2)))</f>
        <v>60.9</v>
      </c>
      <c r="S386" s="52">
        <f>_xlfn.NUMBERVALUE(convertNumberStringPointToNumberComma(LEFT(RIGHT(Q386,LEN(Q386)-FIND("x",Q386)-1),LEN(RIGHT(Q386,LEN(Q386)-FIND("x",Q386)-1))-2)))</f>
        <v>86.5</v>
      </c>
    </row>
    <row r="387" spans="1:19" x14ac:dyDescent="0.25">
      <c r="A387" t="s">
        <v>1566</v>
      </c>
      <c r="B387" t="s">
        <v>1019</v>
      </c>
      <c r="E387" t="s">
        <v>2642</v>
      </c>
      <c r="H387" t="s">
        <v>318</v>
      </c>
      <c r="L387" t="s">
        <v>2679</v>
      </c>
      <c r="M387" t="s">
        <v>2763</v>
      </c>
      <c r="N387" t="s">
        <v>903</v>
      </c>
      <c r="O387" t="s">
        <v>2787</v>
      </c>
      <c r="Q387" t="s">
        <v>3283</v>
      </c>
      <c r="R387" s="52">
        <f>_xlfn.NUMBERVALUE(convertNumberStringPointToNumberComma(LEFT(Q387,FIND("x",Q387)-2)))</f>
        <v>60.9</v>
      </c>
      <c r="S387" s="52">
        <f>_xlfn.NUMBERVALUE(convertNumberStringPointToNumberComma(LEFT(RIGHT(Q387,LEN(Q387)-FIND("x",Q387)-1),LEN(RIGHT(Q387,LEN(Q387)-FIND("x",Q387)-1))-2)))</f>
        <v>86.5</v>
      </c>
    </row>
    <row r="388" spans="1:19" x14ac:dyDescent="0.25">
      <c r="A388" t="s">
        <v>1626</v>
      </c>
      <c r="B388" t="s">
        <v>1048</v>
      </c>
      <c r="E388" t="s">
        <v>2644</v>
      </c>
      <c r="H388" t="s">
        <v>62</v>
      </c>
      <c r="L388" t="s">
        <v>2679</v>
      </c>
      <c r="M388" t="s">
        <v>2763</v>
      </c>
      <c r="N388" t="s">
        <v>903</v>
      </c>
      <c r="O388" t="s">
        <v>716</v>
      </c>
      <c r="Q388" t="s">
        <v>3283</v>
      </c>
      <c r="R388" s="52">
        <f>_xlfn.NUMBERVALUE(convertNumberStringPointToNumberComma(LEFT(Q388,FIND("x",Q388)-2)))</f>
        <v>60.9</v>
      </c>
      <c r="S388" s="52">
        <f>_xlfn.NUMBERVALUE(convertNumberStringPointToNumberComma(LEFT(RIGHT(Q388,LEN(Q388)-FIND("x",Q388)-1),LEN(RIGHT(Q388,LEN(Q388)-FIND("x",Q388)-1))-2)))</f>
        <v>86.5</v>
      </c>
    </row>
    <row r="389" spans="1:19" x14ac:dyDescent="0.25">
      <c r="A389" t="s">
        <v>1111</v>
      </c>
      <c r="B389" t="s">
        <v>1098</v>
      </c>
      <c r="C389" s="5">
        <f>convertNumberStringPointToNumberComma(IFERROR(LEFT(B389,(FIND("-",B389)-1)),LEFT(B389,FIND("mm",B389)-1)))</f>
        <v>14</v>
      </c>
      <c r="D389" s="5">
        <f>convertNumberStringPointToNumberComma(IFERROR(RIGHT(LEFT(B389,FIND("m",B389)-1),LEN(LEFT(B389,FIND("m",B389)-1))-FIND("-",LEFT(B389,FIND("m",B389)-1))-1),C389))</f>
        <v>2</v>
      </c>
      <c r="E389" t="s">
        <v>2639</v>
      </c>
      <c r="F389" s="9">
        <f>convertNumberStringPointToNumberComma(LEFT(MID(E389,3,9),IFERROR(FIND("-",MID(E389,3,9))-2,3)))</f>
        <v>3</v>
      </c>
      <c r="G389" s="9">
        <f>convertNumberStringPointToNumberComma(RIGHT(E389,IF(ISERROR(FIND(".",RIGHT(E389,3))),1,3)))</f>
        <v>5.6</v>
      </c>
      <c r="H389" t="s">
        <v>2672</v>
      </c>
      <c r="I389" s="5" t="str">
        <f>IF(H389="none",0,LEFT(H389,LEN(H389)-2))</f>
        <v>37</v>
      </c>
      <c r="J389" s="12" t="s">
        <v>40</v>
      </c>
      <c r="K389" s="10">
        <f>IF(J389="",0,convertNumberStringPointToNumberComma(LEFT(J389,LEN(J389)-1)))</f>
        <v>0.2</v>
      </c>
      <c r="L389" t="s">
        <v>2706</v>
      </c>
      <c r="M389" t="s">
        <v>2680</v>
      </c>
      <c r="N389" t="s">
        <v>2681</v>
      </c>
      <c r="O389" t="s">
        <v>2795</v>
      </c>
      <c r="P389" s="5" t="str">
        <f>LEFT(O389,LEN(O389)-1)</f>
        <v>95</v>
      </c>
      <c r="Q389" t="s">
        <v>3314</v>
      </c>
      <c r="R389" s="52">
        <f>_xlfn.NUMBERVALUE(convertNumberStringPointToNumberComma(LEFT(Q389,FIND("x",Q389)-2)))</f>
        <v>61</v>
      </c>
      <c r="S389" s="52">
        <f>_xlfn.NUMBERVALUE(convertNumberStringPointToNumberComma(LEFT(RIGHT(Q389,LEN(Q389)-FIND("x",Q389)-1),LEN(RIGHT(Q389,LEN(Q389)-FIND("x",Q389)-1))-2)))</f>
        <v>26.8</v>
      </c>
    </row>
    <row r="390" spans="1:19" x14ac:dyDescent="0.25">
      <c r="A390" t="s">
        <v>2426</v>
      </c>
      <c r="B390" t="s">
        <v>1098</v>
      </c>
      <c r="E390" t="s">
        <v>2639</v>
      </c>
      <c r="H390" t="s">
        <v>2672</v>
      </c>
      <c r="L390" t="s">
        <v>2706</v>
      </c>
      <c r="M390" t="s">
        <v>2680</v>
      </c>
      <c r="N390" t="s">
        <v>2681</v>
      </c>
      <c r="O390" t="s">
        <v>2795</v>
      </c>
      <c r="Q390" t="s">
        <v>3314</v>
      </c>
      <c r="R390" s="52">
        <f>_xlfn.NUMBERVALUE(convertNumberStringPointToNumberComma(LEFT(Q390,FIND("x",Q390)-2)))</f>
        <v>61</v>
      </c>
      <c r="S390" s="52">
        <f>_xlfn.NUMBERVALUE(convertNumberStringPointToNumberComma(LEFT(RIGHT(Q390,LEN(Q390)-FIND("x",Q390)-1),LEN(RIGHT(Q390,LEN(Q390)-FIND("x",Q390)-1))-2)))</f>
        <v>26.8</v>
      </c>
    </row>
    <row r="391" spans="1:19" x14ac:dyDescent="0.25">
      <c r="A391" t="s">
        <v>2426</v>
      </c>
      <c r="B391" t="s">
        <v>1098</v>
      </c>
      <c r="E391" t="s">
        <v>2639</v>
      </c>
      <c r="H391" t="s">
        <v>2672</v>
      </c>
      <c r="L391" t="s">
        <v>2706</v>
      </c>
      <c r="M391" t="s">
        <v>2680</v>
      </c>
      <c r="N391" t="s">
        <v>2681</v>
      </c>
      <c r="O391" t="s">
        <v>2795</v>
      </c>
      <c r="Q391" t="s">
        <v>3314</v>
      </c>
      <c r="R391" s="52">
        <f>_xlfn.NUMBERVALUE(convertNumberStringPointToNumberComma(LEFT(Q391,FIND("x",Q391)-2)))</f>
        <v>61</v>
      </c>
      <c r="S391" s="52">
        <f>_xlfn.NUMBERVALUE(convertNumberStringPointToNumberComma(LEFT(RIGHT(Q391,LEN(Q391)-FIND("x",Q391)-1),LEN(RIGHT(Q391,LEN(Q391)-FIND("x",Q391)-1))-2)))</f>
        <v>26.8</v>
      </c>
    </row>
    <row r="392" spans="1:19" x14ac:dyDescent="0.25">
      <c r="A392" t="s">
        <v>1217</v>
      </c>
      <c r="B392" t="s">
        <v>95</v>
      </c>
      <c r="C392" s="5">
        <f>convertNumberStringPointToNumberComma(IFERROR(LEFT(B392,(FIND("-",B392)-1)),LEFT(B392,FIND("mm",B392)-1)))</f>
        <v>10</v>
      </c>
      <c r="D392" s="5">
        <f>convertNumberStringPointToNumberComma(IFERROR(RIGHT(LEFT(B392,FIND("m",B392)-1),LEN(LEFT(B392,FIND("m",B392)-1))-FIND("-",LEFT(B392,FIND("m",B392)-1))-1),C392))</f>
        <v>10</v>
      </c>
      <c r="E392" t="s">
        <v>2632</v>
      </c>
      <c r="F392" s="9">
        <f>convertNumberStringPointToNumberComma(LEFT(MID(E392,3,9),IFERROR(FIND("-",MID(E392,3,9))-2,3)))</f>
        <v>2.8</v>
      </c>
      <c r="G392" s="9">
        <f>convertNumberStringPointToNumberComma(RIGHT(E392,IF(ISERROR(FIND(".",RIGHT(E392,3))),1,3)))</f>
        <v>2.8</v>
      </c>
      <c r="H392" t="s">
        <v>2670</v>
      </c>
      <c r="I392" s="5" t="str">
        <f>IF(H392="none",0,LEFT(H392,LEN(H392)-2))</f>
        <v>40.5</v>
      </c>
      <c r="J392" s="5"/>
      <c r="K392" s="10">
        <f>IF(J392="",0,convertNumberStringPointToNumberComma(LEFT(J392,LEN(J392)-1)))</f>
        <v>0</v>
      </c>
      <c r="L392" t="s">
        <v>2844</v>
      </c>
      <c r="M392" t="s">
        <v>2782</v>
      </c>
      <c r="N392" t="s">
        <v>2783</v>
      </c>
      <c r="O392" t="s">
        <v>2845</v>
      </c>
      <c r="P392" s="5" t="str">
        <f>LEFT(O392,LEN(O392)-1)</f>
        <v>118</v>
      </c>
      <c r="Q392" t="s">
        <v>3370</v>
      </c>
      <c r="R392" s="52">
        <f>_xlfn.NUMBERVALUE(convertNumberStringPointToNumberComma(LEFT(Q392,FIND("x",Q392)-2)))</f>
        <v>61</v>
      </c>
      <c r="S392" s="52">
        <f>_xlfn.NUMBERVALUE(convertNumberStringPointToNumberComma(LEFT(RIGHT(Q392,LEN(Q392)-FIND("x",Q392)-1),LEN(RIGHT(Q392,LEN(Q392)-FIND("x",Q392)-1))-2)))</f>
        <v>30</v>
      </c>
    </row>
    <row r="393" spans="1:19" x14ac:dyDescent="0.25">
      <c r="A393" t="s">
        <v>1711</v>
      </c>
      <c r="B393" t="s">
        <v>1712</v>
      </c>
      <c r="E393" t="s">
        <v>2638</v>
      </c>
      <c r="H393" t="s">
        <v>2668</v>
      </c>
      <c r="M393" t="s">
        <v>2748</v>
      </c>
      <c r="N393" t="s">
        <v>903</v>
      </c>
      <c r="O393" t="s">
        <v>716</v>
      </c>
      <c r="Q393" t="s">
        <v>3647</v>
      </c>
      <c r="R393" s="52">
        <f>_xlfn.NUMBERVALUE(convertNumberStringPointToNumberComma(LEFT(Q393,FIND("x",Q393)-2)))</f>
        <v>61</v>
      </c>
      <c r="S393" s="52">
        <f>_xlfn.NUMBERVALUE(convertNumberStringPointToNumberComma(LEFT(RIGHT(Q393,LEN(Q393)-FIND("x",Q393)-1),LEN(RIGHT(Q393,LEN(Q393)-FIND("x",Q393)-1))-2)))</f>
        <v>51.5</v>
      </c>
    </row>
    <row r="394" spans="1:19" x14ac:dyDescent="0.25">
      <c r="A394" t="s">
        <v>1713</v>
      </c>
      <c r="B394" t="s">
        <v>1712</v>
      </c>
      <c r="E394" t="s">
        <v>2638</v>
      </c>
      <c r="H394" t="s">
        <v>2668</v>
      </c>
      <c r="M394" t="s">
        <v>2680</v>
      </c>
      <c r="N394" t="s">
        <v>903</v>
      </c>
      <c r="O394" t="s">
        <v>716</v>
      </c>
      <c r="Q394" t="s">
        <v>3647</v>
      </c>
      <c r="R394" s="52">
        <f>_xlfn.NUMBERVALUE(convertNumberStringPointToNumberComma(LEFT(Q394,FIND("x",Q394)-2)))</f>
        <v>61</v>
      </c>
      <c r="S394" s="52">
        <f>_xlfn.NUMBERVALUE(convertNumberStringPointToNumberComma(LEFT(RIGHT(Q394,LEN(Q394)-FIND("x",Q394)-1),LEN(RIGHT(Q394,LEN(Q394)-FIND("x",Q394)-1))-2)))</f>
        <v>51.5</v>
      </c>
    </row>
    <row r="395" spans="1:19" x14ac:dyDescent="0.25">
      <c r="A395" t="s">
        <v>2605</v>
      </c>
      <c r="B395" t="s">
        <v>1712</v>
      </c>
      <c r="E395" t="s">
        <v>2638</v>
      </c>
      <c r="H395" t="s">
        <v>2668</v>
      </c>
      <c r="M395" t="s">
        <v>2674</v>
      </c>
      <c r="N395" t="s">
        <v>903</v>
      </c>
      <c r="O395" t="s">
        <v>716</v>
      </c>
      <c r="Q395" t="s">
        <v>3647</v>
      </c>
      <c r="R395" s="52">
        <f>_xlfn.NUMBERVALUE(convertNumberStringPointToNumberComma(LEFT(Q395,FIND("x",Q395)-2)))</f>
        <v>61</v>
      </c>
      <c r="S395" s="52">
        <f>_xlfn.NUMBERVALUE(convertNumberStringPointToNumberComma(LEFT(RIGHT(Q395,LEN(Q395)-FIND("x",Q395)-1),LEN(RIGHT(Q395,LEN(Q395)-FIND("x",Q395)-1))-2)))</f>
        <v>51.5</v>
      </c>
    </row>
    <row r="396" spans="1:19" x14ac:dyDescent="0.25">
      <c r="B396" t="s">
        <v>505</v>
      </c>
      <c r="E396" t="s">
        <v>2643</v>
      </c>
      <c r="L396" t="s">
        <v>3155</v>
      </c>
      <c r="M396" t="s">
        <v>2818</v>
      </c>
      <c r="N396" t="s">
        <v>913</v>
      </c>
      <c r="O396" t="s">
        <v>562</v>
      </c>
      <c r="Q396" t="s">
        <v>3971</v>
      </c>
      <c r="R396" s="52">
        <f>_xlfn.NUMBERVALUE(convertNumberStringPointToNumberComma(LEFT(Q396,FIND("x",Q396)-2)))</f>
        <v>61</v>
      </c>
      <c r="S396" s="52">
        <f>_xlfn.NUMBERVALUE(convertNumberStringPointToNumberComma(LEFT(RIGHT(Q396,LEN(Q396)-FIND("x",Q396)-1),LEN(RIGHT(Q396,LEN(Q396)-FIND("x",Q396)-1))-2)))</f>
        <v>58.5</v>
      </c>
    </row>
    <row r="397" spans="1:19" x14ac:dyDescent="0.25">
      <c r="B397" t="s">
        <v>407</v>
      </c>
      <c r="E397" t="s">
        <v>2978</v>
      </c>
      <c r="H397" t="s">
        <v>27</v>
      </c>
      <c r="L397" t="s">
        <v>3162</v>
      </c>
      <c r="M397" t="s">
        <v>2818</v>
      </c>
      <c r="N397" t="s">
        <v>913</v>
      </c>
      <c r="O397" t="s">
        <v>2758</v>
      </c>
      <c r="Q397" t="s">
        <v>3977</v>
      </c>
      <c r="R397" s="52">
        <f>_xlfn.NUMBERVALUE(convertNumberStringPointToNumberComma(LEFT(Q397,FIND("x",Q397)-2)))</f>
        <v>61</v>
      </c>
      <c r="S397" s="52">
        <f>_xlfn.NUMBERVALUE(convertNumberStringPointToNumberComma(LEFT(RIGHT(Q397,LEN(Q397)-FIND("x",Q397)-1),LEN(RIGHT(Q397,LEN(Q397)-FIND("x",Q397)-1))-2)))</f>
        <v>58</v>
      </c>
    </row>
    <row r="398" spans="1:19" x14ac:dyDescent="0.25">
      <c r="A398" t="s">
        <v>1853</v>
      </c>
      <c r="B398" t="s">
        <v>552</v>
      </c>
      <c r="E398" t="s">
        <v>2643</v>
      </c>
      <c r="H398" t="s">
        <v>2667</v>
      </c>
      <c r="L398" t="s">
        <v>3029</v>
      </c>
      <c r="M398" t="s">
        <v>2818</v>
      </c>
      <c r="N398" t="s">
        <v>913</v>
      </c>
      <c r="O398" t="s">
        <v>37</v>
      </c>
      <c r="Q398" t="s">
        <v>3709</v>
      </c>
      <c r="R398" s="52">
        <f>_xlfn.NUMBERVALUE(convertNumberStringPointToNumberComma(LEFT(Q398,FIND("x",Q398)-2)))</f>
        <v>61</v>
      </c>
      <c r="S398" s="52">
        <f>_xlfn.NUMBERVALUE(convertNumberStringPointToNumberComma(LEFT(RIGHT(Q398,LEN(Q398)-FIND("x",Q398)-1),LEN(RIGHT(Q398,LEN(Q398)-FIND("x",Q398)-1))-2)))</f>
        <v>67</v>
      </c>
    </row>
    <row r="399" spans="1:19" x14ac:dyDescent="0.25">
      <c r="A399" t="s">
        <v>1309</v>
      </c>
      <c r="B399" t="s">
        <v>1310</v>
      </c>
      <c r="E399" t="s">
        <v>2632</v>
      </c>
      <c r="H399" t="s">
        <v>2824</v>
      </c>
      <c r="L399" t="s">
        <v>2726</v>
      </c>
      <c r="M399" t="s">
        <v>2748</v>
      </c>
      <c r="N399" t="s">
        <v>903</v>
      </c>
      <c r="O399" t="s">
        <v>2869</v>
      </c>
      <c r="Q399" t="s">
        <v>3424</v>
      </c>
      <c r="R399" s="52">
        <f>_xlfn.NUMBERVALUE(convertNumberStringPointToNumberComma(LEFT(Q399,FIND("x",Q399)-2)))</f>
        <v>61.2</v>
      </c>
      <c r="S399" s="52">
        <f>_xlfn.NUMBERVALUE(convertNumberStringPointToNumberComma(LEFT(RIGHT(Q399,LEN(Q399)-FIND("x",Q399)-1),LEN(RIGHT(Q399,LEN(Q399)-FIND("x",Q399)-1))-2)))</f>
        <v>23</v>
      </c>
    </row>
    <row r="400" spans="1:19" x14ac:dyDescent="0.25">
      <c r="A400" t="s">
        <v>2573</v>
      </c>
      <c r="B400" t="s">
        <v>1310</v>
      </c>
      <c r="E400" t="s">
        <v>2632</v>
      </c>
      <c r="H400" t="s">
        <v>2824</v>
      </c>
      <c r="L400" t="s">
        <v>2726</v>
      </c>
      <c r="M400" t="s">
        <v>2748</v>
      </c>
      <c r="N400" t="s">
        <v>903</v>
      </c>
      <c r="O400" t="s">
        <v>2869</v>
      </c>
      <c r="Q400" t="s">
        <v>3424</v>
      </c>
      <c r="R400" s="52">
        <f>_xlfn.NUMBERVALUE(convertNumberStringPointToNumberComma(LEFT(Q400,FIND("x",Q400)-2)))</f>
        <v>61.2</v>
      </c>
      <c r="S400" s="52">
        <f>_xlfn.NUMBERVALUE(convertNumberStringPointToNumberComma(LEFT(RIGHT(Q400,LEN(Q400)-FIND("x",Q400)-1),LEN(RIGHT(Q400,LEN(Q400)-FIND("x",Q400)-1))-2)))</f>
        <v>23</v>
      </c>
    </row>
    <row r="401" spans="1:19" x14ac:dyDescent="0.25">
      <c r="A401" t="s">
        <v>1470</v>
      </c>
      <c r="B401" t="s">
        <v>263</v>
      </c>
      <c r="E401" t="s">
        <v>2656</v>
      </c>
      <c r="L401" t="s">
        <v>2753</v>
      </c>
      <c r="M401" t="s">
        <v>2804</v>
      </c>
      <c r="N401" t="s">
        <v>903</v>
      </c>
      <c r="O401" t="s">
        <v>2912</v>
      </c>
      <c r="Q401" t="s">
        <v>3513</v>
      </c>
      <c r="R401" s="52">
        <f>_xlfn.NUMBERVALUE(convertNumberStringPointToNumberComma(LEFT(Q401,FIND("x",Q401)-2)))</f>
        <v>61.5</v>
      </c>
      <c r="S401" s="52">
        <f>_xlfn.NUMBERVALUE(convertNumberStringPointToNumberComma(LEFT(RIGHT(Q401,LEN(Q401)-FIND("x",Q401)-1),LEN(RIGHT(Q401,LEN(Q401)-FIND("x",Q401)-1))-2)))</f>
        <v>24</v>
      </c>
    </row>
    <row r="402" spans="1:19" x14ac:dyDescent="0.25">
      <c r="A402" t="s">
        <v>1063</v>
      </c>
      <c r="B402" t="s">
        <v>592</v>
      </c>
      <c r="C402" s="5">
        <f>convertNumberStringPointToNumberComma(IFERROR(LEFT(B402,(FIND("-",B402)-1)),LEFT(B402,FIND("mm",B402)-1)))</f>
        <v>35</v>
      </c>
      <c r="D402" s="5">
        <f>convertNumberStringPointToNumberComma(IFERROR(RIGHT(LEFT(B402,FIND("m",B402)-1),LEN(LEFT(B402,FIND("m",B402)-1))-FIND("-",LEFT(B402,FIND("m",B402)-1))-1),C402))</f>
        <v>35</v>
      </c>
      <c r="E402" t="s">
        <v>2632</v>
      </c>
      <c r="F402" s="9">
        <f>convertNumberStringPointToNumberComma(LEFT(MID(E402,3,9),IFERROR(FIND("-",MID(E402,3,9))-2,3)))</f>
        <v>2.8</v>
      </c>
      <c r="G402" s="9">
        <f>convertNumberStringPointToNumberComma(RIGHT(E402,IF(ISERROR(FIND(".",RIGHT(E402,3))),1,3)))</f>
        <v>2.8</v>
      </c>
      <c r="H402" t="s">
        <v>2667</v>
      </c>
      <c r="I402" s="5" t="str">
        <f>IF(H402="none",0,LEFT(H402,LEN(H402)-2))</f>
        <v>49</v>
      </c>
      <c r="J402" s="5" t="s">
        <v>466</v>
      </c>
      <c r="K402" s="10">
        <f>IF(J402="",0,convertNumberStringPointToNumberComma(LEFT(J402,LEN(J402)-1)))</f>
        <v>0.21</v>
      </c>
      <c r="L402" t="s">
        <v>2753</v>
      </c>
      <c r="M402" t="s">
        <v>2674</v>
      </c>
      <c r="N402" t="s">
        <v>913</v>
      </c>
      <c r="O402" t="s">
        <v>2771</v>
      </c>
      <c r="P402" s="5" t="str">
        <f>LEFT(O402,LEN(O402)-1)</f>
        <v>120</v>
      </c>
      <c r="Q402" t="s">
        <v>3290</v>
      </c>
      <c r="R402" s="52">
        <f>_xlfn.NUMBERVALUE(convertNumberStringPointToNumberComma(LEFT(Q402,FIND("x",Q402)-2)))</f>
        <v>61.5</v>
      </c>
      <c r="S402" s="52">
        <f>_xlfn.NUMBERVALUE(convertNumberStringPointToNumberComma(LEFT(RIGHT(Q402,LEN(Q402)-FIND("x",Q402)-1),LEN(RIGHT(Q402,LEN(Q402)-FIND("x",Q402)-1))-2)))</f>
        <v>36.5</v>
      </c>
    </row>
    <row r="403" spans="1:19" x14ac:dyDescent="0.25">
      <c r="A403" t="s">
        <v>1027</v>
      </c>
      <c r="B403" t="s">
        <v>592</v>
      </c>
      <c r="C403" s="5">
        <f>convertNumberStringPointToNumberComma(IFERROR(LEFT(B403,(FIND("-",B403)-1)),LEFT(B403,FIND("mm",B403)-1)))</f>
        <v>35</v>
      </c>
      <c r="D403" s="5">
        <f>convertNumberStringPointToNumberComma(IFERROR(RIGHT(LEFT(B403,FIND("m",B403)-1),LEN(LEFT(B403,FIND("m",B403)-1))-FIND("-",LEFT(B403,FIND("m",B403)-1))-1),C403))</f>
        <v>35</v>
      </c>
      <c r="E403" t="s">
        <v>2632</v>
      </c>
      <c r="F403" s="9">
        <f>convertNumberStringPointToNumberComma(LEFT(MID(E403,3,9),IFERROR(FIND("-",MID(E403,3,9))-2,3)))</f>
        <v>2.8</v>
      </c>
      <c r="G403" s="9">
        <f>convertNumberStringPointToNumberComma(RIGHT(E403,IF(ISERROR(FIND(".",RIGHT(E403,3))),1,3)))</f>
        <v>2.8</v>
      </c>
      <c r="H403" t="s">
        <v>2667</v>
      </c>
      <c r="I403" s="5" t="str">
        <f>IF(H403="none",0,LEFT(H403,LEN(H403)-2))</f>
        <v>49</v>
      </c>
      <c r="J403" s="5" t="s">
        <v>385</v>
      </c>
      <c r="K403" s="10">
        <f>IF(J403="",0,convertNumberStringPointToNumberComma(LEFT(J403,LEN(J403)-1)))</f>
        <v>0.31</v>
      </c>
      <c r="L403" t="s">
        <v>2753</v>
      </c>
      <c r="M403" t="s">
        <v>2674</v>
      </c>
      <c r="N403" t="s">
        <v>913</v>
      </c>
      <c r="O403" t="s">
        <v>2754</v>
      </c>
      <c r="P403" s="5" t="str">
        <f>LEFT(O403,LEN(O403)-1)</f>
        <v>85.6</v>
      </c>
      <c r="Q403" t="s">
        <v>3271</v>
      </c>
      <c r="R403" s="52">
        <f>_xlfn.NUMBERVALUE(convertNumberStringPointToNumberComma(LEFT(Q403,FIND("x",Q403)-2)))</f>
        <v>61.8</v>
      </c>
      <c r="S403" s="52">
        <f>_xlfn.NUMBERVALUE(convertNumberStringPointToNumberComma(LEFT(RIGHT(Q403,LEN(Q403)-FIND("x",Q403)-1),LEN(RIGHT(Q403,LEN(Q403)-FIND("x",Q403)-1))-2)))</f>
        <v>33</v>
      </c>
    </row>
    <row r="404" spans="1:19" x14ac:dyDescent="0.25">
      <c r="A404" t="s">
        <v>1444</v>
      </c>
      <c r="B404" t="s">
        <v>263</v>
      </c>
      <c r="E404" t="s">
        <v>2632</v>
      </c>
      <c r="H404" t="s">
        <v>2667</v>
      </c>
      <c r="L404" t="s">
        <v>2905</v>
      </c>
      <c r="M404" t="s">
        <v>2674</v>
      </c>
      <c r="N404" t="s">
        <v>903</v>
      </c>
      <c r="O404" t="s">
        <v>2906</v>
      </c>
      <c r="Q404" t="s">
        <v>3499</v>
      </c>
      <c r="R404" s="52">
        <f>_xlfn.NUMBERVALUE(convertNumberStringPointToNumberComma(LEFT(Q404,FIND("x",Q404)-2)))</f>
        <v>62</v>
      </c>
      <c r="S404" s="52">
        <f>_xlfn.NUMBERVALUE(convertNumberStringPointToNumberComma(LEFT(RIGHT(Q404,LEN(Q404)-FIND("x",Q404)-1),LEN(RIGHT(Q404,LEN(Q404)-FIND("x",Q404)-1))-2)))</f>
        <v>22.5</v>
      </c>
    </row>
    <row r="405" spans="1:19" x14ac:dyDescent="0.25">
      <c r="A405" t="s">
        <v>1119</v>
      </c>
      <c r="B405" t="s">
        <v>1098</v>
      </c>
      <c r="C405" s="5">
        <f>convertNumberStringPointToNumberComma(IFERROR(LEFT(B405,(FIND("-",B405)-1)),LEFT(B405,FIND("mm",B405)-1)))</f>
        <v>14</v>
      </c>
      <c r="D405" s="5">
        <f>convertNumberStringPointToNumberComma(IFERROR(RIGHT(LEFT(B405,FIND("m",B405)-1),LEN(LEFT(B405,FIND("m",B405)-1))-FIND("-",LEFT(B405,FIND("m",B405)-1))-1),C405))</f>
        <v>2</v>
      </c>
      <c r="E405" t="s">
        <v>2639</v>
      </c>
      <c r="F405" s="9">
        <f>convertNumberStringPointToNumberComma(LEFT(MID(E405,3,9),IFERROR(FIND("-",MID(E405,3,9))-2,3)))</f>
        <v>3</v>
      </c>
      <c r="G405" s="9">
        <f>convertNumberStringPointToNumberComma(RIGHT(E405,IF(ISERROR(FIND(".",RIGHT(E405,3))),1,3)))</f>
        <v>5.6</v>
      </c>
      <c r="H405" t="s">
        <v>2670</v>
      </c>
      <c r="I405" s="5" t="str">
        <f>IF(H405="none",0,LEFT(H405,LEN(H405)-2))</f>
        <v>40.5</v>
      </c>
      <c r="J405" s="5" t="s">
        <v>16</v>
      </c>
      <c r="K405" s="10">
        <f>IF(J405="",0,convertNumberStringPointToNumberComma(LEFT(J405,LEN(J405)-1)))</f>
        <v>0.17</v>
      </c>
      <c r="L405" t="s">
        <v>2798</v>
      </c>
      <c r="M405" t="s">
        <v>2680</v>
      </c>
      <c r="N405" t="s">
        <v>2681</v>
      </c>
      <c r="O405" t="s">
        <v>2799</v>
      </c>
      <c r="P405" s="5" t="str">
        <f>LEFT(O405,LEN(O405)-1)</f>
        <v>150</v>
      </c>
      <c r="Q405" t="s">
        <v>3319</v>
      </c>
      <c r="R405" s="52">
        <f>_xlfn.NUMBERVALUE(convertNumberStringPointToNumberComma(LEFT(Q405,FIND("x",Q405)-2)))</f>
        <v>62</v>
      </c>
      <c r="S405" s="52">
        <f>_xlfn.NUMBERVALUE(convertNumberStringPointToNumberComma(LEFT(RIGHT(Q405,LEN(Q405)-FIND("x",Q405)-1),LEN(RIGHT(Q405,LEN(Q405)-FIND("x",Q405)-1))-2)))</f>
        <v>43.5</v>
      </c>
    </row>
    <row r="406" spans="1:19" x14ac:dyDescent="0.25">
      <c r="A406" t="s">
        <v>1380</v>
      </c>
      <c r="B406" t="s">
        <v>635</v>
      </c>
      <c r="E406" t="s">
        <v>2635</v>
      </c>
      <c r="L406" t="s">
        <v>2684</v>
      </c>
      <c r="M406" t="s">
        <v>2804</v>
      </c>
      <c r="N406" t="s">
        <v>903</v>
      </c>
      <c r="O406" t="s">
        <v>2834</v>
      </c>
      <c r="Q406" t="s">
        <v>3461</v>
      </c>
      <c r="R406" s="52">
        <f>_xlfn.NUMBERVALUE(convertNumberStringPointToNumberComma(LEFT(Q406,FIND("x",Q406)-2)))</f>
        <v>62</v>
      </c>
      <c r="S406" s="52">
        <f>_xlfn.NUMBERVALUE(convertNumberStringPointToNumberComma(LEFT(RIGHT(Q406,LEN(Q406)-FIND("x",Q406)-1),LEN(RIGHT(Q406,LEN(Q406)-FIND("x",Q406)-1))-2)))</f>
        <v>45</v>
      </c>
    </row>
    <row r="407" spans="1:19" x14ac:dyDescent="0.25">
      <c r="A407" t="s">
        <v>924</v>
      </c>
      <c r="B407" t="s">
        <v>592</v>
      </c>
      <c r="C407" s="5">
        <f>convertNumberStringPointToNumberComma(IFERROR(LEFT(B407,(FIND("-",B407)-1)),LEFT(B407,FIND("mm",B407)-1)))</f>
        <v>35</v>
      </c>
      <c r="D407" s="5">
        <f>convertNumberStringPointToNumberComma(IFERROR(RIGHT(LEFT(B407,FIND("m",B407)-1),LEN(LEFT(B407,FIND("m",B407)-1))-FIND("-",LEFT(B407,FIND("m",B407)-1))-1),C407))</f>
        <v>35</v>
      </c>
      <c r="E407" t="s">
        <v>2635</v>
      </c>
      <c r="F407" s="9">
        <f>convertNumberStringPointToNumberComma(LEFT(MID(E407,3,9),IFERROR(FIND("-",MID(E407,3,9))-2,3)))</f>
        <v>1.8</v>
      </c>
      <c r="G407" s="9">
        <f>convertNumberStringPointToNumberComma(RIGHT(E407,IF(ISERROR(FIND(".",RIGHT(E407,3))),1,3)))</f>
        <v>1.8</v>
      </c>
      <c r="H407" t="s">
        <v>2667</v>
      </c>
      <c r="I407" s="5" t="str">
        <f>IF(H407="none",0,LEFT(H407,LEN(H407)-2))</f>
        <v>49</v>
      </c>
      <c r="J407" s="5" t="s">
        <v>7</v>
      </c>
      <c r="K407" s="10">
        <f>IF(J407="",0,convertNumberStringPointToNumberComma(LEFT(J407,LEN(J407)-1)))</f>
        <v>0.39</v>
      </c>
      <c r="L407" t="s">
        <v>2686</v>
      </c>
      <c r="M407" t="s">
        <v>2674</v>
      </c>
      <c r="N407" t="s">
        <v>903</v>
      </c>
      <c r="O407" t="s">
        <v>681</v>
      </c>
      <c r="P407" s="5" t="str">
        <f>LEFT(O407,LEN(O407)-1)</f>
        <v>155</v>
      </c>
      <c r="Q407" t="s">
        <v>3202</v>
      </c>
      <c r="R407" s="52">
        <f>_xlfn.NUMBERVALUE(convertNumberStringPointToNumberComma(LEFT(Q407,FIND("x",Q407)-2)))</f>
        <v>62</v>
      </c>
      <c r="S407" s="52">
        <f>_xlfn.NUMBERVALUE(convertNumberStringPointToNumberComma(LEFT(RIGHT(Q407,LEN(Q407)-FIND("x",Q407)-1),LEN(RIGHT(Q407,LEN(Q407)-FIND("x",Q407)-1))-2)))</f>
        <v>55.5</v>
      </c>
    </row>
    <row r="408" spans="1:19" x14ac:dyDescent="0.25">
      <c r="A408" t="s">
        <v>2439</v>
      </c>
      <c r="B408" t="s">
        <v>586</v>
      </c>
      <c r="E408" t="s">
        <v>2649</v>
      </c>
      <c r="H408" t="s">
        <v>2667</v>
      </c>
      <c r="L408" t="s">
        <v>2707</v>
      </c>
      <c r="M408" t="s">
        <v>2674</v>
      </c>
      <c r="N408" t="s">
        <v>903</v>
      </c>
      <c r="O408" t="s">
        <v>3171</v>
      </c>
      <c r="Q408" t="s">
        <v>3202</v>
      </c>
      <c r="R408" s="52">
        <f>_xlfn.NUMBERVALUE(convertNumberStringPointToNumberComma(LEFT(Q408,FIND("x",Q408)-2)))</f>
        <v>62</v>
      </c>
      <c r="S408" s="52">
        <f>_xlfn.NUMBERVALUE(convertNumberStringPointToNumberComma(LEFT(RIGHT(Q408,LEN(Q408)-FIND("x",Q408)-1),LEN(RIGHT(Q408,LEN(Q408)-FIND("x",Q408)-1))-2)))</f>
        <v>55.5</v>
      </c>
    </row>
    <row r="409" spans="1:19" x14ac:dyDescent="0.25">
      <c r="A409" t="s">
        <v>1743</v>
      </c>
      <c r="B409" t="s">
        <v>592</v>
      </c>
      <c r="E409" t="s">
        <v>2638</v>
      </c>
      <c r="H409" t="s">
        <v>318</v>
      </c>
      <c r="L409" t="s">
        <v>2998</v>
      </c>
      <c r="M409" t="s">
        <v>2674</v>
      </c>
      <c r="N409" t="s">
        <v>913</v>
      </c>
      <c r="O409" t="s">
        <v>607</v>
      </c>
      <c r="Q409" t="s">
        <v>3658</v>
      </c>
      <c r="R409" s="52">
        <f>_xlfn.NUMBERVALUE(convertNumberStringPointToNumberComma(LEFT(Q409,FIND("x",Q409)-2)))</f>
        <v>62</v>
      </c>
      <c r="S409" s="52">
        <f>_xlfn.NUMBERVALUE(convertNumberStringPointToNumberComma(LEFT(RIGHT(Q409,LEN(Q409)-FIND("x",Q409)-1),LEN(RIGHT(Q409,LEN(Q409)-FIND("x",Q409)-1))-2)))</f>
        <v>59</v>
      </c>
    </row>
    <row r="410" spans="1:19" x14ac:dyDescent="0.25">
      <c r="A410" t="s">
        <v>1744</v>
      </c>
      <c r="B410" t="s">
        <v>678</v>
      </c>
      <c r="E410" t="s">
        <v>2638</v>
      </c>
      <c r="H410" t="s">
        <v>318</v>
      </c>
      <c r="L410" t="s">
        <v>2940</v>
      </c>
      <c r="M410" t="s">
        <v>2674</v>
      </c>
      <c r="N410" t="s">
        <v>913</v>
      </c>
      <c r="O410" t="s">
        <v>697</v>
      </c>
      <c r="Q410" t="s">
        <v>3658</v>
      </c>
      <c r="R410" s="52">
        <f>_xlfn.NUMBERVALUE(convertNumberStringPointToNumberComma(LEFT(Q410,FIND("x",Q410)-2)))</f>
        <v>62</v>
      </c>
      <c r="S410" s="52">
        <f>_xlfn.NUMBERVALUE(convertNumberStringPointToNumberComma(LEFT(RIGHT(Q410,LEN(Q410)-FIND("x",Q410)-1),LEN(RIGHT(Q410,LEN(Q410)-FIND("x",Q410)-1))-2)))</f>
        <v>59</v>
      </c>
    </row>
    <row r="411" spans="1:19" x14ac:dyDescent="0.25">
      <c r="A411" t="s">
        <v>1445</v>
      </c>
      <c r="B411" t="s">
        <v>1036</v>
      </c>
      <c r="E411" t="s">
        <v>2639</v>
      </c>
      <c r="H411" t="s">
        <v>2667</v>
      </c>
      <c r="L411" t="s">
        <v>2701</v>
      </c>
      <c r="M411" t="s">
        <v>2674</v>
      </c>
      <c r="N411" t="s">
        <v>903</v>
      </c>
      <c r="O411" t="s">
        <v>2907</v>
      </c>
      <c r="Q411" t="s">
        <v>3500</v>
      </c>
      <c r="R411" s="52">
        <f>_xlfn.NUMBERVALUE(convertNumberStringPointToNumberComma(LEFT(Q411,FIND("x",Q411)-2)))</f>
        <v>62</v>
      </c>
      <c r="S411" s="52">
        <f>_xlfn.NUMBERVALUE(convertNumberStringPointToNumberComma(LEFT(RIGHT(Q411,LEN(Q411)-FIND("x",Q411)-1),LEN(RIGHT(Q411,LEN(Q411)-FIND("x",Q411)-1))-2)))</f>
        <v>60</v>
      </c>
    </row>
    <row r="412" spans="1:19" x14ac:dyDescent="0.25">
      <c r="A412" t="s">
        <v>943</v>
      </c>
      <c r="B412" t="s">
        <v>678</v>
      </c>
      <c r="C412" s="5">
        <f>convertNumberStringPointToNumberComma(IFERROR(LEFT(B412,(FIND("-",B412)-1)),LEFT(B412,FIND("mm",B412)-1)))</f>
        <v>50</v>
      </c>
      <c r="D412" s="5">
        <f>convertNumberStringPointToNumberComma(IFERROR(RIGHT(LEFT(B412,FIND("m",B412)-1),LEN(LEFT(B412,FIND("m",B412)-1))-FIND("-",LEFT(B412,FIND("m",B412)-1))-1),C412))</f>
        <v>50</v>
      </c>
      <c r="E412" t="s">
        <v>2635</v>
      </c>
      <c r="F412" s="9">
        <f>convertNumberStringPointToNumberComma(LEFT(MID(E412,3,9),IFERROR(FIND("-",MID(E412,3,9))-2,3)))</f>
        <v>1.8</v>
      </c>
      <c r="G412" s="9">
        <f>convertNumberStringPointToNumberComma(RIGHT(E412,IF(ISERROR(FIND(".",RIGHT(E412,3))),1,3)))</f>
        <v>1.8</v>
      </c>
      <c r="H412" t="s">
        <v>2667</v>
      </c>
      <c r="I412" s="5" t="str">
        <f>IF(H412="none",0,LEFT(H412,LEN(H412)-2))</f>
        <v>49</v>
      </c>
      <c r="J412" s="5" t="s">
        <v>32</v>
      </c>
      <c r="K412" s="10">
        <f>IF(J412="",0,convertNumberStringPointToNumberComma(LEFT(J412,LEN(J412)-1)))</f>
        <v>0.12</v>
      </c>
      <c r="L412" t="s">
        <v>2704</v>
      </c>
      <c r="M412" t="s">
        <v>2674</v>
      </c>
      <c r="N412" t="s">
        <v>903</v>
      </c>
      <c r="O412" t="s">
        <v>2705</v>
      </c>
      <c r="P412" s="5" t="str">
        <f>LEFT(O412,LEN(O412)-1)</f>
        <v>202</v>
      </c>
      <c r="Q412" t="s">
        <v>3215</v>
      </c>
      <c r="R412" s="52">
        <f>_xlfn.NUMBERVALUE(convertNumberStringPointToNumberComma(LEFT(Q412,FIND("x",Q412)-2)))</f>
        <v>62</v>
      </c>
      <c r="S412" s="52">
        <f>_xlfn.NUMBERVALUE(convertNumberStringPointToNumberComma(LEFT(RIGHT(Q412,LEN(Q412)-FIND("x",Q412)-1),LEN(RIGHT(Q412,LEN(Q412)-FIND("x",Q412)-1))-2)))</f>
        <v>62</v>
      </c>
    </row>
    <row r="413" spans="1:19" x14ac:dyDescent="0.25">
      <c r="A413" t="s">
        <v>2554</v>
      </c>
      <c r="B413" t="s">
        <v>678</v>
      </c>
      <c r="E413" t="s">
        <v>2635</v>
      </c>
      <c r="H413" t="s">
        <v>2667</v>
      </c>
      <c r="L413" t="s">
        <v>2704</v>
      </c>
      <c r="M413" t="s">
        <v>2674</v>
      </c>
      <c r="N413" t="s">
        <v>903</v>
      </c>
      <c r="O413" t="s">
        <v>2705</v>
      </c>
      <c r="Q413" t="s">
        <v>3215</v>
      </c>
      <c r="R413" s="52">
        <f>_xlfn.NUMBERVALUE(convertNumberStringPointToNumberComma(LEFT(Q413,FIND("x",Q413)-2)))</f>
        <v>62</v>
      </c>
      <c r="S413" s="52">
        <f>_xlfn.NUMBERVALUE(convertNumberStringPointToNumberComma(LEFT(RIGHT(Q413,LEN(Q413)-FIND("x",Q413)-1),LEN(RIGHT(Q413,LEN(Q413)-FIND("x",Q413)-1))-2)))</f>
        <v>62</v>
      </c>
    </row>
    <row r="414" spans="1:19" x14ac:dyDescent="0.25">
      <c r="A414" t="s">
        <v>1466</v>
      </c>
      <c r="B414" t="s">
        <v>62</v>
      </c>
      <c r="E414" t="s">
        <v>2632</v>
      </c>
      <c r="H414" t="s">
        <v>318</v>
      </c>
      <c r="M414" t="s">
        <v>8</v>
      </c>
      <c r="N414" t="s">
        <v>913</v>
      </c>
      <c r="O414" t="s">
        <v>2714</v>
      </c>
      <c r="Q414" t="s">
        <v>3509</v>
      </c>
      <c r="R414" s="52">
        <f>_xlfn.NUMBERVALUE(convertNumberStringPointToNumberComma(LEFT(Q414,FIND("x",Q414)-2)))</f>
        <v>62</v>
      </c>
      <c r="S414" s="52">
        <f>_xlfn.NUMBERVALUE(convertNumberStringPointToNumberComma(LEFT(RIGHT(Q414,LEN(Q414)-FIND("x",Q414)-1),LEN(RIGHT(Q414,LEN(Q414)-FIND("x",Q414)-1))-2)))</f>
        <v>63.5</v>
      </c>
    </row>
    <row r="415" spans="1:19" x14ac:dyDescent="0.25">
      <c r="A415" t="s">
        <v>1468</v>
      </c>
      <c r="B415" t="s">
        <v>592</v>
      </c>
      <c r="E415" t="s">
        <v>2643</v>
      </c>
      <c r="H415" t="s">
        <v>318</v>
      </c>
      <c r="M415" t="s">
        <v>8</v>
      </c>
      <c r="N415" t="s">
        <v>913</v>
      </c>
      <c r="O415" t="s">
        <v>330</v>
      </c>
      <c r="Q415" t="s">
        <v>3511</v>
      </c>
      <c r="R415" s="52">
        <f>_xlfn.NUMBERVALUE(convertNumberStringPointToNumberComma(LEFT(Q415,FIND("x",Q415)-2)))</f>
        <v>62</v>
      </c>
      <c r="S415" s="52">
        <f>_xlfn.NUMBERVALUE(convertNumberStringPointToNumberComma(LEFT(RIGHT(Q415,LEN(Q415)-FIND("x",Q415)-1),LEN(RIGHT(Q415,LEN(Q415)-FIND("x",Q415)-1))-2)))</f>
        <v>67.5</v>
      </c>
    </row>
    <row r="416" spans="1:19" x14ac:dyDescent="0.25">
      <c r="A416" t="s">
        <v>1137</v>
      </c>
      <c r="B416" t="s">
        <v>1138</v>
      </c>
      <c r="C416" s="5">
        <f>convertNumberStringPointToNumberComma(IFERROR(LEFT(B416,(FIND("-",B416)-1)),LEFT(B416,FIND("mm",B416)-1)))</f>
        <v>45</v>
      </c>
      <c r="D416" s="5">
        <f>convertNumberStringPointToNumberComma(IFERROR(RIGHT(LEFT(B416,FIND("m",B416)-1),LEN(LEFT(B416,FIND("m",B416)-1))-FIND("-",LEFT(B416,FIND("m",B416)-1))-1),C416))</f>
        <v>50</v>
      </c>
      <c r="E416" t="s">
        <v>2634</v>
      </c>
      <c r="F416" s="9">
        <f>convertNumberStringPointToNumberComma(LEFT(MID(E416,3,9),IFERROR(FIND("-",MID(E416,3,9))-2,3)))</f>
        <v>4</v>
      </c>
      <c r="G416" s="9">
        <f>convertNumberStringPointToNumberComma(RIGHT(E416,IF(ISERROR(FIND(".",RIGHT(E416,3))),1,3)))</f>
        <v>5.6</v>
      </c>
      <c r="H416" t="s">
        <v>318</v>
      </c>
      <c r="I416" s="5" t="str">
        <f>IF(H416="none",0,LEFT(H416,LEN(H416)-2))</f>
        <v>52</v>
      </c>
      <c r="J416" s="5"/>
      <c r="K416" s="10">
        <f>IF(J416="",0,convertNumberStringPointToNumberComma(LEFT(J416,LEN(J416)-1)))</f>
        <v>0</v>
      </c>
      <c r="L416" t="s">
        <v>2706</v>
      </c>
      <c r="M416" t="s">
        <v>2680</v>
      </c>
      <c r="N416" t="s">
        <v>2681</v>
      </c>
      <c r="O416" t="s">
        <v>597</v>
      </c>
      <c r="P416" s="5" t="str">
        <f>LEFT(O416,LEN(O416)-1)</f>
        <v>200</v>
      </c>
      <c r="Q416" t="s">
        <v>3326</v>
      </c>
      <c r="R416" s="52">
        <f>_xlfn.NUMBERVALUE(convertNumberStringPointToNumberComma(LEFT(Q416,FIND("x",Q416)-2)))</f>
        <v>62</v>
      </c>
      <c r="S416" s="52">
        <f>_xlfn.NUMBERVALUE(convertNumberStringPointToNumberComma(LEFT(RIGHT(Q416,LEN(Q416)-FIND("x",Q416)-1),LEN(RIGHT(Q416,LEN(Q416)-FIND("x",Q416)-1))-2)))</f>
        <v>73</v>
      </c>
    </row>
    <row r="417" spans="1:19" x14ac:dyDescent="0.25">
      <c r="A417" t="s">
        <v>1413</v>
      </c>
      <c r="B417" t="s">
        <v>1138</v>
      </c>
      <c r="E417" t="s">
        <v>2634</v>
      </c>
      <c r="H417" t="s">
        <v>318</v>
      </c>
      <c r="L417" t="s">
        <v>2706</v>
      </c>
      <c r="M417" t="s">
        <v>2680</v>
      </c>
      <c r="N417" t="s">
        <v>2681</v>
      </c>
      <c r="O417" t="s">
        <v>597</v>
      </c>
      <c r="Q417" t="s">
        <v>3326</v>
      </c>
      <c r="R417" s="52">
        <f>_xlfn.NUMBERVALUE(convertNumberStringPointToNumberComma(LEFT(Q417,FIND("x",Q417)-2)))</f>
        <v>62</v>
      </c>
      <c r="S417" s="52">
        <f>_xlfn.NUMBERVALUE(convertNumberStringPointToNumberComma(LEFT(RIGHT(Q417,LEN(Q417)-FIND("x",Q417)-1),LEN(RIGHT(Q417,LEN(Q417)-FIND("x",Q417)-1))-2)))</f>
        <v>73</v>
      </c>
    </row>
    <row r="418" spans="1:19" x14ac:dyDescent="0.25">
      <c r="A418" t="s">
        <v>2574</v>
      </c>
      <c r="B418" t="s">
        <v>856</v>
      </c>
      <c r="E418" t="s">
        <v>2635</v>
      </c>
      <c r="H418" t="s">
        <v>2668</v>
      </c>
      <c r="L418" t="s">
        <v>2698</v>
      </c>
      <c r="M418" t="s">
        <v>2680</v>
      </c>
      <c r="N418" t="s">
        <v>2681</v>
      </c>
      <c r="O418" t="s">
        <v>2760</v>
      </c>
      <c r="Q418" t="s">
        <v>4052</v>
      </c>
      <c r="R418" s="52">
        <f>_xlfn.NUMBERVALUE(convertNumberStringPointToNumberComma(LEFT(Q418,FIND("x",Q418)-2)))</f>
        <v>62</v>
      </c>
      <c r="S418" s="52">
        <f>_xlfn.NUMBERVALUE(convertNumberStringPointToNumberComma(LEFT(RIGHT(Q418,LEN(Q418)-FIND("x",Q418)-1),LEN(RIGHT(Q418,LEN(Q418)-FIND("x",Q418)-1))-2)))</f>
        <v>80</v>
      </c>
    </row>
    <row r="419" spans="1:19" x14ac:dyDescent="0.25">
      <c r="A419" t="s">
        <v>1609</v>
      </c>
      <c r="B419" t="s">
        <v>1610</v>
      </c>
      <c r="E419" t="s">
        <v>2634</v>
      </c>
      <c r="H419" t="s">
        <v>2669</v>
      </c>
      <c r="L419" t="s">
        <v>2698</v>
      </c>
      <c r="M419" t="s">
        <v>2680</v>
      </c>
      <c r="N419" t="s">
        <v>2681</v>
      </c>
      <c r="O419" t="s">
        <v>2714</v>
      </c>
      <c r="Q419" t="s">
        <v>3576</v>
      </c>
      <c r="R419" s="52">
        <f>_xlfn.NUMBERVALUE(convertNumberStringPointToNumberComma(LEFT(Q419,FIND("x",Q419)-2)))</f>
        <v>62</v>
      </c>
      <c r="S419" s="52">
        <f>_xlfn.NUMBERVALUE(convertNumberStringPointToNumberComma(LEFT(RIGHT(Q419,LEN(Q419)-FIND("x",Q419)-1),LEN(RIGHT(Q419,LEN(Q419)-FIND("x",Q419)-1))-2)))</f>
        <v>90</v>
      </c>
    </row>
    <row r="420" spans="1:19" x14ac:dyDescent="0.25">
      <c r="A420" t="s">
        <v>2304</v>
      </c>
      <c r="B420" t="s">
        <v>459</v>
      </c>
      <c r="E420" t="s">
        <v>2632</v>
      </c>
      <c r="H420" t="s">
        <v>318</v>
      </c>
      <c r="L420" t="s">
        <v>3111</v>
      </c>
      <c r="M420" t="s">
        <v>2674</v>
      </c>
      <c r="N420" t="s">
        <v>913</v>
      </c>
      <c r="O420" t="s">
        <v>3112</v>
      </c>
      <c r="Q420" t="s">
        <v>3903</v>
      </c>
      <c r="R420" s="52">
        <f>_xlfn.NUMBERVALUE(convertNumberStringPointToNumberComma(LEFT(Q420,FIND("x",Q420)-2)))</f>
        <v>62.1</v>
      </c>
      <c r="S420" s="52">
        <f>_xlfn.NUMBERVALUE(convertNumberStringPointToNumberComma(LEFT(RIGHT(Q420,LEN(Q420)-FIND("x",Q420)-1),LEN(RIGHT(Q420,LEN(Q420)-FIND("x",Q420)-1))-2)))</f>
        <v>72</v>
      </c>
    </row>
    <row r="421" spans="1:19" x14ac:dyDescent="0.25">
      <c r="A421" t="s">
        <v>2332</v>
      </c>
      <c r="B421" t="s">
        <v>441</v>
      </c>
      <c r="E421" t="s">
        <v>2632</v>
      </c>
      <c r="L421" t="s">
        <v>2750</v>
      </c>
      <c r="M421" t="s">
        <v>2804</v>
      </c>
      <c r="N421" t="s">
        <v>903</v>
      </c>
      <c r="O421" t="s">
        <v>2851</v>
      </c>
      <c r="Q421" t="s">
        <v>3913</v>
      </c>
      <c r="R421" s="52">
        <f>_xlfn.NUMBERVALUE(convertNumberStringPointToNumberComma(LEFT(Q421,FIND("x",Q421)-2)))</f>
        <v>62.2</v>
      </c>
      <c r="S421" s="52">
        <f>_xlfn.NUMBERVALUE(convertNumberStringPointToNumberComma(LEFT(RIGHT(Q421,LEN(Q421)-FIND("x",Q421)-1),LEN(RIGHT(Q421,LEN(Q421)-FIND("x",Q421)-1))-2)))</f>
        <v>24.5</v>
      </c>
    </row>
    <row r="422" spans="1:19" x14ac:dyDescent="0.25">
      <c r="A422" t="s">
        <v>1513</v>
      </c>
      <c r="B422" t="s">
        <v>984</v>
      </c>
      <c r="E422" t="s">
        <v>2639</v>
      </c>
      <c r="H422" t="s">
        <v>91</v>
      </c>
      <c r="L422" t="s">
        <v>2686</v>
      </c>
      <c r="M422" t="s">
        <v>2748</v>
      </c>
      <c r="N422" t="s">
        <v>903</v>
      </c>
      <c r="O422" t="s">
        <v>380</v>
      </c>
      <c r="Q422" t="s">
        <v>3531</v>
      </c>
      <c r="R422" s="52">
        <f>_xlfn.NUMBERVALUE(convertNumberStringPointToNumberComma(LEFT(Q422,FIND("x",Q422)-2)))</f>
        <v>62.6</v>
      </c>
      <c r="S422" s="52">
        <f>_xlfn.NUMBERVALUE(convertNumberStringPointToNumberComma(LEFT(RIGHT(Q422,LEN(Q422)-FIND("x",Q422)-1),LEN(RIGHT(Q422,LEN(Q422)-FIND("x",Q422)-1))-2)))</f>
        <v>65.2</v>
      </c>
    </row>
    <row r="423" spans="1:19" x14ac:dyDescent="0.25">
      <c r="A423" t="s">
        <v>1601</v>
      </c>
      <c r="B423" t="s">
        <v>984</v>
      </c>
      <c r="E423" t="s">
        <v>2639</v>
      </c>
      <c r="H423" t="s">
        <v>91</v>
      </c>
      <c r="L423" t="s">
        <v>2686</v>
      </c>
      <c r="M423" t="s">
        <v>2748</v>
      </c>
      <c r="N423" t="s">
        <v>903</v>
      </c>
      <c r="O423" t="s">
        <v>380</v>
      </c>
      <c r="Q423" t="s">
        <v>3531</v>
      </c>
      <c r="R423" s="52">
        <f>_xlfn.NUMBERVALUE(convertNumberStringPointToNumberComma(LEFT(Q423,FIND("x",Q423)-2)))</f>
        <v>62.6</v>
      </c>
      <c r="S423" s="52">
        <f>_xlfn.NUMBERVALUE(convertNumberStringPointToNumberComma(LEFT(RIGHT(Q423,LEN(Q423)-FIND("x",Q423)-1),LEN(RIGHT(Q423,LEN(Q423)-FIND("x",Q423)-1))-2)))</f>
        <v>65.2</v>
      </c>
    </row>
    <row r="424" spans="1:19" x14ac:dyDescent="0.25">
      <c r="A424" t="s">
        <v>1602</v>
      </c>
      <c r="B424" t="s">
        <v>984</v>
      </c>
      <c r="E424" t="s">
        <v>2639</v>
      </c>
      <c r="H424" t="s">
        <v>91</v>
      </c>
      <c r="L424" t="s">
        <v>2686</v>
      </c>
      <c r="M424" t="s">
        <v>2748</v>
      </c>
      <c r="N424" t="s">
        <v>903</v>
      </c>
      <c r="O424" t="s">
        <v>380</v>
      </c>
      <c r="Q424" t="s">
        <v>3531</v>
      </c>
      <c r="R424" s="52">
        <f>_xlfn.NUMBERVALUE(convertNumberStringPointToNumberComma(LEFT(Q424,FIND("x",Q424)-2)))</f>
        <v>62.6</v>
      </c>
      <c r="S424" s="52">
        <f>_xlfn.NUMBERVALUE(convertNumberStringPointToNumberComma(LEFT(RIGHT(Q424,LEN(Q424)-FIND("x",Q424)-1),LEN(RIGHT(Q424,LEN(Q424)-FIND("x",Q424)-1))-2)))</f>
        <v>65.2</v>
      </c>
    </row>
    <row r="425" spans="1:19" x14ac:dyDescent="0.25">
      <c r="A425" t="s">
        <v>1632</v>
      </c>
      <c r="B425" t="s">
        <v>984</v>
      </c>
      <c r="E425" t="s">
        <v>2639</v>
      </c>
      <c r="H425" t="s">
        <v>91</v>
      </c>
      <c r="L425" t="s">
        <v>2686</v>
      </c>
      <c r="M425" t="s">
        <v>2748</v>
      </c>
      <c r="N425" t="s">
        <v>903</v>
      </c>
      <c r="O425" t="s">
        <v>380</v>
      </c>
      <c r="Q425" t="s">
        <v>3531</v>
      </c>
      <c r="R425" s="52">
        <f>_xlfn.NUMBERVALUE(convertNumberStringPointToNumberComma(LEFT(Q425,FIND("x",Q425)-2)))</f>
        <v>62.6</v>
      </c>
      <c r="S425" s="52">
        <f>_xlfn.NUMBERVALUE(convertNumberStringPointToNumberComma(LEFT(RIGHT(Q425,LEN(Q425)-FIND("x",Q425)-1),LEN(RIGHT(Q425,LEN(Q425)-FIND("x",Q425)-1))-2)))</f>
        <v>65.2</v>
      </c>
    </row>
    <row r="426" spans="1:19" x14ac:dyDescent="0.25">
      <c r="A426" t="s">
        <v>1234</v>
      </c>
      <c r="B426" t="s">
        <v>631</v>
      </c>
      <c r="C426" s="5">
        <f>convertNumberStringPointToNumberComma(IFERROR(LEFT(B426,(FIND("-",B426)-1)),LEFT(B426,FIND("mm",B426)-1)))</f>
        <v>40</v>
      </c>
      <c r="D426" s="5">
        <f>convertNumberStringPointToNumberComma(IFERROR(RIGHT(LEFT(B426,FIND("m",B426)-1),LEN(LEFT(B426,FIND("m",B426)-1))-FIND("-",LEFT(B426,FIND("m",B426)-1))-1),C426))</f>
        <v>40</v>
      </c>
      <c r="E426" t="s">
        <v>2632</v>
      </c>
      <c r="F426" s="9">
        <f>convertNumberStringPointToNumberComma(LEFT(MID(E426,3,9),IFERROR(FIND("-",MID(E426,3,9))-2,3)))</f>
        <v>2.8</v>
      </c>
      <c r="G426" s="9">
        <f>convertNumberStringPointToNumberComma(RIGHT(E426,IF(ISERROR(FIND(".",RIGHT(E426,3))),1,3)))</f>
        <v>2.8</v>
      </c>
      <c r="H426" t="s">
        <v>2667</v>
      </c>
      <c r="I426" s="5" t="str">
        <f>IF(H426="none",0,LEFT(H426,LEN(H426)-2))</f>
        <v>49</v>
      </c>
      <c r="J426" s="5" t="s">
        <v>40</v>
      </c>
      <c r="K426" s="10">
        <f>IF(J426="",0,convertNumberStringPointToNumberComma(LEFT(J426,LEN(J426)-1)))</f>
        <v>0.2</v>
      </c>
      <c r="L426" t="s">
        <v>2684</v>
      </c>
      <c r="M426" t="s">
        <v>2802</v>
      </c>
      <c r="N426" t="s">
        <v>903</v>
      </c>
      <c r="O426" t="s">
        <v>2851</v>
      </c>
      <c r="P426" s="5" t="str">
        <f>LEFT(O426,LEN(O426)-1)</f>
        <v>89</v>
      </c>
      <c r="Q426" t="s">
        <v>3380</v>
      </c>
      <c r="R426" s="52">
        <f>_xlfn.NUMBERVALUE(convertNumberStringPointToNumberComma(LEFT(Q426,FIND("x",Q426)-2)))</f>
        <v>63</v>
      </c>
      <c r="S426" s="52">
        <f>_xlfn.NUMBERVALUE(convertNumberStringPointToNumberComma(LEFT(RIGHT(Q426,LEN(Q426)-FIND("x",Q426)-1),LEN(RIGHT(Q426,LEN(Q426)-FIND("x",Q426)-1))-2)))</f>
        <v>15</v>
      </c>
    </row>
    <row r="427" spans="1:19" x14ac:dyDescent="0.25">
      <c r="A427" t="s">
        <v>1531</v>
      </c>
      <c r="B427" t="s">
        <v>631</v>
      </c>
      <c r="E427" t="s">
        <v>2632</v>
      </c>
      <c r="H427" t="s">
        <v>2667</v>
      </c>
      <c r="L427" t="s">
        <v>2684</v>
      </c>
      <c r="M427" t="s">
        <v>2802</v>
      </c>
      <c r="N427" t="s">
        <v>903</v>
      </c>
      <c r="O427" t="s">
        <v>2851</v>
      </c>
      <c r="Q427" t="s">
        <v>3380</v>
      </c>
      <c r="R427" s="52">
        <f>_xlfn.NUMBERVALUE(convertNumberStringPointToNumberComma(LEFT(Q427,FIND("x",Q427)-2)))</f>
        <v>63</v>
      </c>
      <c r="S427" s="52">
        <f>_xlfn.NUMBERVALUE(convertNumberStringPointToNumberComma(LEFT(RIGHT(Q427,LEN(Q427)-FIND("x",Q427)-1),LEN(RIGHT(Q427,LEN(Q427)-FIND("x",Q427)-1))-2)))</f>
        <v>15</v>
      </c>
    </row>
    <row r="428" spans="1:19" x14ac:dyDescent="0.25">
      <c r="A428" t="s">
        <v>2568</v>
      </c>
      <c r="B428" t="s">
        <v>441</v>
      </c>
      <c r="E428" t="s">
        <v>2632</v>
      </c>
      <c r="H428" t="s">
        <v>2667</v>
      </c>
      <c r="M428" t="s">
        <v>2674</v>
      </c>
      <c r="N428" t="s">
        <v>903</v>
      </c>
      <c r="O428" t="s">
        <v>3182</v>
      </c>
      <c r="Q428" t="s">
        <v>4051</v>
      </c>
      <c r="R428" s="52">
        <f>_xlfn.NUMBERVALUE(convertNumberStringPointToNumberComma(LEFT(Q428,FIND("x",Q428)-2)))</f>
        <v>63</v>
      </c>
      <c r="S428" s="52">
        <f>_xlfn.NUMBERVALUE(convertNumberStringPointToNumberComma(LEFT(RIGHT(Q428,LEN(Q428)-FIND("x",Q428)-1),LEN(RIGHT(Q428,LEN(Q428)-FIND("x",Q428)-1))-2)))</f>
        <v>20.399999999999999</v>
      </c>
    </row>
    <row r="429" spans="1:19" x14ac:dyDescent="0.25">
      <c r="B429" t="s">
        <v>631</v>
      </c>
      <c r="E429" t="s">
        <v>2638</v>
      </c>
      <c r="H429" t="s">
        <v>318</v>
      </c>
      <c r="L429" t="s">
        <v>2722</v>
      </c>
      <c r="M429" t="s">
        <v>8</v>
      </c>
      <c r="N429" t="s">
        <v>913</v>
      </c>
      <c r="O429" t="s">
        <v>597</v>
      </c>
      <c r="Q429" t="s">
        <v>3941</v>
      </c>
      <c r="R429" s="52">
        <f>_xlfn.NUMBERVALUE(convertNumberStringPointToNumberComma(LEFT(Q429,FIND("x",Q429)-2)))</f>
        <v>63</v>
      </c>
      <c r="S429" s="52">
        <f>_xlfn.NUMBERVALUE(convertNumberStringPointToNumberComma(LEFT(RIGHT(Q429,LEN(Q429)-FIND("x",Q429)-1),LEN(RIGHT(Q429,LEN(Q429)-FIND("x",Q429)-1))-2)))</f>
        <v>24.5</v>
      </c>
    </row>
    <row r="430" spans="1:19" x14ac:dyDescent="0.25">
      <c r="A430" t="s">
        <v>1076</v>
      </c>
      <c r="B430" t="s">
        <v>441</v>
      </c>
      <c r="C430" s="5">
        <f>convertNumberStringPointToNumberComma(IFERROR(LEFT(B430,(FIND("-",B430)-1)),LEFT(B430,FIND("mm",B430)-1)))</f>
        <v>20</v>
      </c>
      <c r="D430" s="5">
        <f>convertNumberStringPointToNumberComma(IFERROR(RIGHT(LEFT(B430,FIND("m",B430)-1),LEN(LEFT(B430,FIND("m",B430)-1))-FIND("-",LEFT(B430,FIND("m",B430)-1))-1),C430))</f>
        <v>20</v>
      </c>
      <c r="E430" t="s">
        <v>2640</v>
      </c>
      <c r="F430" s="9">
        <f>convertNumberStringPointToNumberComma(LEFT(MID(E430,3,9),IFERROR(FIND("-",MID(E430,3,9))-2,3)))</f>
        <v>1.7</v>
      </c>
      <c r="G430" s="9">
        <f>convertNumberStringPointToNumberComma(RIGHT(E430,IF(ISERROR(FIND(".",RIGHT(E430,3))),1,3)))</f>
        <v>1.7</v>
      </c>
      <c r="H430" t="s">
        <v>2669</v>
      </c>
      <c r="I430" s="5" t="str">
        <f>IF(H430="none",0,LEFT(H430,LEN(H430)-2))</f>
        <v>46</v>
      </c>
      <c r="J430" s="5"/>
      <c r="K430" s="10">
        <f>IF(J430="",0,convertNumberStringPointToNumberComma(LEFT(J430,LEN(J430)-1)))</f>
        <v>0</v>
      </c>
      <c r="L430" t="s">
        <v>2684</v>
      </c>
      <c r="M430" t="s">
        <v>2680</v>
      </c>
      <c r="N430" t="s">
        <v>2681</v>
      </c>
      <c r="O430" t="s">
        <v>2776</v>
      </c>
      <c r="P430" s="5" t="str">
        <f>LEFT(O430,LEN(O430)-1)</f>
        <v>87</v>
      </c>
      <c r="Q430" t="s">
        <v>3298</v>
      </c>
      <c r="R430" s="52">
        <f>_xlfn.NUMBERVALUE(convertNumberStringPointToNumberComma(LEFT(Q430,FIND("x",Q430)-2)))</f>
        <v>63</v>
      </c>
      <c r="S430" s="52">
        <f>_xlfn.NUMBERVALUE(convertNumberStringPointToNumberComma(LEFT(RIGHT(Q430,LEN(Q430)-FIND("x",Q430)-1),LEN(RIGHT(Q430,LEN(Q430)-FIND("x",Q430)-1))-2)))</f>
        <v>25.5</v>
      </c>
    </row>
    <row r="431" spans="1:19" x14ac:dyDescent="0.25">
      <c r="A431" t="s">
        <v>1506</v>
      </c>
      <c r="B431" t="s">
        <v>441</v>
      </c>
      <c r="E431" t="s">
        <v>2640</v>
      </c>
      <c r="H431" t="s">
        <v>2669</v>
      </c>
      <c r="L431" t="s">
        <v>2684</v>
      </c>
      <c r="M431" t="s">
        <v>2680</v>
      </c>
      <c r="N431" t="s">
        <v>2681</v>
      </c>
      <c r="O431" t="s">
        <v>2776</v>
      </c>
      <c r="Q431" t="s">
        <v>3298</v>
      </c>
      <c r="R431" s="52">
        <f>_xlfn.NUMBERVALUE(convertNumberStringPointToNumberComma(LEFT(Q431,FIND("x",Q431)-2)))</f>
        <v>63</v>
      </c>
      <c r="S431" s="52">
        <f>_xlfn.NUMBERVALUE(convertNumberStringPointToNumberComma(LEFT(RIGHT(Q431,LEN(Q431)-FIND("x",Q431)-1),LEN(RIGHT(Q431,LEN(Q431)-FIND("x",Q431)-1))-2)))</f>
        <v>25.5</v>
      </c>
    </row>
    <row r="432" spans="1:19" x14ac:dyDescent="0.25">
      <c r="A432" t="s">
        <v>1333</v>
      </c>
      <c r="B432" t="s">
        <v>459</v>
      </c>
      <c r="E432" t="s">
        <v>2659</v>
      </c>
      <c r="H432" t="s">
        <v>2667</v>
      </c>
      <c r="L432" t="s">
        <v>2706</v>
      </c>
      <c r="M432" t="s">
        <v>2802</v>
      </c>
      <c r="N432" t="s">
        <v>903</v>
      </c>
      <c r="O432" t="s">
        <v>2875</v>
      </c>
      <c r="Q432" t="s">
        <v>3436</v>
      </c>
      <c r="R432" s="52">
        <f>_xlfn.NUMBERVALUE(convertNumberStringPointToNumberComma(LEFT(Q432,FIND("x",Q432)-2)))</f>
        <v>63</v>
      </c>
      <c r="S432" s="52">
        <f>_xlfn.NUMBERVALUE(convertNumberStringPointToNumberComma(LEFT(RIGHT(Q432,LEN(Q432)-FIND("x",Q432)-1),LEN(RIGHT(Q432,LEN(Q432)-FIND("x",Q432)-1))-2)))</f>
        <v>25</v>
      </c>
    </row>
    <row r="433" spans="1:19" x14ac:dyDescent="0.25">
      <c r="A433" t="s">
        <v>1536</v>
      </c>
      <c r="B433" t="s">
        <v>459</v>
      </c>
      <c r="E433" t="s">
        <v>2659</v>
      </c>
      <c r="H433" t="s">
        <v>2667</v>
      </c>
      <c r="L433" t="s">
        <v>2706</v>
      </c>
      <c r="M433" t="s">
        <v>2802</v>
      </c>
      <c r="N433" t="s">
        <v>903</v>
      </c>
      <c r="O433" t="s">
        <v>2928</v>
      </c>
      <c r="Q433" t="s">
        <v>3436</v>
      </c>
      <c r="R433" s="52">
        <f>_xlfn.NUMBERVALUE(convertNumberStringPointToNumberComma(LEFT(Q433,FIND("x",Q433)-2)))</f>
        <v>63</v>
      </c>
      <c r="S433" s="52">
        <f>_xlfn.NUMBERVALUE(convertNumberStringPointToNumberComma(LEFT(RIGHT(Q433,LEN(Q433)-FIND("x",Q433)-1),LEN(RIGHT(Q433,LEN(Q433)-FIND("x",Q433)-1))-2)))</f>
        <v>25</v>
      </c>
    </row>
    <row r="434" spans="1:19" x14ac:dyDescent="0.25">
      <c r="A434" t="s">
        <v>1537</v>
      </c>
      <c r="B434" t="s">
        <v>459</v>
      </c>
      <c r="E434" t="s">
        <v>2659</v>
      </c>
      <c r="H434" t="s">
        <v>2667</v>
      </c>
      <c r="L434" t="s">
        <v>2706</v>
      </c>
      <c r="M434" t="s">
        <v>2802</v>
      </c>
      <c r="N434" t="s">
        <v>903</v>
      </c>
      <c r="O434" t="s">
        <v>2928</v>
      </c>
      <c r="Q434" t="s">
        <v>3436</v>
      </c>
      <c r="R434" s="52">
        <f>_xlfn.NUMBERVALUE(convertNumberStringPointToNumberComma(LEFT(Q434,FIND("x",Q434)-2)))</f>
        <v>63</v>
      </c>
      <c r="S434" s="52">
        <f>_xlfn.NUMBERVALUE(convertNumberStringPointToNumberComma(LEFT(RIGHT(Q434,LEN(Q434)-FIND("x",Q434)-1),LEN(RIGHT(Q434,LEN(Q434)-FIND("x",Q434)-1))-2)))</f>
        <v>25</v>
      </c>
    </row>
    <row r="435" spans="1:19" x14ac:dyDescent="0.25">
      <c r="A435" t="s">
        <v>1529</v>
      </c>
      <c r="B435" t="s">
        <v>793</v>
      </c>
      <c r="E435" t="s">
        <v>2656</v>
      </c>
      <c r="H435" t="s">
        <v>2667</v>
      </c>
      <c r="L435" t="s">
        <v>2753</v>
      </c>
      <c r="M435" t="s">
        <v>2802</v>
      </c>
      <c r="N435" t="s">
        <v>903</v>
      </c>
      <c r="O435" t="s">
        <v>2925</v>
      </c>
      <c r="Q435" t="s">
        <v>3539</v>
      </c>
      <c r="R435" s="52">
        <f>_xlfn.NUMBERVALUE(convertNumberStringPointToNumberComma(LEFT(Q435,FIND("x",Q435)-2)))</f>
        <v>63</v>
      </c>
      <c r="S435" s="52">
        <f>_xlfn.NUMBERVALUE(convertNumberStringPointToNumberComma(LEFT(RIGHT(Q435,LEN(Q435)-FIND("x",Q435)-1),LEN(RIGHT(Q435,LEN(Q435)-FIND("x",Q435)-1))-2)))</f>
        <v>26</v>
      </c>
    </row>
    <row r="436" spans="1:19" x14ac:dyDescent="0.25">
      <c r="A436" t="s">
        <v>1530</v>
      </c>
      <c r="B436" t="s">
        <v>793</v>
      </c>
      <c r="E436" t="s">
        <v>2656</v>
      </c>
      <c r="H436" t="s">
        <v>2667</v>
      </c>
      <c r="L436" t="s">
        <v>2753</v>
      </c>
      <c r="M436" t="s">
        <v>2802</v>
      </c>
      <c r="N436" t="s">
        <v>903</v>
      </c>
      <c r="O436" t="s">
        <v>2925</v>
      </c>
      <c r="Q436" t="s">
        <v>3539</v>
      </c>
      <c r="R436" s="52">
        <f>_xlfn.NUMBERVALUE(convertNumberStringPointToNumberComma(LEFT(Q436,FIND("x",Q436)-2)))</f>
        <v>63</v>
      </c>
      <c r="S436" s="52">
        <f>_xlfn.NUMBERVALUE(convertNumberStringPointToNumberComma(LEFT(RIGHT(Q436,LEN(Q436)-FIND("x",Q436)-1),LEN(RIGHT(Q436,LEN(Q436)-FIND("x",Q436)-1))-2)))</f>
        <v>26</v>
      </c>
    </row>
    <row r="437" spans="1:19" x14ac:dyDescent="0.25">
      <c r="A437" t="s">
        <v>2098</v>
      </c>
      <c r="B437" t="s">
        <v>1116</v>
      </c>
      <c r="E437" t="s">
        <v>2638</v>
      </c>
      <c r="H437" t="s">
        <v>318</v>
      </c>
      <c r="L437" t="s">
        <v>3065</v>
      </c>
      <c r="M437" t="s">
        <v>3066</v>
      </c>
      <c r="N437" t="s">
        <v>903</v>
      </c>
      <c r="O437" t="s">
        <v>3067</v>
      </c>
      <c r="Q437" t="s">
        <v>3835</v>
      </c>
      <c r="R437" s="52">
        <f>_xlfn.NUMBERVALUE(convertNumberStringPointToNumberComma(LEFT(Q437,FIND("x",Q437)-2)))</f>
        <v>63</v>
      </c>
      <c r="S437" s="52">
        <f>_xlfn.NUMBERVALUE(convertNumberStringPointToNumberComma(LEFT(RIGHT(Q437,LEN(Q437)-FIND("x",Q437)-1),LEN(RIGHT(Q437,LEN(Q437)-FIND("x",Q437)-1))-2)))</f>
        <v>37</v>
      </c>
    </row>
    <row r="438" spans="1:19" x14ac:dyDescent="0.25">
      <c r="A438" t="s">
        <v>1260</v>
      </c>
      <c r="B438" t="s">
        <v>678</v>
      </c>
      <c r="C438" s="5">
        <f>convertNumberStringPointToNumberComma(IFERROR(LEFT(B438,(FIND("-",B438)-1)),LEFT(B438,FIND("mm",B438)-1)))</f>
        <v>50</v>
      </c>
      <c r="D438" s="5">
        <f>convertNumberStringPointToNumberComma(IFERROR(RIGHT(LEFT(B438,FIND("m",B438)-1),LEN(LEFT(B438,FIND("m",B438)-1))-FIND("-",LEFT(B438,FIND("m",B438)-1))-1),C438))</f>
        <v>50</v>
      </c>
      <c r="E438" t="s">
        <v>2635</v>
      </c>
      <c r="F438" s="9">
        <f>convertNumberStringPointToNumberComma(LEFT(MID(E438,3,9),IFERROR(FIND("-",MID(E438,3,9))-2,3)))</f>
        <v>1.8</v>
      </c>
      <c r="G438" s="9">
        <f>convertNumberStringPointToNumberComma(RIGHT(E438,IF(ISERROR(FIND(".",RIGHT(E438,3))),2,3)))</f>
        <v>1.8</v>
      </c>
      <c r="H438" t="s">
        <v>318</v>
      </c>
      <c r="I438" s="2" t="str">
        <f>IF(H438="none",0,LEFT(H438,LEN(H438)-2))</f>
        <v>52</v>
      </c>
      <c r="J438" s="2" t="s">
        <v>906</v>
      </c>
      <c r="K438" s="10">
        <f>IF(J438="",0,convertNumberStringPointToNumberComma(LEFT(J438,LEN(J438)-1)))</f>
        <v>0.35</v>
      </c>
      <c r="L438" t="s">
        <v>2686</v>
      </c>
      <c r="M438" t="s">
        <v>2802</v>
      </c>
      <c r="N438" t="s">
        <v>903</v>
      </c>
      <c r="O438" t="s">
        <v>2859</v>
      </c>
      <c r="P438" s="2" t="str">
        <f>LEFT(O438,LEN(O438)-1)</f>
        <v>122</v>
      </c>
      <c r="Q438" t="s">
        <v>3398</v>
      </c>
      <c r="R438" s="52">
        <f>_xlfn.NUMBERVALUE(convertNumberStringPointToNumberComma(LEFT(Q438,FIND("x",Q438)-2)))</f>
        <v>63</v>
      </c>
      <c r="S438" s="52">
        <f>_xlfn.NUMBERVALUE(convertNumberStringPointToNumberComma(LEFT(RIGHT(Q438,LEN(Q438)-FIND("x",Q438)-1),LEN(RIGHT(Q438,LEN(Q438)-FIND("x",Q438)-1))-2)))</f>
        <v>38.5</v>
      </c>
    </row>
    <row r="439" spans="1:19" x14ac:dyDescent="0.25">
      <c r="A439" t="s">
        <v>1374</v>
      </c>
      <c r="B439" t="s">
        <v>222</v>
      </c>
      <c r="E439" t="s">
        <v>2633</v>
      </c>
      <c r="H439" t="s">
        <v>2667</v>
      </c>
      <c r="L439" t="s">
        <v>2686</v>
      </c>
      <c r="M439" t="s">
        <v>2802</v>
      </c>
      <c r="N439" t="s">
        <v>903</v>
      </c>
      <c r="O439" t="s">
        <v>2886</v>
      </c>
      <c r="Q439" t="s">
        <v>3457</v>
      </c>
      <c r="R439" s="52">
        <f>_xlfn.NUMBERVALUE(convertNumberStringPointToNumberComma(LEFT(Q439,FIND("x",Q439)-2)))</f>
        <v>63</v>
      </c>
      <c r="S439" s="52">
        <f>_xlfn.NUMBERVALUE(convertNumberStringPointToNumberComma(LEFT(RIGHT(Q439,LEN(Q439)-FIND("x",Q439)-1),LEN(RIGHT(Q439,LEN(Q439)-FIND("x",Q439)-1))-2)))</f>
        <v>39.5</v>
      </c>
    </row>
    <row r="440" spans="1:19" x14ac:dyDescent="0.25">
      <c r="A440" t="s">
        <v>1538</v>
      </c>
      <c r="B440" t="s">
        <v>222</v>
      </c>
      <c r="E440" t="s">
        <v>2633</v>
      </c>
      <c r="H440" t="s">
        <v>2667</v>
      </c>
      <c r="L440" t="s">
        <v>2686</v>
      </c>
      <c r="M440" t="s">
        <v>2802</v>
      </c>
      <c r="N440" t="s">
        <v>903</v>
      </c>
      <c r="O440" t="s">
        <v>2929</v>
      </c>
      <c r="Q440" t="s">
        <v>3457</v>
      </c>
      <c r="R440" s="52">
        <f>_xlfn.NUMBERVALUE(convertNumberStringPointToNumberComma(LEFT(Q440,FIND("x",Q440)-2)))</f>
        <v>63</v>
      </c>
      <c r="S440" s="52">
        <f>_xlfn.NUMBERVALUE(convertNumberStringPointToNumberComma(LEFT(RIGHT(Q440,LEN(Q440)-FIND("x",Q440)-1),LEN(RIGHT(Q440,LEN(Q440)-FIND("x",Q440)-1))-2)))</f>
        <v>39.5</v>
      </c>
    </row>
    <row r="441" spans="1:19" x14ac:dyDescent="0.25">
      <c r="A441" t="s">
        <v>1539</v>
      </c>
      <c r="B441" t="s">
        <v>222</v>
      </c>
      <c r="E441" t="s">
        <v>2633</v>
      </c>
      <c r="H441" t="s">
        <v>2667</v>
      </c>
      <c r="L441" t="s">
        <v>2686</v>
      </c>
      <c r="M441" t="s">
        <v>2802</v>
      </c>
      <c r="N441" t="s">
        <v>903</v>
      </c>
      <c r="O441" t="s">
        <v>2929</v>
      </c>
      <c r="Q441" t="s">
        <v>3457</v>
      </c>
      <c r="R441" s="52">
        <f>_xlfn.NUMBERVALUE(convertNumberStringPointToNumberComma(LEFT(Q441,FIND("x",Q441)-2)))</f>
        <v>63</v>
      </c>
      <c r="S441" s="52">
        <f>_xlfn.NUMBERVALUE(convertNumberStringPointToNumberComma(LEFT(RIGHT(Q441,LEN(Q441)-FIND("x",Q441)-1),LEN(RIGHT(Q441,LEN(Q441)-FIND("x",Q441)-1))-2)))</f>
        <v>39.5</v>
      </c>
    </row>
    <row r="442" spans="1:19" x14ac:dyDescent="0.25">
      <c r="A442" t="s">
        <v>2467</v>
      </c>
      <c r="B442" t="s">
        <v>678</v>
      </c>
      <c r="E442" t="s">
        <v>2635</v>
      </c>
      <c r="H442" t="s">
        <v>318</v>
      </c>
      <c r="L442" t="s">
        <v>2709</v>
      </c>
      <c r="M442" t="s">
        <v>8</v>
      </c>
      <c r="N442" t="s">
        <v>913</v>
      </c>
      <c r="O442" t="s">
        <v>3174</v>
      </c>
      <c r="Q442" t="s">
        <v>4010</v>
      </c>
      <c r="R442" s="52">
        <f>_xlfn.NUMBERVALUE(convertNumberStringPointToNumberComma(LEFT(Q442,FIND("x",Q442)-2)))</f>
        <v>63</v>
      </c>
      <c r="S442" s="52">
        <f>_xlfn.NUMBERVALUE(convertNumberStringPointToNumberComma(LEFT(RIGHT(Q442,LEN(Q442)-FIND("x",Q442)-1),LEN(RIGHT(Q442,LEN(Q442)-FIND("x",Q442)-1))-2)))</f>
        <v>39</v>
      </c>
    </row>
    <row r="443" spans="1:19" x14ac:dyDescent="0.25">
      <c r="A443" t="s">
        <v>1467</v>
      </c>
      <c r="B443" t="s">
        <v>678</v>
      </c>
      <c r="E443" t="s">
        <v>2643</v>
      </c>
      <c r="H443" t="s">
        <v>318</v>
      </c>
      <c r="M443" t="s">
        <v>8</v>
      </c>
      <c r="N443" t="s">
        <v>913</v>
      </c>
      <c r="O443" t="s">
        <v>2819</v>
      </c>
      <c r="Q443" t="s">
        <v>3510</v>
      </c>
      <c r="R443" s="52">
        <f>_xlfn.NUMBERVALUE(convertNumberStringPointToNumberComma(LEFT(Q443,FIND("x",Q443)-2)))</f>
        <v>63</v>
      </c>
      <c r="S443" s="52">
        <f>_xlfn.NUMBERVALUE(convertNumberStringPointToNumberComma(LEFT(RIGHT(Q443,LEN(Q443)-FIND("x",Q443)-1),LEN(RIGHT(Q443,LEN(Q443)-FIND("x",Q443)-1))-2)))</f>
        <v>40</v>
      </c>
    </row>
    <row r="444" spans="1:19" x14ac:dyDescent="0.25">
      <c r="A444" t="s">
        <v>1809</v>
      </c>
      <c r="B444" t="s">
        <v>552</v>
      </c>
      <c r="E444" t="s">
        <v>2632</v>
      </c>
      <c r="H444" t="s">
        <v>318</v>
      </c>
      <c r="M444" t="s">
        <v>8</v>
      </c>
      <c r="N444" t="s">
        <v>913</v>
      </c>
      <c r="O444" t="s">
        <v>2819</v>
      </c>
      <c r="Q444" t="s">
        <v>3694</v>
      </c>
      <c r="R444" s="52">
        <f>_xlfn.NUMBERVALUE(convertNumberStringPointToNumberComma(LEFT(Q444,FIND("x",Q444)-2)))</f>
        <v>63</v>
      </c>
      <c r="S444" s="52">
        <f>_xlfn.NUMBERVALUE(convertNumberStringPointToNumberComma(LEFT(RIGHT(Q444,LEN(Q444)-FIND("x",Q444)-1),LEN(RIGHT(Q444,LEN(Q444)-FIND("x",Q444)-1))-2)))</f>
        <v>44.5</v>
      </c>
    </row>
    <row r="445" spans="1:19" x14ac:dyDescent="0.25">
      <c r="A445" t="s">
        <v>1533</v>
      </c>
      <c r="B445" t="s">
        <v>592</v>
      </c>
      <c r="E445" t="s">
        <v>2632</v>
      </c>
      <c r="L445" t="s">
        <v>2707</v>
      </c>
      <c r="M445" t="s">
        <v>2802</v>
      </c>
      <c r="N445" t="s">
        <v>903</v>
      </c>
      <c r="O445" t="s">
        <v>2927</v>
      </c>
      <c r="Q445" t="s">
        <v>3541</v>
      </c>
      <c r="R445" s="52">
        <f>_xlfn.NUMBERVALUE(convertNumberStringPointToNumberComma(LEFT(Q445,FIND("x",Q445)-2)))</f>
        <v>63</v>
      </c>
      <c r="S445" s="52">
        <f>_xlfn.NUMBERVALUE(convertNumberStringPointToNumberComma(LEFT(RIGHT(Q445,LEN(Q445)-FIND("x",Q445)-1),LEN(RIGHT(Q445,LEN(Q445)-FIND("x",Q445)-1))-2)))</f>
        <v>46.5</v>
      </c>
    </row>
    <row r="446" spans="1:19" x14ac:dyDescent="0.25">
      <c r="A446" t="s">
        <v>1029</v>
      </c>
      <c r="B446" t="s">
        <v>526</v>
      </c>
      <c r="C446" s="5">
        <f>convertNumberStringPointToNumberComma(IFERROR(LEFT(B446,(FIND("-",B446)-1)),LEFT(B446,FIND("mm",B446)-1)))</f>
        <v>25</v>
      </c>
      <c r="D446" s="5">
        <f>convertNumberStringPointToNumberComma(IFERROR(RIGHT(LEFT(B446,FIND("m",B446)-1),LEN(LEFT(B446,FIND("m",B446)-1))-FIND("-",LEFT(B446,FIND("m",B446)-1))-1),C446))</f>
        <v>25</v>
      </c>
      <c r="E446" t="s">
        <v>2643</v>
      </c>
      <c r="F446" s="9">
        <f>convertNumberStringPointToNumberComma(LEFT(MID(E446,3,9),IFERROR(FIND("-",MID(E446,3,9))-2,3)))</f>
        <v>1.4</v>
      </c>
      <c r="G446" s="9">
        <f>convertNumberStringPointToNumberComma(RIGHT(E446,IF(ISERROR(FIND(".",RIGHT(E446,3))),1,3)))</f>
        <v>1.4</v>
      </c>
      <c r="H446" t="s">
        <v>2669</v>
      </c>
      <c r="I446" s="5" t="str">
        <f>IF(H446="none",0,LEFT(H446,LEN(H446)-2))</f>
        <v>46</v>
      </c>
      <c r="J446" s="5" t="s">
        <v>391</v>
      </c>
      <c r="K446" s="10">
        <f>IF(J446="",0,convertNumberStringPointToNumberComma(LEFT(J446,LEN(J446)-1)))</f>
        <v>0.36</v>
      </c>
      <c r="L446" t="s">
        <v>2692</v>
      </c>
      <c r="M446" t="s">
        <v>2680</v>
      </c>
      <c r="N446" t="s">
        <v>2681</v>
      </c>
      <c r="O446" t="s">
        <v>597</v>
      </c>
      <c r="P446" s="5" t="str">
        <f>LEFT(O446,LEN(O446)-1)</f>
        <v>200</v>
      </c>
      <c r="Q446" t="s">
        <v>3272</v>
      </c>
      <c r="R446" s="52">
        <f>_xlfn.NUMBERVALUE(convertNumberStringPointToNumberComma(LEFT(Q446,FIND("x",Q446)-2)))</f>
        <v>63</v>
      </c>
      <c r="S446" s="52">
        <f>_xlfn.NUMBERVALUE(convertNumberStringPointToNumberComma(LEFT(RIGHT(Q446,LEN(Q446)-FIND("x",Q446)-1),LEN(RIGHT(Q446,LEN(Q446)-FIND("x",Q446)-1))-2)))</f>
        <v>54.5</v>
      </c>
    </row>
    <row r="447" spans="1:19" x14ac:dyDescent="0.25">
      <c r="A447" t="s">
        <v>2099</v>
      </c>
      <c r="B447" t="s">
        <v>2100</v>
      </c>
      <c r="E447" t="s">
        <v>2639</v>
      </c>
      <c r="H447" t="s">
        <v>318</v>
      </c>
      <c r="L447" t="s">
        <v>2840</v>
      </c>
      <c r="M447" t="s">
        <v>3066</v>
      </c>
      <c r="N447" t="s">
        <v>903</v>
      </c>
      <c r="O447" t="s">
        <v>3068</v>
      </c>
      <c r="Q447" t="s">
        <v>3836</v>
      </c>
      <c r="R447" s="52">
        <f>_xlfn.NUMBERVALUE(convertNumberStringPointToNumberComma(LEFT(Q447,FIND("x",Q447)-2)))</f>
        <v>63</v>
      </c>
      <c r="S447" s="52">
        <f>_xlfn.NUMBERVALUE(convertNumberStringPointToNumberComma(LEFT(RIGHT(Q447,LEN(Q447)-FIND("x",Q447)-1),LEN(RIGHT(Q447,LEN(Q447)-FIND("x",Q447)-1))-2)))</f>
        <v>60</v>
      </c>
    </row>
    <row r="448" spans="1:19" x14ac:dyDescent="0.25">
      <c r="A448" t="s">
        <v>2127</v>
      </c>
      <c r="B448" t="s">
        <v>592</v>
      </c>
      <c r="E448" t="s">
        <v>2663</v>
      </c>
      <c r="H448" t="s">
        <v>62</v>
      </c>
      <c r="M448" t="s">
        <v>2674</v>
      </c>
      <c r="N448" t="s">
        <v>903</v>
      </c>
      <c r="O448" t="s">
        <v>33</v>
      </c>
      <c r="Q448" t="s">
        <v>3836</v>
      </c>
      <c r="R448" s="52">
        <f>_xlfn.NUMBERVALUE(convertNumberStringPointToNumberComma(LEFT(Q448,FIND("x",Q448)-2)))</f>
        <v>63</v>
      </c>
      <c r="S448" s="52">
        <f>_xlfn.NUMBERVALUE(convertNumberStringPointToNumberComma(LEFT(RIGHT(Q448,LEN(Q448)-FIND("x",Q448)-1),LEN(RIGHT(Q448,LEN(Q448)-FIND("x",Q448)-1))-2)))</f>
        <v>60</v>
      </c>
    </row>
    <row r="449" spans="1:19" x14ac:dyDescent="0.25">
      <c r="A449" t="s">
        <v>1390</v>
      </c>
      <c r="B449" t="s">
        <v>1391</v>
      </c>
      <c r="E449" t="s">
        <v>2639</v>
      </c>
      <c r="M449" t="s">
        <v>2680</v>
      </c>
      <c r="N449" t="s">
        <v>2681</v>
      </c>
      <c r="O449" t="s">
        <v>2727</v>
      </c>
      <c r="Q449" t="s">
        <v>3467</v>
      </c>
      <c r="R449" s="52">
        <f>_xlfn.NUMBERVALUE(convertNumberStringPointToNumberComma(LEFT(Q449,FIND("x",Q449)-2)))</f>
        <v>63</v>
      </c>
      <c r="S449" s="52">
        <f>_xlfn.NUMBERVALUE(convertNumberStringPointToNumberComma(LEFT(RIGHT(Q449,LEN(Q449)-FIND("x",Q449)-1),LEN(RIGHT(Q449,LEN(Q449)-FIND("x",Q449)-1))-2)))</f>
        <v>62.5</v>
      </c>
    </row>
    <row r="450" spans="1:19" x14ac:dyDescent="0.25">
      <c r="A450" t="s">
        <v>1392</v>
      </c>
      <c r="B450" t="s">
        <v>635</v>
      </c>
      <c r="E450" t="s">
        <v>2632</v>
      </c>
      <c r="L450" t="s">
        <v>2707</v>
      </c>
      <c r="M450" t="s">
        <v>2680</v>
      </c>
      <c r="N450" t="s">
        <v>2681</v>
      </c>
      <c r="O450" t="s">
        <v>2727</v>
      </c>
      <c r="Q450" t="s">
        <v>3467</v>
      </c>
      <c r="R450" s="52">
        <f>_xlfn.NUMBERVALUE(convertNumberStringPointToNumberComma(LEFT(Q450,FIND("x",Q450)-2)))</f>
        <v>63</v>
      </c>
      <c r="S450" s="52">
        <f>_xlfn.NUMBERVALUE(convertNumberStringPointToNumberComma(LEFT(RIGHT(Q450,LEN(Q450)-FIND("x",Q450)-1),LEN(RIGHT(Q450,LEN(Q450)-FIND("x",Q450)-1))-2)))</f>
        <v>62.5</v>
      </c>
    </row>
    <row r="451" spans="1:19" x14ac:dyDescent="0.25">
      <c r="A451" t="s">
        <v>2588</v>
      </c>
      <c r="B451" t="s">
        <v>43</v>
      </c>
      <c r="E451" t="s">
        <v>2632</v>
      </c>
      <c r="H451" t="s">
        <v>318</v>
      </c>
      <c r="L451" t="s">
        <v>2698</v>
      </c>
      <c r="M451" t="s">
        <v>8</v>
      </c>
      <c r="N451" t="s">
        <v>903</v>
      </c>
      <c r="O451" t="s">
        <v>716</v>
      </c>
      <c r="Q451" t="s">
        <v>3467</v>
      </c>
      <c r="R451" s="52">
        <f>_xlfn.NUMBERVALUE(convertNumberStringPointToNumberComma(LEFT(Q451,FIND("x",Q451)-2)))</f>
        <v>63</v>
      </c>
      <c r="S451" s="52">
        <f>_xlfn.NUMBERVALUE(convertNumberStringPointToNumberComma(LEFT(RIGHT(Q451,LEN(Q451)-FIND("x",Q451)-1),LEN(RIGHT(Q451,LEN(Q451)-FIND("x",Q451)-1))-2)))</f>
        <v>62.5</v>
      </c>
    </row>
    <row r="452" spans="1:19" x14ac:dyDescent="0.25">
      <c r="A452" t="s">
        <v>1369</v>
      </c>
      <c r="B452" t="s">
        <v>1036</v>
      </c>
      <c r="E452" t="s">
        <v>2639</v>
      </c>
      <c r="L452" t="s">
        <v>2883</v>
      </c>
      <c r="M452" t="s">
        <v>2804</v>
      </c>
      <c r="N452" t="s">
        <v>903</v>
      </c>
      <c r="O452" t="s">
        <v>2884</v>
      </c>
      <c r="Q452" t="s">
        <v>3454</v>
      </c>
      <c r="R452" s="52">
        <f>_xlfn.NUMBERVALUE(convertNumberStringPointToNumberComma(LEFT(Q452,FIND("x",Q452)-2)))</f>
        <v>63</v>
      </c>
      <c r="S452" s="52">
        <f>_xlfn.NUMBERVALUE(convertNumberStringPointToNumberComma(LEFT(RIGHT(Q452,LEN(Q452)-FIND("x",Q452)-1),LEN(RIGHT(Q452,LEN(Q452)-FIND("x",Q452)-1))-2)))</f>
        <v>65.099999999999994</v>
      </c>
    </row>
    <row r="453" spans="1:19" x14ac:dyDescent="0.25">
      <c r="A453" t="s">
        <v>2507</v>
      </c>
      <c r="B453" t="s">
        <v>505</v>
      </c>
      <c r="E453" t="s">
        <v>2635</v>
      </c>
      <c r="H453" t="s">
        <v>2667</v>
      </c>
      <c r="L453" t="s">
        <v>2728</v>
      </c>
      <c r="M453" t="s">
        <v>2674</v>
      </c>
      <c r="N453" t="s">
        <v>903</v>
      </c>
      <c r="O453" t="s">
        <v>2727</v>
      </c>
      <c r="Q453" t="s">
        <v>4025</v>
      </c>
      <c r="R453" s="52">
        <f>_xlfn.NUMBERVALUE(convertNumberStringPointToNumberComma(LEFT(Q453,FIND("x",Q453)-2)))</f>
        <v>63</v>
      </c>
      <c r="S453" s="52">
        <f>_xlfn.NUMBERVALUE(convertNumberStringPointToNumberComma(LEFT(RIGHT(Q453,LEN(Q453)-FIND("x",Q453)-1),LEN(RIGHT(Q453,LEN(Q453)-FIND("x",Q453)-1))-2)))</f>
        <v>65.5</v>
      </c>
    </row>
    <row r="454" spans="1:19" x14ac:dyDescent="0.25">
      <c r="A454" t="s">
        <v>2507</v>
      </c>
      <c r="B454" t="s">
        <v>505</v>
      </c>
      <c r="E454" t="s">
        <v>2635</v>
      </c>
      <c r="H454" t="s">
        <v>2667</v>
      </c>
      <c r="L454" t="s">
        <v>2728</v>
      </c>
      <c r="M454" t="s">
        <v>2674</v>
      </c>
      <c r="N454" t="s">
        <v>903</v>
      </c>
      <c r="O454" t="s">
        <v>2727</v>
      </c>
      <c r="Q454" t="s">
        <v>4025</v>
      </c>
      <c r="R454" s="52">
        <f>_xlfn.NUMBERVALUE(convertNumberStringPointToNumberComma(LEFT(Q454,FIND("x",Q454)-2)))</f>
        <v>63</v>
      </c>
      <c r="S454" s="52">
        <f>_xlfn.NUMBERVALUE(convertNumberStringPointToNumberComma(LEFT(RIGHT(Q454,LEN(Q454)-FIND("x",Q454)-1),LEN(RIGHT(Q454,LEN(Q454)-FIND("x",Q454)-1))-2)))</f>
        <v>65.5</v>
      </c>
    </row>
    <row r="455" spans="1:19" x14ac:dyDescent="0.25">
      <c r="A455" t="s">
        <v>2376</v>
      </c>
      <c r="B455" t="s">
        <v>592</v>
      </c>
      <c r="E455" t="s">
        <v>2648</v>
      </c>
      <c r="M455" t="s">
        <v>2818</v>
      </c>
      <c r="N455" t="s">
        <v>2959</v>
      </c>
      <c r="O455" t="s">
        <v>312</v>
      </c>
      <c r="Q455" t="s">
        <v>3932</v>
      </c>
      <c r="R455" s="52">
        <f>_xlfn.NUMBERVALUE(convertNumberStringPointToNumberComma(LEFT(Q455,FIND("x",Q455)-2)))</f>
        <v>63</v>
      </c>
      <c r="S455" s="52">
        <f>_xlfn.NUMBERVALUE(convertNumberStringPointToNumberComma(LEFT(RIGHT(Q455,LEN(Q455)-FIND("x",Q455)-1),LEN(RIGHT(Q455,LEN(Q455)-FIND("x",Q455)-1))-2)))</f>
        <v>77.8</v>
      </c>
    </row>
    <row r="456" spans="1:19" x14ac:dyDescent="0.25">
      <c r="A456" t="s">
        <v>1117</v>
      </c>
      <c r="B456" t="s">
        <v>1118</v>
      </c>
      <c r="C456" s="5">
        <f>convertNumberStringPointToNumberComma(IFERROR(LEFT(B456,(FIND("-",B456)-1)),LEFT(B456,FIND("mm",B456)-1)))</f>
        <v>14</v>
      </c>
      <c r="D456" s="5">
        <f>convertNumberStringPointToNumberComma(IFERROR(RIGHT(LEFT(B456,FIND("m",B456)-1),LEN(LEFT(B456,FIND("m",B456)-1))-FIND("-",LEFT(B456,FIND("m",B456)-1))-1),C456))</f>
        <v>50</v>
      </c>
      <c r="E456" t="s">
        <v>2653</v>
      </c>
      <c r="F456" s="9">
        <f>convertNumberStringPointToNumberComma(LEFT(MID(E456,3,9),IFERROR(FIND("-",MID(E456,3,9))-2,3)))</f>
        <v>3</v>
      </c>
      <c r="G456" s="9">
        <f>convertNumberStringPointToNumberComma(RIGHT(E456,IF(ISERROR(FIND(".",RIGHT(E456,3))),1,3)))</f>
        <v>5.8</v>
      </c>
      <c r="H456" t="s">
        <v>318</v>
      </c>
      <c r="I456" s="5" t="str">
        <f>IF(H456="none",0,LEFT(H456,LEN(H456)-2))</f>
        <v>52</v>
      </c>
      <c r="J456" s="5" t="s">
        <v>22</v>
      </c>
      <c r="K456" s="10">
        <f>IF(J456="",0,convertNumberStringPointToNumberComma(LEFT(J456,LEN(J456)-1)))</f>
        <v>0.15</v>
      </c>
      <c r="L456" t="s">
        <v>2797</v>
      </c>
      <c r="M456" t="s">
        <v>2680</v>
      </c>
      <c r="N456" t="s">
        <v>2681</v>
      </c>
      <c r="O456" t="s">
        <v>632</v>
      </c>
      <c r="P456" s="5" t="str">
        <f>LEFT(O456,LEN(O456)-1)</f>
        <v>280</v>
      </c>
      <c r="Q456" t="s">
        <v>3318</v>
      </c>
      <c r="R456" s="52">
        <f>_xlfn.NUMBERVALUE(convertNumberStringPointToNumberComma(LEFT(Q456,FIND("x",Q456)-2)))</f>
        <v>63</v>
      </c>
      <c r="S456" s="52">
        <f>_xlfn.NUMBERVALUE(convertNumberStringPointToNumberComma(LEFT(RIGHT(Q456,LEN(Q456)-FIND("x",Q456)-1),LEN(RIGHT(Q456,LEN(Q456)-FIND("x",Q456)-1))-2)))</f>
        <v>85.2</v>
      </c>
    </row>
    <row r="457" spans="1:19" x14ac:dyDescent="0.25">
      <c r="A457" t="s">
        <v>2534</v>
      </c>
      <c r="B457" t="s">
        <v>1118</v>
      </c>
      <c r="E457" t="s">
        <v>2653</v>
      </c>
      <c r="H457" t="s">
        <v>318</v>
      </c>
      <c r="L457" t="s">
        <v>2797</v>
      </c>
      <c r="M457" t="s">
        <v>2680</v>
      </c>
      <c r="N457" t="s">
        <v>2681</v>
      </c>
      <c r="O457" t="s">
        <v>632</v>
      </c>
      <c r="Q457" t="s">
        <v>3318</v>
      </c>
      <c r="R457" s="52">
        <f>_xlfn.NUMBERVALUE(convertNumberStringPointToNumberComma(LEFT(Q457,FIND("x",Q457)-2)))</f>
        <v>63</v>
      </c>
      <c r="S457" s="52">
        <f>_xlfn.NUMBERVALUE(convertNumberStringPointToNumberComma(LEFT(RIGHT(Q457,LEN(Q457)-FIND("x",Q457)-1),LEN(RIGHT(Q457,LEN(Q457)-FIND("x",Q457)-1))-2)))</f>
        <v>85.2</v>
      </c>
    </row>
    <row r="458" spans="1:19" x14ac:dyDescent="0.25">
      <c r="A458" t="s">
        <v>1990</v>
      </c>
      <c r="B458" t="s">
        <v>631</v>
      </c>
      <c r="E458" t="s">
        <v>2632</v>
      </c>
      <c r="H458" t="s">
        <v>1310</v>
      </c>
      <c r="L458" t="s">
        <v>2684</v>
      </c>
      <c r="M458" t="s">
        <v>2802</v>
      </c>
      <c r="N458" t="s">
        <v>903</v>
      </c>
      <c r="O458" t="s">
        <v>3053</v>
      </c>
      <c r="Q458" t="s">
        <v>3783</v>
      </c>
      <c r="R458" s="52">
        <f>_xlfn.NUMBERVALUE(convertNumberStringPointToNumberComma(LEFT(Q458,FIND("x",Q458)-2)))</f>
        <v>63</v>
      </c>
      <c r="S458" s="52">
        <f>_xlfn.NUMBERVALUE(convertNumberStringPointToNumberComma(LEFT(RIGHT(Q458,LEN(Q458)-FIND("x",Q458)-1),LEN(RIGHT(Q458,LEN(Q458)-FIND("x",Q458)-1))-2)))</f>
        <v>9.1999999999999993</v>
      </c>
    </row>
    <row r="459" spans="1:19" x14ac:dyDescent="0.25">
      <c r="B459" t="s">
        <v>552</v>
      </c>
      <c r="E459" t="s">
        <v>2632</v>
      </c>
      <c r="H459" t="s">
        <v>318</v>
      </c>
      <c r="L459" t="s">
        <v>2698</v>
      </c>
      <c r="M459" t="s">
        <v>8</v>
      </c>
      <c r="N459" t="s">
        <v>913</v>
      </c>
      <c r="O459" t="s">
        <v>2724</v>
      </c>
      <c r="Q459" t="s">
        <v>3953</v>
      </c>
      <c r="R459" s="52">
        <f>_xlfn.NUMBERVALUE(convertNumberStringPointToNumberComma(LEFT(Q459,FIND("x",Q459)-2)))</f>
        <v>63.3</v>
      </c>
      <c r="S459" s="52">
        <f>_xlfn.NUMBERVALUE(convertNumberStringPointToNumberComma(LEFT(RIGHT(Q459,LEN(Q459)-FIND("x",Q459)-1),LEN(RIGHT(Q459,LEN(Q459)-FIND("x",Q459)-1))-2)))</f>
        <v>24.5</v>
      </c>
    </row>
    <row r="460" spans="1:19" x14ac:dyDescent="0.25">
      <c r="A460" t="s">
        <v>2169</v>
      </c>
      <c r="B460" t="s">
        <v>2170</v>
      </c>
      <c r="E460" t="s">
        <v>2663</v>
      </c>
      <c r="H460" t="s">
        <v>91</v>
      </c>
      <c r="L460" t="s">
        <v>2728</v>
      </c>
      <c r="M460" t="s">
        <v>2680</v>
      </c>
      <c r="N460" t="s">
        <v>2681</v>
      </c>
      <c r="O460" t="s">
        <v>64</v>
      </c>
      <c r="Q460" t="s">
        <v>3856</v>
      </c>
      <c r="R460" s="52">
        <f>_xlfn.NUMBERVALUE(convertNumberStringPointToNumberComma(LEFT(Q460,FIND("x",Q460)-2)))</f>
        <v>63.4</v>
      </c>
      <c r="S460" s="52">
        <f>_xlfn.NUMBERVALUE(convertNumberStringPointToNumberComma(LEFT(RIGHT(Q460,LEN(Q460)-FIND("x",Q460)-1),LEN(RIGHT(Q460,LEN(Q460)-FIND("x",Q460)-1))-2)))</f>
        <v>80</v>
      </c>
    </row>
    <row r="461" spans="1:19" x14ac:dyDescent="0.25">
      <c r="A461" t="s">
        <v>1498</v>
      </c>
      <c r="B461" t="s">
        <v>1499</v>
      </c>
      <c r="E461" t="s">
        <v>2634</v>
      </c>
      <c r="H461" t="s">
        <v>91</v>
      </c>
      <c r="L461" t="s">
        <v>2704</v>
      </c>
      <c r="M461" t="s">
        <v>2680</v>
      </c>
      <c r="N461" t="s">
        <v>2681</v>
      </c>
      <c r="O461" t="s">
        <v>689</v>
      </c>
      <c r="Q461" t="s">
        <v>3525</v>
      </c>
      <c r="R461" s="52">
        <f>_xlfn.NUMBERVALUE(convertNumberStringPointToNumberComma(LEFT(Q461,FIND("x",Q461)-2)))</f>
        <v>63.5</v>
      </c>
      <c r="S461" s="52">
        <f>_xlfn.NUMBERVALUE(convertNumberStringPointToNumberComma(LEFT(RIGHT(Q461,LEN(Q461)-FIND("x",Q461)-1),LEN(RIGHT(Q461,LEN(Q461)-FIND("x",Q461)-1))-2)))</f>
        <v>83</v>
      </c>
    </row>
    <row r="462" spans="1:19" x14ac:dyDescent="0.25">
      <c r="A462" t="s">
        <v>1585</v>
      </c>
      <c r="B462" t="s">
        <v>1499</v>
      </c>
      <c r="E462" t="s">
        <v>2634</v>
      </c>
      <c r="H462" t="s">
        <v>91</v>
      </c>
      <c r="L462" t="s">
        <v>2704</v>
      </c>
      <c r="M462" t="s">
        <v>2680</v>
      </c>
      <c r="N462" t="s">
        <v>2681</v>
      </c>
      <c r="Q462" t="s">
        <v>3525</v>
      </c>
      <c r="R462" s="52">
        <f>_xlfn.NUMBERVALUE(convertNumberStringPointToNumberComma(LEFT(Q462,FIND("x",Q462)-2)))</f>
        <v>63.5</v>
      </c>
      <c r="S462" s="52">
        <f>_xlfn.NUMBERVALUE(convertNumberStringPointToNumberComma(LEFT(RIGHT(Q462,LEN(Q462)-FIND("x",Q462)-1),LEN(RIGHT(Q462,LEN(Q462)-FIND("x",Q462)-1))-2)))</f>
        <v>83</v>
      </c>
    </row>
    <row r="463" spans="1:19" x14ac:dyDescent="0.25">
      <c r="A463" t="s">
        <v>2509</v>
      </c>
      <c r="B463" t="s">
        <v>1118</v>
      </c>
      <c r="E463" t="s">
        <v>2634</v>
      </c>
      <c r="H463" t="s">
        <v>91</v>
      </c>
      <c r="L463" t="s">
        <v>2677</v>
      </c>
      <c r="M463" t="s">
        <v>2680</v>
      </c>
      <c r="N463" t="s">
        <v>2681</v>
      </c>
      <c r="O463" t="s">
        <v>2896</v>
      </c>
      <c r="Q463" t="s">
        <v>3525</v>
      </c>
      <c r="R463" s="52">
        <f>_xlfn.NUMBERVALUE(convertNumberStringPointToNumberComma(LEFT(Q463,FIND("x",Q463)-2)))</f>
        <v>63.5</v>
      </c>
      <c r="S463" s="52">
        <f>_xlfn.NUMBERVALUE(convertNumberStringPointToNumberComma(LEFT(RIGHT(Q463,LEN(Q463)-FIND("x",Q463)-1),LEN(RIGHT(Q463,LEN(Q463)-FIND("x",Q463)-1))-2)))</f>
        <v>83</v>
      </c>
    </row>
    <row r="464" spans="1:19" x14ac:dyDescent="0.25">
      <c r="A464" t="s">
        <v>2532</v>
      </c>
      <c r="B464" t="s">
        <v>1499</v>
      </c>
      <c r="E464" t="s">
        <v>2634</v>
      </c>
      <c r="H464" t="s">
        <v>91</v>
      </c>
      <c r="L464" t="s">
        <v>2704</v>
      </c>
      <c r="M464" t="s">
        <v>2680</v>
      </c>
      <c r="N464" t="s">
        <v>2681</v>
      </c>
      <c r="O464" t="s">
        <v>689</v>
      </c>
      <c r="Q464" t="s">
        <v>3525</v>
      </c>
      <c r="R464" s="52">
        <f>_xlfn.NUMBERVALUE(convertNumberStringPointToNumberComma(LEFT(Q464,FIND("x",Q464)-2)))</f>
        <v>63.5</v>
      </c>
      <c r="S464" s="52">
        <f>_xlfn.NUMBERVALUE(convertNumberStringPointToNumberComma(LEFT(RIGHT(Q464,LEN(Q464)-FIND("x",Q464)-1),LEN(RIGHT(Q464,LEN(Q464)-FIND("x",Q464)-1))-2)))</f>
        <v>83</v>
      </c>
    </row>
    <row r="465" spans="1:19" x14ac:dyDescent="0.25">
      <c r="A465" t="s">
        <v>965</v>
      </c>
      <c r="B465" t="s">
        <v>966</v>
      </c>
      <c r="C465" s="5">
        <f>convertNumberStringPointToNumberComma(IFERROR(LEFT(B465,(FIND("-",B465)-1)),LEFT(B465,FIND("mm",B465)-1)))</f>
        <v>55</v>
      </c>
      <c r="D465" s="5">
        <f>convertNumberStringPointToNumberComma(IFERROR(RIGHT(LEFT(B465,FIND("m",B465)-1),LEN(LEFT(B465,FIND("m",B465)-1))-FIND("-",LEFT(B465,FIND("m",B465)-1))-1),C465))</f>
        <v>10</v>
      </c>
      <c r="E465" t="s">
        <v>2642</v>
      </c>
      <c r="F465" s="9">
        <f>convertNumberStringPointToNumberComma(LEFT(MID(E465,3,9),IFERROR(FIND("-",MID(E465,3,9))-2,3)))</f>
        <v>4</v>
      </c>
      <c r="G465" s="9">
        <f>convertNumberStringPointToNumberComma(RIGHT(E465,IF(ISERROR(FIND(".",RIGHT(E465,3))),1,3)))</f>
        <v>6.3</v>
      </c>
      <c r="H465" t="s">
        <v>2667</v>
      </c>
      <c r="I465" s="5" t="str">
        <f>IF(H465="none",0,LEFT(H465,LEN(H465)-2))</f>
        <v>49</v>
      </c>
      <c r="J465" s="5" t="s">
        <v>40</v>
      </c>
      <c r="K465" s="10">
        <f>IF(J465="",0,convertNumberStringPointToNumberComma(LEFT(J465,LEN(J465)-1)))</f>
        <v>0.2</v>
      </c>
      <c r="L465" t="s">
        <v>2718</v>
      </c>
      <c r="M465" t="s">
        <v>2674</v>
      </c>
      <c r="N465" t="s">
        <v>903</v>
      </c>
      <c r="O465" t="s">
        <v>2719</v>
      </c>
      <c r="P465" s="5" t="str">
        <f>LEFT(O465,LEN(O465)-1)</f>
        <v>345</v>
      </c>
      <c r="Q465" t="s">
        <v>3229</v>
      </c>
      <c r="R465" s="52">
        <f>_xlfn.NUMBERVALUE(convertNumberStringPointToNumberComma(LEFT(Q465,FIND("x",Q465)-2)))</f>
        <v>63.8</v>
      </c>
      <c r="S465" s="52">
        <f>_xlfn.NUMBERVALUE(convertNumberStringPointToNumberComma(LEFT(RIGHT(Q465,LEN(Q465)-FIND("x",Q465)-1),LEN(RIGHT(Q465,LEN(Q465)-FIND("x",Q465)-1))-2)))</f>
        <v>108</v>
      </c>
    </row>
    <row r="466" spans="1:19" x14ac:dyDescent="0.25">
      <c r="A466" t="s">
        <v>1058</v>
      </c>
      <c r="B466" t="s">
        <v>966</v>
      </c>
      <c r="C466" s="5">
        <f>convertNumberStringPointToNumberComma(IFERROR(LEFT(B466,(FIND("-",B466)-1)),LEFT(B466,FIND("mm",B466)-1)))</f>
        <v>55</v>
      </c>
      <c r="D466" s="5">
        <f>convertNumberStringPointToNumberComma(IFERROR(RIGHT(LEFT(B466,FIND("m",B466)-1),LEN(LEFT(B466,FIND("m",B466)-1))-FIND("-",LEFT(B466,FIND("m",B466)-1))-1),C466))</f>
        <v>10</v>
      </c>
      <c r="E466" t="s">
        <v>2642</v>
      </c>
      <c r="F466" s="9">
        <f>convertNumberStringPointToNumberComma(LEFT(MID(E466,3,9),IFERROR(FIND("-",MID(E466,3,9))-2,3)))</f>
        <v>4</v>
      </c>
      <c r="G466" s="9">
        <f>convertNumberStringPointToNumberComma(RIGHT(E466,IF(ISERROR(FIND(".",RIGHT(E466,3))),1,3)))</f>
        <v>6.3</v>
      </c>
      <c r="H466" t="s">
        <v>2667</v>
      </c>
      <c r="I466" s="5" t="str">
        <f>IF(H466="none",0,LEFT(H466,LEN(H466)-2))</f>
        <v>49</v>
      </c>
      <c r="J466" s="5" t="s">
        <v>57</v>
      </c>
      <c r="K466" s="10">
        <f>IF(J466="",0,convertNumberStringPointToNumberComma(LEFT(J466,LEN(J466)-1)))</f>
        <v>0.26</v>
      </c>
      <c r="L466" t="s">
        <v>2718</v>
      </c>
      <c r="M466" t="s">
        <v>2674</v>
      </c>
      <c r="N466" t="s">
        <v>903</v>
      </c>
      <c r="O466" t="s">
        <v>2719</v>
      </c>
      <c r="P466" s="5" t="str">
        <f>LEFT(O466,LEN(O466)-1)</f>
        <v>345</v>
      </c>
      <c r="Q466" t="s">
        <v>3229</v>
      </c>
      <c r="R466" s="52">
        <f>_xlfn.NUMBERVALUE(convertNumberStringPointToNumberComma(LEFT(Q466,FIND("x",Q466)-2)))</f>
        <v>63.8</v>
      </c>
      <c r="S466" s="52">
        <f>_xlfn.NUMBERVALUE(convertNumberStringPointToNumberComma(LEFT(RIGHT(Q466,LEN(Q466)-FIND("x",Q466)-1),LEN(RIGHT(Q466,LEN(Q466)-FIND("x",Q466)-1))-2)))</f>
        <v>108</v>
      </c>
    </row>
    <row r="467" spans="1:19" x14ac:dyDescent="0.25">
      <c r="A467" t="s">
        <v>1811</v>
      </c>
      <c r="B467" t="s">
        <v>526</v>
      </c>
      <c r="E467" t="s">
        <v>2663</v>
      </c>
      <c r="H467" t="s">
        <v>62</v>
      </c>
      <c r="L467" t="s">
        <v>2775</v>
      </c>
      <c r="M467" t="s">
        <v>2763</v>
      </c>
      <c r="N467" t="s">
        <v>903</v>
      </c>
      <c r="O467" t="s">
        <v>64</v>
      </c>
      <c r="Q467" t="s">
        <v>3696</v>
      </c>
      <c r="R467" s="52">
        <f>_xlfn.NUMBERVALUE(convertNumberStringPointToNumberComma(LEFT(Q467,FIND("x",Q467)-2)))</f>
        <v>64</v>
      </c>
      <c r="S467" s="52">
        <f>_xlfn.NUMBERVALUE(convertNumberStringPointToNumberComma(LEFT(RIGHT(Q467,LEN(Q467)-FIND("x",Q467)-1),LEN(RIGHT(Q467,LEN(Q467)-FIND("x",Q467)-1))-2)))</f>
        <v>101</v>
      </c>
    </row>
    <row r="468" spans="1:19" x14ac:dyDescent="0.25">
      <c r="B468" t="s">
        <v>526</v>
      </c>
      <c r="E468" t="s">
        <v>2663</v>
      </c>
      <c r="H468" t="s">
        <v>62</v>
      </c>
      <c r="L468" t="s">
        <v>2775</v>
      </c>
      <c r="M468" t="s">
        <v>2782</v>
      </c>
      <c r="N468" t="s">
        <v>903</v>
      </c>
      <c r="O468" t="s">
        <v>64</v>
      </c>
      <c r="Q468" t="s">
        <v>3696</v>
      </c>
      <c r="R468" s="52">
        <f>_xlfn.NUMBERVALUE(convertNumberStringPointToNumberComma(LEFT(Q468,FIND("x",Q468)-2)))</f>
        <v>64</v>
      </c>
      <c r="S468" s="52">
        <f>_xlfn.NUMBERVALUE(convertNumberStringPointToNumberComma(LEFT(RIGHT(Q468,LEN(Q468)-FIND("x",Q468)-1),LEN(RIGHT(Q468,LEN(Q468)-FIND("x",Q468)-1))-2)))</f>
        <v>101</v>
      </c>
    </row>
    <row r="469" spans="1:19" x14ac:dyDescent="0.25">
      <c r="B469" t="s">
        <v>526</v>
      </c>
      <c r="E469" t="s">
        <v>2663</v>
      </c>
      <c r="H469" t="s">
        <v>62</v>
      </c>
      <c r="L469" t="s">
        <v>2775</v>
      </c>
      <c r="M469" t="s">
        <v>2674</v>
      </c>
      <c r="N469" t="s">
        <v>903</v>
      </c>
      <c r="O469" t="s">
        <v>64</v>
      </c>
      <c r="Q469" t="s">
        <v>3696</v>
      </c>
      <c r="R469" s="52">
        <f>_xlfn.NUMBERVALUE(convertNumberStringPointToNumberComma(LEFT(Q469,FIND("x",Q469)-2)))</f>
        <v>64</v>
      </c>
      <c r="S469" s="52">
        <f>_xlfn.NUMBERVALUE(convertNumberStringPointToNumberComma(LEFT(RIGHT(Q469,LEN(Q469)-FIND("x",Q469)-1),LEN(RIGHT(Q469,LEN(Q469)-FIND("x",Q469)-1))-2)))</f>
        <v>101</v>
      </c>
    </row>
    <row r="470" spans="1:19" x14ac:dyDescent="0.25">
      <c r="B470" t="s">
        <v>526</v>
      </c>
      <c r="E470" t="s">
        <v>2663</v>
      </c>
      <c r="H470" t="s">
        <v>62</v>
      </c>
      <c r="L470" t="s">
        <v>2775</v>
      </c>
      <c r="M470" t="s">
        <v>2748</v>
      </c>
      <c r="N470" t="s">
        <v>903</v>
      </c>
      <c r="O470" t="s">
        <v>64</v>
      </c>
      <c r="Q470" t="s">
        <v>3696</v>
      </c>
      <c r="R470" s="52">
        <f>_xlfn.NUMBERVALUE(convertNumberStringPointToNumberComma(LEFT(Q470,FIND("x",Q470)-2)))</f>
        <v>64</v>
      </c>
      <c r="S470" s="52">
        <f>_xlfn.NUMBERVALUE(convertNumberStringPointToNumberComma(LEFT(RIGHT(Q470,LEN(Q470)-FIND("x",Q470)-1),LEN(RIGHT(Q470,LEN(Q470)-FIND("x",Q470)-1))-2)))</f>
        <v>101</v>
      </c>
    </row>
    <row r="471" spans="1:19" x14ac:dyDescent="0.25">
      <c r="A471" t="s">
        <v>1214</v>
      </c>
      <c r="B471" t="s">
        <v>631</v>
      </c>
      <c r="C471" s="5">
        <f>convertNumberStringPointToNumberComma(IFERROR(LEFT(B471,(FIND("-",B471)-1)),LEFT(B471,FIND("mm",B471)-1)))</f>
        <v>40</v>
      </c>
      <c r="D471" s="5">
        <f>convertNumberStringPointToNumberComma(IFERROR(RIGHT(LEFT(B471,FIND("m",B471)-1),LEN(LEFT(B471,FIND("m",B471)-1))-FIND("-",LEFT(B471,FIND("m",B471)-1))-1),C471))</f>
        <v>40</v>
      </c>
      <c r="E471" t="s">
        <v>2632</v>
      </c>
      <c r="F471" s="9">
        <f>convertNumberStringPointToNumberComma(LEFT(MID(E471,3,9),IFERROR(FIND("-",MID(E471,3,9))-2,3)))</f>
        <v>2.8</v>
      </c>
      <c r="G471" s="9">
        <f>convertNumberStringPointToNumberComma(RIGHT(E471,IF(ISERROR(FIND(".",RIGHT(E471,3))),1,3)))</f>
        <v>2.8</v>
      </c>
      <c r="H471" t="s">
        <v>2667</v>
      </c>
      <c r="I471" s="5" t="str">
        <f>IF(H471="none",0,LEFT(H471,LEN(H471)-2))</f>
        <v>49</v>
      </c>
      <c r="J471" s="5" t="s">
        <v>158</v>
      </c>
      <c r="K471" s="10">
        <f>IF(J471="",0,convertNumberStringPointToNumberComma(LEFT(J471,LEN(J471)-1)))</f>
        <v>0.23</v>
      </c>
      <c r="L471" t="s">
        <v>2684</v>
      </c>
      <c r="M471" t="s">
        <v>2802</v>
      </c>
      <c r="N471" t="s">
        <v>903</v>
      </c>
      <c r="O471" t="s">
        <v>2843</v>
      </c>
      <c r="P471" s="5" t="str">
        <f>LEFT(O471,LEN(O471)-1)</f>
        <v>90</v>
      </c>
      <c r="Q471" t="s">
        <v>3367</v>
      </c>
      <c r="R471" s="52">
        <f>_xlfn.NUMBERVALUE(convertNumberStringPointToNumberComma(LEFT(Q471,FIND("x",Q471)-2)))</f>
        <v>64</v>
      </c>
      <c r="S471" s="52">
        <f>_xlfn.NUMBERVALUE(convertNumberStringPointToNumberComma(LEFT(RIGHT(Q471,LEN(Q471)-FIND("x",Q471)-1),LEN(RIGHT(Q471,LEN(Q471)-FIND("x",Q471)-1))-2)))</f>
        <v>15</v>
      </c>
    </row>
    <row r="472" spans="1:19" x14ac:dyDescent="0.25">
      <c r="A472" t="s">
        <v>1655</v>
      </c>
      <c r="B472" t="s">
        <v>526</v>
      </c>
      <c r="E472" t="s">
        <v>2632</v>
      </c>
      <c r="H472" t="s">
        <v>1186</v>
      </c>
      <c r="L472" t="s">
        <v>2673</v>
      </c>
      <c r="M472" t="s">
        <v>2681</v>
      </c>
      <c r="N472" t="s">
        <v>2681</v>
      </c>
      <c r="O472" t="s">
        <v>2795</v>
      </c>
      <c r="Q472" t="s">
        <v>3596</v>
      </c>
      <c r="R472" s="52">
        <f>_xlfn.NUMBERVALUE(convertNumberStringPointToNumberComma(LEFT(Q472,FIND("x",Q472)-2)))</f>
        <v>64</v>
      </c>
      <c r="S472" s="52">
        <f>_xlfn.NUMBERVALUE(convertNumberStringPointToNumberComma(LEFT(RIGHT(Q472,LEN(Q472)-FIND("x",Q472)-1),LEN(RIGHT(Q472,LEN(Q472)-FIND("x",Q472)-1))-2)))</f>
        <v>23.5</v>
      </c>
    </row>
    <row r="473" spans="1:19" x14ac:dyDescent="0.25">
      <c r="A473" t="s">
        <v>1185</v>
      </c>
      <c r="B473" t="s">
        <v>1186</v>
      </c>
      <c r="C473" s="5">
        <f>convertNumberStringPointToNumberComma(IFERROR(LEFT(B473,(FIND("-",B473)-1)),LEFT(B473,FIND("mm",B473)-1)))</f>
        <v>43</v>
      </c>
      <c r="D473" s="5">
        <f>convertNumberStringPointToNumberComma(IFERROR(RIGHT(LEFT(B473,FIND("m",B473)-1),LEN(LEFT(B473,FIND("m",B473)-1))-FIND("-",LEFT(B473,FIND("m",B473)-1))-1),C473))</f>
        <v>43</v>
      </c>
      <c r="E473" t="s">
        <v>2654</v>
      </c>
      <c r="F473" s="9">
        <f>convertNumberStringPointToNumberComma(LEFT(MID(E473,3,9),IFERROR(FIND("-",MID(E473,3,9))-2,3)))</f>
        <v>1.9</v>
      </c>
      <c r="G473" s="9">
        <f>convertNumberStringPointToNumberComma(RIGHT(E473,IF(ISERROR(FIND(".",RIGHT(E473,3))),1,3)))</f>
        <v>1.9</v>
      </c>
      <c r="H473" t="s">
        <v>2667</v>
      </c>
      <c r="I473" s="5" t="str">
        <f>IF(H473="none",0,LEFT(H473,LEN(H473)-2))</f>
        <v>49</v>
      </c>
      <c r="J473" s="5" t="s">
        <v>32</v>
      </c>
      <c r="K473" s="10">
        <f>IF(J473="",0,convertNumberStringPointToNumberComma(LEFT(J473,LEN(J473)-1)))</f>
        <v>0.12</v>
      </c>
      <c r="L473" t="s">
        <v>2753</v>
      </c>
      <c r="M473" t="s">
        <v>2802</v>
      </c>
      <c r="N473" t="s">
        <v>913</v>
      </c>
      <c r="O473" t="s">
        <v>681</v>
      </c>
      <c r="P473" s="5" t="str">
        <f>LEFT(O473,LEN(O473)-1)</f>
        <v>155</v>
      </c>
      <c r="Q473" t="s">
        <v>3351</v>
      </c>
      <c r="R473" s="52">
        <f>_xlfn.NUMBERVALUE(convertNumberStringPointToNumberComma(LEFT(Q473,FIND("x",Q473)-2)))</f>
        <v>64</v>
      </c>
      <c r="S473" s="52">
        <f>_xlfn.NUMBERVALUE(convertNumberStringPointToNumberComma(LEFT(RIGHT(Q473,LEN(Q473)-FIND("x",Q473)-1),LEN(RIGHT(Q473,LEN(Q473)-FIND("x",Q473)-1))-2)))</f>
        <v>27</v>
      </c>
    </row>
    <row r="474" spans="1:19" x14ac:dyDescent="0.25">
      <c r="A474" t="s">
        <v>1486</v>
      </c>
      <c r="B474" t="s">
        <v>592</v>
      </c>
      <c r="E474" t="s">
        <v>2638</v>
      </c>
      <c r="H474" t="s">
        <v>2667</v>
      </c>
      <c r="M474" t="s">
        <v>2802</v>
      </c>
      <c r="N474" t="s">
        <v>913</v>
      </c>
      <c r="O474" t="s">
        <v>380</v>
      </c>
      <c r="Q474" t="s">
        <v>3519</v>
      </c>
      <c r="R474" s="52">
        <f>_xlfn.NUMBERVALUE(convertNumberStringPointToNumberComma(LEFT(Q474,FIND("x",Q474)-2)))</f>
        <v>64</v>
      </c>
      <c r="S474" s="52">
        <f>_xlfn.NUMBERVALUE(convertNumberStringPointToNumberComma(LEFT(RIGHT(Q474,LEN(Q474)-FIND("x",Q474)-1),LEN(RIGHT(Q474,LEN(Q474)-FIND("x",Q474)-1))-2)))</f>
        <v>44.5</v>
      </c>
    </row>
    <row r="475" spans="1:19" x14ac:dyDescent="0.25">
      <c r="A475" t="s">
        <v>1484</v>
      </c>
      <c r="B475" t="s">
        <v>27</v>
      </c>
      <c r="E475" t="s">
        <v>2635</v>
      </c>
      <c r="H475" t="s">
        <v>2667</v>
      </c>
      <c r="L475" t="s">
        <v>2709</v>
      </c>
      <c r="M475" t="s">
        <v>2802</v>
      </c>
      <c r="N475" t="s">
        <v>913</v>
      </c>
      <c r="O475" t="s">
        <v>442</v>
      </c>
      <c r="Q475" t="s">
        <v>3517</v>
      </c>
      <c r="R475" s="52">
        <f>_xlfn.NUMBERVALUE(convertNumberStringPointToNumberComma(LEFT(Q475,FIND("x",Q475)-2)))</f>
        <v>64</v>
      </c>
      <c r="S475" s="52">
        <f>_xlfn.NUMBERVALUE(convertNumberStringPointToNumberComma(LEFT(RIGHT(Q475,LEN(Q475)-FIND("x",Q475)-1),LEN(RIGHT(Q475,LEN(Q475)-FIND("x",Q475)-1))-2)))</f>
        <v>48</v>
      </c>
    </row>
    <row r="476" spans="1:19" x14ac:dyDescent="0.25">
      <c r="A476" t="s">
        <v>949</v>
      </c>
      <c r="B476" t="s">
        <v>552</v>
      </c>
      <c r="C476" s="5">
        <f>convertNumberStringPointToNumberComma(IFERROR(LEFT(B476,(FIND("-",B476)-1)),LEFT(B476,FIND("mm",B476)-1)))</f>
        <v>28</v>
      </c>
      <c r="D476" s="5">
        <f>convertNumberStringPointToNumberComma(IFERROR(RIGHT(LEFT(B476,FIND("m",B476)-1),LEN(LEFT(B476,FIND("m",B476)-1))-FIND("-",LEFT(B476,FIND("m",B476)-1))-1),C476))</f>
        <v>28</v>
      </c>
      <c r="E476" t="s">
        <v>2638</v>
      </c>
      <c r="F476" s="9">
        <f>convertNumberStringPointToNumberComma(LEFT(MID(E476,3,9),IFERROR(FIND("-",MID(E476,3,9))-2,3)))</f>
        <v>2</v>
      </c>
      <c r="G476" s="9">
        <f>convertNumberStringPointToNumberComma(RIGHT(E476,IF(ISERROR(FIND(".",RIGHT(E476,3))),1,3)))</f>
        <v>2</v>
      </c>
      <c r="H476" t="s">
        <v>2667</v>
      </c>
      <c r="I476" s="5" t="str">
        <f>IF(H476="none",0,LEFT(H476,LEN(H476)-2))</f>
        <v>49</v>
      </c>
      <c r="J476" s="5" t="s">
        <v>32</v>
      </c>
      <c r="K476" s="10">
        <f>IF(J476="",0,convertNumberStringPointToNumberComma(LEFT(J476,LEN(J476)-1)))</f>
        <v>0.12</v>
      </c>
      <c r="L476" t="s">
        <v>2684</v>
      </c>
      <c r="M476" t="s">
        <v>2674</v>
      </c>
      <c r="N476" t="s">
        <v>913</v>
      </c>
      <c r="O476" t="s">
        <v>597</v>
      </c>
      <c r="P476" s="5" t="str">
        <f>LEFT(O476,LEN(O476)-1)</f>
        <v>200</v>
      </c>
      <c r="Q476" t="s">
        <v>3218</v>
      </c>
      <c r="R476" s="52">
        <f>_xlfn.NUMBERVALUE(convertNumberStringPointToNumberComma(LEFT(Q476,FIND("x",Q476)-2)))</f>
        <v>64</v>
      </c>
      <c r="S476" s="52">
        <f>_xlfn.NUMBERVALUE(convertNumberStringPointToNumberComma(LEFT(RIGHT(Q476,LEN(Q476)-FIND("x",Q476)-1),LEN(RIGHT(Q476,LEN(Q476)-FIND("x",Q476)-1))-2)))</f>
        <v>60</v>
      </c>
    </row>
    <row r="477" spans="1:19" x14ac:dyDescent="0.25">
      <c r="A477" t="s">
        <v>2031</v>
      </c>
      <c r="B477" t="s">
        <v>856</v>
      </c>
      <c r="E477" t="s">
        <v>3059</v>
      </c>
      <c r="H477" t="s">
        <v>2668</v>
      </c>
      <c r="M477" t="s">
        <v>2674</v>
      </c>
      <c r="N477" t="s">
        <v>903</v>
      </c>
      <c r="O477" t="s">
        <v>2715</v>
      </c>
      <c r="Q477" t="s">
        <v>3803</v>
      </c>
      <c r="R477" s="52">
        <f>_xlfn.NUMBERVALUE(convertNumberStringPointToNumberComma(LEFT(Q477,FIND("x",Q477)-2)))</f>
        <v>64</v>
      </c>
      <c r="S477" s="52">
        <f>_xlfn.NUMBERVALUE(convertNumberStringPointToNumberComma(LEFT(RIGHT(Q477,LEN(Q477)-FIND("x",Q477)-1),LEN(RIGHT(Q477,LEN(Q477)-FIND("x",Q477)-1))-2)))</f>
        <v>62</v>
      </c>
    </row>
    <row r="478" spans="1:19" x14ac:dyDescent="0.25">
      <c r="A478" t="s">
        <v>1101</v>
      </c>
      <c r="B478" t="s">
        <v>1102</v>
      </c>
      <c r="C478" s="5">
        <f>convertNumberStringPointToNumberComma(IFERROR(LEFT(B478,(FIND("-",B478)-1)),LEFT(B478,FIND("mm",B478)-1)))</f>
        <v>28</v>
      </c>
      <c r="D478" s="5">
        <f>convertNumberStringPointToNumberComma(IFERROR(RIGHT(LEFT(B478,FIND("m",B478)-1),LEN(LEFT(B478,FIND("m",B478)-1))-FIND("-",LEFT(B478,FIND("m",B478)-1))-1),C478))</f>
        <v>0</v>
      </c>
      <c r="E478" t="s">
        <v>2652</v>
      </c>
      <c r="F478" s="9">
        <f>convertNumberStringPointToNumberComma(LEFT(MID(E478,3,9),IFERROR(FIND("-",MID(E478,3,9))-2,3)))</f>
        <v>3</v>
      </c>
      <c r="G478" s="9">
        <f>convertNumberStringPointToNumberComma(RIGHT(E478,IF(ISERROR(FIND(".",RIGHT(E478,3))),1,3)))</f>
        <v>5.6</v>
      </c>
      <c r="H478" t="s">
        <v>91</v>
      </c>
      <c r="I478" s="5" t="str">
        <f>IF(H478="none",0,LEFT(H478,LEN(H478)-2))</f>
        <v>58</v>
      </c>
      <c r="J478" s="5" t="s">
        <v>144</v>
      </c>
      <c r="K478" s="10">
        <f>IF(J478="",0,convertNumberStringPointToNumberComma(LEFT(J478,LEN(J478)-1)))</f>
        <v>0.24</v>
      </c>
      <c r="N478" t="s">
        <v>913</v>
      </c>
      <c r="O478" t="s">
        <v>380</v>
      </c>
      <c r="P478" s="5" t="str">
        <f>LEFT(O478,LEN(O478)-1)</f>
        <v>195</v>
      </c>
      <c r="Q478" t="s">
        <v>3309</v>
      </c>
      <c r="R478" s="52">
        <f>_xlfn.NUMBERVALUE(convertNumberStringPointToNumberComma(LEFT(Q478,FIND("x",Q478)-2)))</f>
        <v>64</v>
      </c>
      <c r="S478" s="52">
        <f>_xlfn.NUMBERVALUE(convertNumberStringPointToNumberComma(LEFT(RIGHT(Q478,LEN(Q478)-FIND("x",Q478)-1),LEN(RIGHT(Q478,LEN(Q478)-FIND("x",Q478)-1))-2)))</f>
        <v>66.5</v>
      </c>
    </row>
    <row r="479" spans="1:19" x14ac:dyDescent="0.25">
      <c r="A479" t="s">
        <v>1356</v>
      </c>
      <c r="B479" t="s">
        <v>1357</v>
      </c>
      <c r="E479" t="s">
        <v>2635</v>
      </c>
      <c r="H479" t="s">
        <v>91</v>
      </c>
      <c r="L479" t="s">
        <v>2726</v>
      </c>
      <c r="M479" t="s">
        <v>2680</v>
      </c>
      <c r="N479" t="s">
        <v>2681</v>
      </c>
      <c r="O479" t="s">
        <v>45</v>
      </c>
      <c r="Q479" t="s">
        <v>3449</v>
      </c>
      <c r="R479" s="52">
        <f>_xlfn.NUMBERVALUE(convertNumberStringPointToNumberComma(LEFT(Q479,FIND("x",Q479)-2)))</f>
        <v>64</v>
      </c>
      <c r="S479" s="52">
        <f>_xlfn.NUMBERVALUE(convertNumberStringPointToNumberComma(LEFT(RIGHT(Q479,LEN(Q479)-FIND("x",Q479)-1),LEN(RIGHT(Q479,LEN(Q479)-FIND("x",Q479)-1))-2)))</f>
        <v>69</v>
      </c>
    </row>
    <row r="480" spans="1:19" x14ac:dyDescent="0.25">
      <c r="A480" t="s">
        <v>2425</v>
      </c>
      <c r="B480" t="s">
        <v>1357</v>
      </c>
      <c r="E480" t="s">
        <v>2635</v>
      </c>
      <c r="H480" t="s">
        <v>91</v>
      </c>
      <c r="L480" t="s">
        <v>2726</v>
      </c>
      <c r="M480" t="s">
        <v>2680</v>
      </c>
      <c r="N480" t="s">
        <v>2681</v>
      </c>
      <c r="O480" t="s">
        <v>45</v>
      </c>
      <c r="Q480" t="s">
        <v>3449</v>
      </c>
      <c r="R480" s="52">
        <f>_xlfn.NUMBERVALUE(convertNumberStringPointToNumberComma(LEFT(Q480,FIND("x",Q480)-2)))</f>
        <v>64</v>
      </c>
      <c r="S480" s="52">
        <f>_xlfn.NUMBERVALUE(convertNumberStringPointToNumberComma(LEFT(RIGHT(Q480,LEN(Q480)-FIND("x",Q480)-1),LEN(RIGHT(Q480,LEN(Q480)-FIND("x",Q480)-1))-2)))</f>
        <v>69</v>
      </c>
    </row>
    <row r="481" spans="1:19" x14ac:dyDescent="0.25">
      <c r="A481" t="s">
        <v>1769</v>
      </c>
      <c r="B481" t="s">
        <v>863</v>
      </c>
      <c r="E481" t="s">
        <v>2638</v>
      </c>
      <c r="H481" t="s">
        <v>62</v>
      </c>
      <c r="L481" t="s">
        <v>2922</v>
      </c>
      <c r="M481" t="s">
        <v>2818</v>
      </c>
      <c r="N481" t="s">
        <v>913</v>
      </c>
      <c r="O481" t="s">
        <v>562</v>
      </c>
      <c r="Q481" t="s">
        <v>3676</v>
      </c>
      <c r="R481" s="52">
        <f>_xlfn.NUMBERVALUE(convertNumberStringPointToNumberComma(LEFT(Q481,FIND("x",Q481)-2)))</f>
        <v>64</v>
      </c>
      <c r="S481" s="52">
        <f>_xlfn.NUMBERVALUE(convertNumberStringPointToNumberComma(LEFT(RIGHT(Q481,LEN(Q481)-FIND("x",Q481)-1),LEN(RIGHT(Q481,LEN(Q481)-FIND("x",Q481)-1))-2)))</f>
        <v>78</v>
      </c>
    </row>
    <row r="482" spans="1:19" x14ac:dyDescent="0.25">
      <c r="A482" t="s">
        <v>1523</v>
      </c>
      <c r="B482" t="s">
        <v>741</v>
      </c>
      <c r="E482" t="s">
        <v>2656</v>
      </c>
      <c r="H482" t="s">
        <v>2824</v>
      </c>
      <c r="L482" t="s">
        <v>2703</v>
      </c>
      <c r="M482" t="s">
        <v>2748</v>
      </c>
      <c r="N482" t="s">
        <v>903</v>
      </c>
      <c r="O482" t="s">
        <v>2921</v>
      </c>
      <c r="Q482" t="s">
        <v>3536</v>
      </c>
      <c r="R482" s="52">
        <f>_xlfn.NUMBERVALUE(convertNumberStringPointToNumberComma(LEFT(Q482,FIND("x",Q482)-2)))</f>
        <v>64.099999999999994</v>
      </c>
      <c r="S482" s="52">
        <f>_xlfn.NUMBERVALUE(convertNumberStringPointToNumberComma(LEFT(RIGHT(Q482,LEN(Q482)-FIND("x",Q482)-1),LEN(RIGHT(Q482,LEN(Q482)-FIND("x",Q482)-1))-2)))</f>
        <v>70.900000000000006</v>
      </c>
    </row>
    <row r="483" spans="1:19" x14ac:dyDescent="0.25">
      <c r="B483" t="s">
        <v>91</v>
      </c>
      <c r="E483" t="s">
        <v>2643</v>
      </c>
      <c r="H483" t="s">
        <v>91</v>
      </c>
      <c r="M483" t="s">
        <v>8</v>
      </c>
      <c r="N483" t="s">
        <v>913</v>
      </c>
      <c r="O483" t="s">
        <v>697</v>
      </c>
      <c r="Q483" t="s">
        <v>3952</v>
      </c>
      <c r="R483" s="52">
        <f>_xlfn.NUMBERVALUE(convertNumberStringPointToNumberComma(LEFT(Q483,FIND("x",Q483)-2)))</f>
        <v>64.400000000000006</v>
      </c>
      <c r="S483" s="52">
        <f>_xlfn.NUMBERVALUE(convertNumberStringPointToNumberComma(LEFT(RIGHT(Q483,LEN(Q483)-FIND("x",Q483)-1),LEN(RIGHT(Q483,LEN(Q483)-FIND("x",Q483)-1))-2)))</f>
        <v>47.5</v>
      </c>
    </row>
    <row r="484" spans="1:19" x14ac:dyDescent="0.25">
      <c r="A484" t="s">
        <v>995</v>
      </c>
      <c r="B484" t="s">
        <v>62</v>
      </c>
      <c r="C484" s="5">
        <f>convertNumberStringPointToNumberComma(IFERROR(LEFT(B484,(FIND("-",B484)-1)),LEFT(B484,FIND("mm",B484)-1)))</f>
        <v>55</v>
      </c>
      <c r="D484" s="5">
        <f>convertNumberStringPointToNumberComma(IFERROR(RIGHT(LEFT(B484,FIND("m",B484)-1),LEN(LEFT(B484,FIND("m",B484)-1))-FIND("-",LEFT(B484,FIND("m",B484)-1))-1),C484))</f>
        <v>55</v>
      </c>
      <c r="E484" t="s">
        <v>2635</v>
      </c>
      <c r="F484" s="9">
        <f>convertNumberStringPointToNumberComma(LEFT(MID(E484,3,9),IFERROR(FIND("-",MID(E484,3,9))-2,3)))</f>
        <v>1.8</v>
      </c>
      <c r="G484" s="9">
        <f>convertNumberStringPointToNumberComma(RIGHT(E484,IF(ISERROR(FIND(".",RIGHT(E484,3))),1,3)))</f>
        <v>1.8</v>
      </c>
      <c r="H484" t="s">
        <v>2667</v>
      </c>
      <c r="I484" s="5" t="str">
        <f>IF(H484="none",0,LEFT(H484,LEN(H484)-2))</f>
        <v>49</v>
      </c>
      <c r="J484" s="5" t="s">
        <v>57</v>
      </c>
      <c r="K484" s="10">
        <f>IF(J484="",0,convertNumberStringPointToNumberComma(LEFT(J484,LEN(J484)-1)))</f>
        <v>0.26</v>
      </c>
      <c r="L484" t="s">
        <v>2709</v>
      </c>
      <c r="M484" t="s">
        <v>2674</v>
      </c>
      <c r="N484" t="s">
        <v>913</v>
      </c>
      <c r="O484" t="s">
        <v>2738</v>
      </c>
      <c r="P484" s="5" t="str">
        <f>LEFT(O484,LEN(O484)-1)</f>
        <v>281</v>
      </c>
      <c r="Q484" t="s">
        <v>3248</v>
      </c>
      <c r="R484" s="52">
        <f>_xlfn.NUMBERVALUE(convertNumberStringPointToNumberComma(LEFT(Q484,FIND("x",Q484)-2)))</f>
        <v>64.400000000000006</v>
      </c>
      <c r="S484" s="52">
        <f>_xlfn.NUMBERVALUE(convertNumberStringPointToNumberComma(LEFT(RIGHT(Q484,LEN(Q484)-FIND("x",Q484)-1),LEN(RIGHT(Q484,LEN(Q484)-FIND("x",Q484)-1))-2)))</f>
        <v>70.5</v>
      </c>
    </row>
    <row r="485" spans="1:19" x14ac:dyDescent="0.25">
      <c r="A485" t="s">
        <v>2617</v>
      </c>
      <c r="B485" t="s">
        <v>407</v>
      </c>
      <c r="E485" t="s">
        <v>2638</v>
      </c>
      <c r="H485" t="s">
        <v>318</v>
      </c>
      <c r="L485" t="s">
        <v>2709</v>
      </c>
      <c r="M485" t="s">
        <v>2748</v>
      </c>
      <c r="N485" t="s">
        <v>903</v>
      </c>
      <c r="O485" t="s">
        <v>2730</v>
      </c>
      <c r="Q485" t="s">
        <v>4068</v>
      </c>
      <c r="R485" s="52">
        <f>_xlfn.NUMBERVALUE(convertNumberStringPointToNumberComma(LEFT(Q485,FIND("x",Q485)-2)))</f>
        <v>64.5</v>
      </c>
      <c r="S485" s="52">
        <f>_xlfn.NUMBERVALUE(convertNumberStringPointToNumberComma(LEFT(RIGHT(Q485,LEN(Q485)-FIND("x",Q485)-1),LEN(RIGHT(Q485,LEN(Q485)-FIND("x",Q485)-1))-2)))</f>
        <v>40.6</v>
      </c>
    </row>
    <row r="486" spans="1:19" x14ac:dyDescent="0.25">
      <c r="A486" t="s">
        <v>1266</v>
      </c>
      <c r="B486" t="s">
        <v>592</v>
      </c>
      <c r="E486" t="s">
        <v>2638</v>
      </c>
      <c r="H486" t="s">
        <v>318</v>
      </c>
      <c r="L486" t="s">
        <v>2675</v>
      </c>
      <c r="M486" t="s">
        <v>8</v>
      </c>
      <c r="N486" t="s">
        <v>913</v>
      </c>
      <c r="O486" t="s">
        <v>383</v>
      </c>
      <c r="Q486" t="s">
        <v>3402</v>
      </c>
      <c r="R486" s="52">
        <f>_xlfn.NUMBERVALUE(convertNumberStringPointToNumberComma(LEFT(Q486,FIND("x",Q486)-2)))</f>
        <v>64.5</v>
      </c>
      <c r="S486" s="52">
        <f>_xlfn.NUMBERVALUE(convertNumberStringPointToNumberComma(LEFT(RIGHT(Q486,LEN(Q486)-FIND("x",Q486)-1),LEN(RIGHT(Q486,LEN(Q486)-FIND("x",Q486)-1))-2)))</f>
        <v>43.5</v>
      </c>
    </row>
    <row r="487" spans="1:19" x14ac:dyDescent="0.25">
      <c r="A487" t="s">
        <v>1554</v>
      </c>
      <c r="B487" t="s">
        <v>505</v>
      </c>
      <c r="E487" t="s">
        <v>2632</v>
      </c>
      <c r="H487" t="s">
        <v>318</v>
      </c>
      <c r="L487" t="s">
        <v>2692</v>
      </c>
      <c r="M487" t="s">
        <v>8</v>
      </c>
      <c r="N487" t="s">
        <v>913</v>
      </c>
      <c r="O487" t="s">
        <v>442</v>
      </c>
      <c r="Q487" t="s">
        <v>3553</v>
      </c>
      <c r="R487" s="52">
        <f>_xlfn.NUMBERVALUE(convertNumberStringPointToNumberComma(LEFT(Q487,FIND("x",Q487)-2)))</f>
        <v>64.5</v>
      </c>
      <c r="S487" s="52">
        <f>_xlfn.NUMBERVALUE(convertNumberStringPointToNumberComma(LEFT(RIGHT(Q487,LEN(Q487)-FIND("x",Q487)-1),LEN(RIGHT(Q487,LEN(Q487)-FIND("x",Q487)-1))-2)))</f>
        <v>46</v>
      </c>
    </row>
    <row r="488" spans="1:19" x14ac:dyDescent="0.25">
      <c r="A488" t="s">
        <v>2160</v>
      </c>
      <c r="B488" t="s">
        <v>1036</v>
      </c>
      <c r="E488" t="s">
        <v>2639</v>
      </c>
      <c r="H488" t="s">
        <v>62</v>
      </c>
      <c r="L488" t="s">
        <v>3088</v>
      </c>
      <c r="M488" t="s">
        <v>8</v>
      </c>
      <c r="N488" t="s">
        <v>903</v>
      </c>
      <c r="O488" t="s">
        <v>380</v>
      </c>
      <c r="Q488" t="s">
        <v>3854</v>
      </c>
      <c r="R488" s="52">
        <f>_xlfn.NUMBERVALUE(convertNumberStringPointToNumberComma(LEFT(Q488,FIND("x",Q488)-2)))</f>
        <v>64.5</v>
      </c>
      <c r="S488" s="52">
        <f>_xlfn.NUMBERVALUE(convertNumberStringPointToNumberComma(LEFT(RIGHT(Q488,LEN(Q488)-FIND("x",Q488)-1),LEN(RIGHT(Q488,LEN(Q488)-FIND("x",Q488)-1))-2)))</f>
        <v>62.5</v>
      </c>
    </row>
    <row r="489" spans="1:19" x14ac:dyDescent="0.25">
      <c r="A489" t="s">
        <v>2572</v>
      </c>
      <c r="B489" t="s">
        <v>1036</v>
      </c>
      <c r="E489" t="s">
        <v>2639</v>
      </c>
      <c r="H489" t="s">
        <v>62</v>
      </c>
      <c r="L489" t="s">
        <v>3088</v>
      </c>
      <c r="M489" t="s">
        <v>8</v>
      </c>
      <c r="N489" t="s">
        <v>903</v>
      </c>
      <c r="O489" t="s">
        <v>383</v>
      </c>
      <c r="Q489" t="s">
        <v>3854</v>
      </c>
      <c r="R489" s="52">
        <f>_xlfn.NUMBERVALUE(convertNumberStringPointToNumberComma(LEFT(Q489,FIND("x",Q489)-2)))</f>
        <v>64.5</v>
      </c>
      <c r="S489" s="52">
        <f>_xlfn.NUMBERVALUE(convertNumberStringPointToNumberComma(LEFT(RIGHT(Q489,LEN(Q489)-FIND("x",Q489)-1),LEN(RIGHT(Q489,LEN(Q489)-FIND("x",Q489)-1))-2)))</f>
        <v>62.5</v>
      </c>
    </row>
    <row r="490" spans="1:19" x14ac:dyDescent="0.25">
      <c r="A490" t="s">
        <v>2250</v>
      </c>
      <c r="B490" t="s">
        <v>572</v>
      </c>
      <c r="E490" t="s">
        <v>2665</v>
      </c>
      <c r="H490" t="s">
        <v>3105</v>
      </c>
      <c r="M490" t="s">
        <v>8</v>
      </c>
      <c r="N490" t="s">
        <v>913</v>
      </c>
      <c r="O490" t="s">
        <v>2787</v>
      </c>
      <c r="Q490" t="s">
        <v>3884</v>
      </c>
      <c r="R490" s="52">
        <f>_xlfn.NUMBERVALUE(convertNumberStringPointToNumberComma(LEFT(Q490,FIND("x",Q490)-2)))</f>
        <v>64.5</v>
      </c>
      <c r="S490" s="52">
        <f>_xlfn.NUMBERVALUE(convertNumberStringPointToNumberComma(LEFT(RIGHT(Q490,LEN(Q490)-FIND("x",Q490)-1),LEN(RIGHT(Q490,LEN(Q490)-FIND("x",Q490)-1))-2)))</f>
        <v>73.599999999999994</v>
      </c>
    </row>
    <row r="491" spans="1:19" x14ac:dyDescent="0.25">
      <c r="A491" t="s">
        <v>1473</v>
      </c>
      <c r="B491" t="s">
        <v>572</v>
      </c>
      <c r="E491" t="s">
        <v>2665</v>
      </c>
      <c r="H491" t="s">
        <v>2668</v>
      </c>
      <c r="M491" t="s">
        <v>2763</v>
      </c>
      <c r="N491" t="s">
        <v>913</v>
      </c>
      <c r="O491" t="s">
        <v>2903</v>
      </c>
      <c r="Q491" t="s">
        <v>3514</v>
      </c>
      <c r="R491" s="52">
        <f>_xlfn.NUMBERVALUE(convertNumberStringPointToNumberComma(LEFT(Q491,FIND("x",Q491)-2)))</f>
        <v>64.5</v>
      </c>
      <c r="S491" s="52">
        <f>_xlfn.NUMBERVALUE(convertNumberStringPointToNumberComma(LEFT(RIGHT(Q491,LEN(Q491)-FIND("x",Q491)-1),LEN(RIGHT(Q491,LEN(Q491)-FIND("x",Q491)-1))-2)))</f>
        <v>73.7</v>
      </c>
    </row>
    <row r="492" spans="1:19" x14ac:dyDescent="0.25">
      <c r="A492" t="s">
        <v>1474</v>
      </c>
      <c r="B492" t="s">
        <v>572</v>
      </c>
      <c r="E492" t="s">
        <v>2665</v>
      </c>
      <c r="H492" t="s">
        <v>2668</v>
      </c>
      <c r="M492" t="s">
        <v>2763</v>
      </c>
      <c r="N492" t="s">
        <v>913</v>
      </c>
      <c r="O492" t="s">
        <v>2903</v>
      </c>
      <c r="Q492" t="s">
        <v>3514</v>
      </c>
      <c r="R492" s="52">
        <f>_xlfn.NUMBERVALUE(convertNumberStringPointToNumberComma(LEFT(Q492,FIND("x",Q492)-2)))</f>
        <v>64.5</v>
      </c>
      <c r="S492" s="52">
        <f>_xlfn.NUMBERVALUE(convertNumberStringPointToNumberComma(LEFT(RIGHT(Q492,LEN(Q492)-FIND("x",Q492)-1),LEN(RIGHT(Q492,LEN(Q492)-FIND("x",Q492)-1))-2)))</f>
        <v>73.7</v>
      </c>
    </row>
    <row r="493" spans="1:19" x14ac:dyDescent="0.25">
      <c r="A493" t="s">
        <v>1475</v>
      </c>
      <c r="B493" t="s">
        <v>572</v>
      </c>
      <c r="E493" t="s">
        <v>2665</v>
      </c>
      <c r="H493" t="s">
        <v>2668</v>
      </c>
      <c r="M493" t="s">
        <v>2680</v>
      </c>
      <c r="N493" t="s">
        <v>2681</v>
      </c>
      <c r="O493" t="s">
        <v>2903</v>
      </c>
      <c r="Q493" t="s">
        <v>3514</v>
      </c>
      <c r="R493" s="52">
        <f>_xlfn.NUMBERVALUE(convertNumberStringPointToNumberComma(LEFT(Q493,FIND("x",Q493)-2)))</f>
        <v>64.5</v>
      </c>
      <c r="S493" s="52">
        <f>_xlfn.NUMBERVALUE(convertNumberStringPointToNumberComma(LEFT(RIGHT(Q493,LEN(Q493)-FIND("x",Q493)-1),LEN(RIGHT(Q493,LEN(Q493)-FIND("x",Q493)-1))-2)))</f>
        <v>73.7</v>
      </c>
    </row>
    <row r="494" spans="1:19" x14ac:dyDescent="0.25">
      <c r="A494" t="s">
        <v>1476</v>
      </c>
      <c r="B494" t="s">
        <v>572</v>
      </c>
      <c r="E494" t="s">
        <v>2665</v>
      </c>
      <c r="H494" t="s">
        <v>2668</v>
      </c>
      <c r="M494" t="s">
        <v>2680</v>
      </c>
      <c r="N494" t="s">
        <v>2681</v>
      </c>
      <c r="O494" t="s">
        <v>2903</v>
      </c>
      <c r="Q494" t="s">
        <v>3514</v>
      </c>
      <c r="R494" s="52">
        <f>_xlfn.NUMBERVALUE(convertNumberStringPointToNumberComma(LEFT(Q494,FIND("x",Q494)-2)))</f>
        <v>64.5</v>
      </c>
      <c r="S494" s="52">
        <f>_xlfn.NUMBERVALUE(convertNumberStringPointToNumberComma(LEFT(RIGHT(Q494,LEN(Q494)-FIND("x",Q494)-1),LEN(RIGHT(Q494,LEN(Q494)-FIND("x",Q494)-1))-2)))</f>
        <v>73.7</v>
      </c>
    </row>
    <row r="495" spans="1:19" x14ac:dyDescent="0.25">
      <c r="A495" t="s">
        <v>1477</v>
      </c>
      <c r="B495" t="s">
        <v>572</v>
      </c>
      <c r="E495" t="s">
        <v>2665</v>
      </c>
      <c r="H495" t="s">
        <v>2668</v>
      </c>
      <c r="M495" t="s">
        <v>2748</v>
      </c>
      <c r="N495" t="s">
        <v>903</v>
      </c>
      <c r="O495" t="s">
        <v>2903</v>
      </c>
      <c r="Q495" t="s">
        <v>3514</v>
      </c>
      <c r="R495" s="52">
        <f>_xlfn.NUMBERVALUE(convertNumberStringPointToNumberComma(LEFT(Q495,FIND("x",Q495)-2)))</f>
        <v>64.5</v>
      </c>
      <c r="S495" s="52">
        <f>_xlfn.NUMBERVALUE(convertNumberStringPointToNumberComma(LEFT(RIGHT(Q495,LEN(Q495)-FIND("x",Q495)-1),LEN(RIGHT(Q495,LEN(Q495)-FIND("x",Q495)-1))-2)))</f>
        <v>73.7</v>
      </c>
    </row>
    <row r="496" spans="1:19" x14ac:dyDescent="0.25">
      <c r="A496" t="s">
        <v>1478</v>
      </c>
      <c r="B496" t="s">
        <v>572</v>
      </c>
      <c r="E496" t="s">
        <v>2665</v>
      </c>
      <c r="H496" t="s">
        <v>2668</v>
      </c>
      <c r="M496" t="s">
        <v>2748</v>
      </c>
      <c r="N496" t="s">
        <v>903</v>
      </c>
      <c r="O496" t="s">
        <v>2903</v>
      </c>
      <c r="Q496" t="s">
        <v>3514</v>
      </c>
      <c r="R496" s="52">
        <f>_xlfn.NUMBERVALUE(convertNumberStringPointToNumberComma(LEFT(Q496,FIND("x",Q496)-2)))</f>
        <v>64.5</v>
      </c>
      <c r="S496" s="52">
        <f>_xlfn.NUMBERVALUE(convertNumberStringPointToNumberComma(LEFT(RIGHT(Q496,LEN(Q496)-FIND("x",Q496)-1),LEN(RIGHT(Q496,LEN(Q496)-FIND("x",Q496)-1))-2)))</f>
        <v>73.7</v>
      </c>
    </row>
    <row r="497" spans="1:19" x14ac:dyDescent="0.25">
      <c r="A497" t="s">
        <v>1479</v>
      </c>
      <c r="B497" t="s">
        <v>572</v>
      </c>
      <c r="E497" t="s">
        <v>2665</v>
      </c>
      <c r="H497" t="s">
        <v>2668</v>
      </c>
      <c r="M497" t="s">
        <v>2674</v>
      </c>
      <c r="N497" t="s">
        <v>903</v>
      </c>
      <c r="O497" t="s">
        <v>2903</v>
      </c>
      <c r="Q497" t="s">
        <v>3514</v>
      </c>
      <c r="R497" s="52">
        <f>_xlfn.NUMBERVALUE(convertNumberStringPointToNumberComma(LEFT(Q497,FIND("x",Q497)-2)))</f>
        <v>64.5</v>
      </c>
      <c r="S497" s="52">
        <f>_xlfn.NUMBERVALUE(convertNumberStringPointToNumberComma(LEFT(RIGHT(Q497,LEN(Q497)-FIND("x",Q497)-1),LEN(RIGHT(Q497,LEN(Q497)-FIND("x",Q497)-1))-2)))</f>
        <v>73.7</v>
      </c>
    </row>
    <row r="498" spans="1:19" x14ac:dyDescent="0.25">
      <c r="A498" t="s">
        <v>1480</v>
      </c>
      <c r="B498" t="s">
        <v>572</v>
      </c>
      <c r="E498" t="s">
        <v>2665</v>
      </c>
      <c r="H498" t="s">
        <v>2668</v>
      </c>
      <c r="M498" t="s">
        <v>2674</v>
      </c>
      <c r="N498" t="s">
        <v>903</v>
      </c>
      <c r="O498" t="s">
        <v>2903</v>
      </c>
      <c r="Q498" t="s">
        <v>3514</v>
      </c>
      <c r="R498" s="52">
        <f>_xlfn.NUMBERVALUE(convertNumberStringPointToNumberComma(LEFT(Q498,FIND("x",Q498)-2)))</f>
        <v>64.5</v>
      </c>
      <c r="S498" s="52">
        <f>_xlfn.NUMBERVALUE(convertNumberStringPointToNumberComma(LEFT(RIGHT(Q498,LEN(Q498)-FIND("x",Q498)-1),LEN(RIGHT(Q498,LEN(Q498)-FIND("x",Q498)-1))-2)))</f>
        <v>73.7</v>
      </c>
    </row>
    <row r="499" spans="1:19" x14ac:dyDescent="0.25">
      <c r="A499" t="s">
        <v>1428</v>
      </c>
      <c r="B499" t="s">
        <v>572</v>
      </c>
      <c r="E499" t="s">
        <v>2665</v>
      </c>
      <c r="H499" t="s">
        <v>2668</v>
      </c>
      <c r="M499" t="s">
        <v>2680</v>
      </c>
      <c r="N499" t="s">
        <v>2681</v>
      </c>
      <c r="O499" t="s">
        <v>2904</v>
      </c>
      <c r="Q499" t="s">
        <v>3496</v>
      </c>
      <c r="R499" s="52">
        <f>_xlfn.NUMBERVALUE(convertNumberStringPointToNumberComma(LEFT(Q499,FIND("x",Q499)-2)))</f>
        <v>64.5</v>
      </c>
      <c r="S499" s="52">
        <f>_xlfn.NUMBERVALUE(convertNumberStringPointToNumberComma(LEFT(RIGHT(Q499,LEN(Q499)-FIND("x",Q499)-1),LEN(RIGHT(Q499,LEN(Q499)-FIND("x",Q499)-1))-2)))</f>
        <v>73</v>
      </c>
    </row>
    <row r="500" spans="1:19" x14ac:dyDescent="0.25">
      <c r="A500" t="s">
        <v>1429</v>
      </c>
      <c r="B500" t="s">
        <v>572</v>
      </c>
      <c r="E500" t="s">
        <v>2665</v>
      </c>
      <c r="H500" t="s">
        <v>2668</v>
      </c>
      <c r="M500" t="s">
        <v>2680</v>
      </c>
      <c r="N500" t="s">
        <v>2681</v>
      </c>
      <c r="O500" t="s">
        <v>2904</v>
      </c>
      <c r="Q500" t="s">
        <v>3496</v>
      </c>
      <c r="R500" s="52">
        <f>_xlfn.NUMBERVALUE(convertNumberStringPointToNumberComma(LEFT(Q500,FIND("x",Q500)-2)))</f>
        <v>64.5</v>
      </c>
      <c r="S500" s="52">
        <f>_xlfn.NUMBERVALUE(convertNumberStringPointToNumberComma(LEFT(RIGHT(Q500,LEN(Q500)-FIND("x",Q500)-1),LEN(RIGHT(Q500,LEN(Q500)-FIND("x",Q500)-1))-2)))</f>
        <v>73</v>
      </c>
    </row>
    <row r="501" spans="1:19" x14ac:dyDescent="0.25">
      <c r="A501" t="s">
        <v>1427</v>
      </c>
      <c r="B501" t="s">
        <v>572</v>
      </c>
      <c r="E501" t="s">
        <v>2665</v>
      </c>
      <c r="H501" t="s">
        <v>2668</v>
      </c>
      <c r="M501" t="s">
        <v>2763</v>
      </c>
      <c r="N501" t="s">
        <v>903</v>
      </c>
      <c r="O501" t="s">
        <v>2903</v>
      </c>
      <c r="Q501" t="s">
        <v>3495</v>
      </c>
      <c r="R501" s="52">
        <f>_xlfn.NUMBERVALUE(convertNumberStringPointToNumberComma(LEFT(Q501,FIND("x",Q501)-2)))</f>
        <v>64.5</v>
      </c>
      <c r="S501" s="52">
        <f>_xlfn.NUMBERVALUE(convertNumberStringPointToNumberComma(LEFT(RIGHT(Q501,LEN(Q501)-FIND("x",Q501)-1),LEN(RIGHT(Q501,LEN(Q501)-FIND("x",Q501)-1))-2)))</f>
        <v>74</v>
      </c>
    </row>
    <row r="502" spans="1:19" x14ac:dyDescent="0.25">
      <c r="A502" t="s">
        <v>1431</v>
      </c>
      <c r="B502" t="s">
        <v>572</v>
      </c>
      <c r="E502" t="s">
        <v>2665</v>
      </c>
      <c r="H502" t="s">
        <v>2668</v>
      </c>
      <c r="M502" t="s">
        <v>2674</v>
      </c>
      <c r="N502" t="s">
        <v>903</v>
      </c>
      <c r="O502" t="s">
        <v>2903</v>
      </c>
      <c r="Q502" t="s">
        <v>3495</v>
      </c>
      <c r="R502" s="52">
        <f>_xlfn.NUMBERVALUE(convertNumberStringPointToNumberComma(LEFT(Q502,FIND("x",Q502)-2)))</f>
        <v>64.5</v>
      </c>
      <c r="S502" s="52">
        <f>_xlfn.NUMBERVALUE(convertNumberStringPointToNumberComma(LEFT(RIGHT(Q502,LEN(Q502)-FIND("x",Q502)-1),LEN(RIGHT(Q502,LEN(Q502)-FIND("x",Q502)-1))-2)))</f>
        <v>74</v>
      </c>
    </row>
    <row r="503" spans="1:19" x14ac:dyDescent="0.25">
      <c r="A503" t="s">
        <v>2251</v>
      </c>
      <c r="B503" t="s">
        <v>572</v>
      </c>
      <c r="E503" t="s">
        <v>2665</v>
      </c>
      <c r="H503" t="s">
        <v>3105</v>
      </c>
      <c r="M503" t="s">
        <v>2757</v>
      </c>
      <c r="N503" t="s">
        <v>903</v>
      </c>
      <c r="O503" t="s">
        <v>2787</v>
      </c>
      <c r="Q503" t="s">
        <v>3885</v>
      </c>
      <c r="R503" s="52">
        <f>_xlfn.NUMBERVALUE(convertNumberStringPointToNumberComma(LEFT(Q503,FIND("x",Q503)-2)))</f>
        <v>64.5</v>
      </c>
      <c r="S503" s="52">
        <f>_xlfn.NUMBERVALUE(convertNumberStringPointToNumberComma(LEFT(RIGHT(Q503,LEN(Q503)-FIND("x",Q503)-1),LEN(RIGHT(Q503,LEN(Q503)-FIND("x",Q503)-1))-2)))</f>
        <v>75.599999999999994</v>
      </c>
    </row>
    <row r="504" spans="1:19" x14ac:dyDescent="0.25">
      <c r="A504" t="s">
        <v>2249</v>
      </c>
      <c r="B504" t="s">
        <v>572</v>
      </c>
      <c r="E504" t="s">
        <v>2665</v>
      </c>
      <c r="H504" t="s">
        <v>3105</v>
      </c>
      <c r="M504" t="s">
        <v>2682</v>
      </c>
      <c r="N504" t="s">
        <v>913</v>
      </c>
      <c r="O504" t="s">
        <v>442</v>
      </c>
      <c r="Q504" t="s">
        <v>3883</v>
      </c>
      <c r="R504" s="52">
        <f>_xlfn.NUMBERVALUE(convertNumberStringPointToNumberComma(LEFT(Q504,FIND("x",Q504)-2)))</f>
        <v>64.5</v>
      </c>
      <c r="S504" s="52">
        <f>_xlfn.NUMBERVALUE(convertNumberStringPointToNumberComma(LEFT(RIGHT(Q504,LEN(Q504)-FIND("x",Q504)-1),LEN(RIGHT(Q504,LEN(Q504)-FIND("x",Q504)-1))-2)))</f>
        <v>76.099999999999994</v>
      </c>
    </row>
    <row r="505" spans="1:19" x14ac:dyDescent="0.25">
      <c r="A505" t="s">
        <v>2395</v>
      </c>
      <c r="B505" t="s">
        <v>572</v>
      </c>
      <c r="E505" t="s">
        <v>2665</v>
      </c>
      <c r="H505" t="s">
        <v>2668</v>
      </c>
      <c r="M505" t="s">
        <v>2682</v>
      </c>
      <c r="N505" t="s">
        <v>903</v>
      </c>
      <c r="O505" t="s">
        <v>442</v>
      </c>
      <c r="Q505" t="s">
        <v>3883</v>
      </c>
      <c r="R505" s="52">
        <f>_xlfn.NUMBERVALUE(convertNumberStringPointToNumberComma(LEFT(Q505,FIND("x",Q505)-2)))</f>
        <v>64.5</v>
      </c>
      <c r="S505" s="52">
        <f>_xlfn.NUMBERVALUE(convertNumberStringPointToNumberComma(LEFT(RIGHT(Q505,LEN(Q505)-FIND("x",Q505)-1),LEN(RIGHT(Q505,LEN(Q505)-FIND("x",Q505)-1))-2)))</f>
        <v>76.099999999999994</v>
      </c>
    </row>
    <row r="506" spans="1:19" x14ac:dyDescent="0.25">
      <c r="A506" t="s">
        <v>2401</v>
      </c>
      <c r="B506" t="s">
        <v>572</v>
      </c>
      <c r="E506" t="s">
        <v>2665</v>
      </c>
      <c r="H506" t="s">
        <v>2668</v>
      </c>
      <c r="M506" t="s">
        <v>8</v>
      </c>
      <c r="N506" t="s">
        <v>903</v>
      </c>
      <c r="O506" t="s">
        <v>442</v>
      </c>
      <c r="Q506" t="s">
        <v>3883</v>
      </c>
      <c r="R506" s="52">
        <f>_xlfn.NUMBERVALUE(convertNumberStringPointToNumberComma(LEFT(Q506,FIND("x",Q506)-2)))</f>
        <v>64.5</v>
      </c>
      <c r="S506" s="52">
        <f>_xlfn.NUMBERVALUE(convertNumberStringPointToNumberComma(LEFT(RIGHT(Q506,LEN(Q506)-FIND("x",Q506)-1),LEN(RIGHT(Q506,LEN(Q506)-FIND("x",Q506)-1))-2)))</f>
        <v>76.099999999999994</v>
      </c>
    </row>
    <row r="507" spans="1:19" x14ac:dyDescent="0.25">
      <c r="B507" t="s">
        <v>222</v>
      </c>
      <c r="E507" t="s">
        <v>2961</v>
      </c>
      <c r="H507" t="s">
        <v>91</v>
      </c>
      <c r="M507" t="s">
        <v>2818</v>
      </c>
      <c r="N507" t="s">
        <v>2959</v>
      </c>
      <c r="Q507" t="s">
        <v>3985</v>
      </c>
      <c r="R507" s="52">
        <f>_xlfn.NUMBERVALUE(convertNumberStringPointToNumberComma(LEFT(Q507,FIND("x",Q507)-2)))</f>
        <v>64.8</v>
      </c>
      <c r="S507" s="52">
        <f>_xlfn.NUMBERVALUE(convertNumberStringPointToNumberComma(LEFT(RIGHT(Q507,LEN(Q507)-FIND("x",Q507)-1),LEN(RIGHT(Q507,LEN(Q507)-FIND("x",Q507)-1))-2)))</f>
        <v>55.2</v>
      </c>
    </row>
    <row r="508" spans="1:19" x14ac:dyDescent="0.25">
      <c r="B508" t="s">
        <v>960</v>
      </c>
      <c r="E508" t="s">
        <v>2647</v>
      </c>
      <c r="H508" t="s">
        <v>2668</v>
      </c>
      <c r="M508" t="s">
        <v>2818</v>
      </c>
      <c r="N508" t="s">
        <v>2959</v>
      </c>
      <c r="Q508" t="s">
        <v>3949</v>
      </c>
      <c r="R508" s="52">
        <f>_xlfn.NUMBERVALUE(convertNumberStringPointToNumberComma(LEFT(Q508,FIND("x",Q508)-2)))</f>
        <v>64.8</v>
      </c>
      <c r="S508" s="52">
        <f>_xlfn.NUMBERVALUE(convertNumberStringPointToNumberComma(LEFT(RIGHT(Q508,LEN(Q508)-FIND("x",Q508)-1),LEN(RIGHT(Q508,LEN(Q508)-FIND("x",Q508)-1))-2)))</f>
        <v>59.2</v>
      </c>
    </row>
    <row r="509" spans="1:19" x14ac:dyDescent="0.25">
      <c r="A509" t="s">
        <v>971</v>
      </c>
      <c r="B509" t="s">
        <v>586</v>
      </c>
      <c r="C509" s="5">
        <f>convertNumberStringPointToNumberComma(IFERROR(LEFT(B509,(FIND("-",B509)-1)),LEFT(B509,FIND("mm",B509)-1)))</f>
        <v>30</v>
      </c>
      <c r="D509" s="5">
        <f>convertNumberStringPointToNumberComma(IFERROR(RIGHT(LEFT(B509,FIND("m",B509)-1),LEN(LEFT(B509,FIND("m",B509)-1))-FIND("-",LEFT(B509,FIND("m",B509)-1))-1),C509))</f>
        <v>30</v>
      </c>
      <c r="E509" t="s">
        <v>2643</v>
      </c>
      <c r="F509" s="9">
        <f>convertNumberStringPointToNumberComma(LEFT(MID(E509,3,9),IFERROR(FIND("-",MID(E509,3,9))-2,3)))</f>
        <v>1.4</v>
      </c>
      <c r="G509" s="9">
        <f>convertNumberStringPointToNumberComma(RIGHT(E509,IF(ISERROR(FIND(".",RIGHT(E509,3))),1,3)))</f>
        <v>1.4</v>
      </c>
      <c r="H509" t="s">
        <v>318</v>
      </c>
      <c r="I509" s="5" t="str">
        <f>IF(H509="none",0,LEFT(H509,LEN(H509)-2))</f>
        <v>52</v>
      </c>
      <c r="J509" s="5" t="s">
        <v>238</v>
      </c>
      <c r="K509" s="10">
        <f>IF(J509="",0,convertNumberStringPointToNumberComma(LEFT(J509,LEN(J509)-1)))</f>
        <v>0.34</v>
      </c>
      <c r="L509" t="s">
        <v>2722</v>
      </c>
      <c r="M509" t="s">
        <v>2674</v>
      </c>
      <c r="N509" t="s">
        <v>903</v>
      </c>
      <c r="O509" t="s">
        <v>388</v>
      </c>
      <c r="P509" s="5" t="str">
        <f>LEFT(O509,LEN(O509)-1)</f>
        <v>265</v>
      </c>
      <c r="Q509" t="s">
        <v>3231</v>
      </c>
      <c r="R509" s="52">
        <f>_xlfn.NUMBERVALUE(convertNumberStringPointToNumberComma(LEFT(Q509,FIND("x",Q509)-2)))</f>
        <v>64.8</v>
      </c>
      <c r="S509" s="52">
        <f>_xlfn.NUMBERVALUE(convertNumberStringPointToNumberComma(LEFT(RIGHT(Q509,LEN(Q509)-FIND("x",Q509)-1),LEN(RIGHT(Q509,LEN(Q509)-FIND("x",Q509)-1))-2)))</f>
        <v>73.3</v>
      </c>
    </row>
    <row r="510" spans="1:19" x14ac:dyDescent="0.25">
      <c r="A510" t="s">
        <v>2628</v>
      </c>
      <c r="B510" t="s">
        <v>586</v>
      </c>
      <c r="E510" t="s">
        <v>2643</v>
      </c>
      <c r="H510" t="s">
        <v>318</v>
      </c>
      <c r="L510" t="s">
        <v>2722</v>
      </c>
      <c r="M510" t="s">
        <v>2680</v>
      </c>
      <c r="N510" t="s">
        <v>903</v>
      </c>
      <c r="O510" t="s">
        <v>388</v>
      </c>
      <c r="Q510" t="s">
        <v>3231</v>
      </c>
      <c r="R510" s="52">
        <f>_xlfn.NUMBERVALUE(convertNumberStringPointToNumberComma(LEFT(Q510,FIND("x",Q510)-2)))</f>
        <v>64.8</v>
      </c>
      <c r="S510" s="52">
        <f>_xlfn.NUMBERVALUE(convertNumberStringPointToNumberComma(LEFT(RIGHT(Q510,LEN(Q510)-FIND("x",Q510)-1),LEN(RIGHT(Q510,LEN(Q510)-FIND("x",Q510)-1))-2)))</f>
        <v>73.3</v>
      </c>
    </row>
    <row r="511" spans="1:19" x14ac:dyDescent="0.25">
      <c r="A511" t="s">
        <v>983</v>
      </c>
      <c r="B511" t="s">
        <v>984</v>
      </c>
      <c r="C511" s="5">
        <f>convertNumberStringPointToNumberComma(IFERROR(LEFT(B511,(FIND("-",B511)-1)),LEFT(B511,FIND("mm",B511)-1)))</f>
        <v>16</v>
      </c>
      <c r="D511" s="5">
        <f>convertNumberStringPointToNumberComma(IFERROR(RIGHT(LEFT(B511,FIND("m",B511)-1),LEN(LEFT(B511,FIND("m",B511)-1))-FIND("-",LEFT(B511,FIND("m",B511)-1))-1),C511))</f>
        <v>0</v>
      </c>
      <c r="E511" t="s">
        <v>2639</v>
      </c>
      <c r="F511" s="9">
        <f>convertNumberStringPointToNumberComma(LEFT(MID(E511,3,9),IFERROR(FIND("-",MID(E511,3,9))-2,3)))</f>
        <v>3</v>
      </c>
      <c r="G511" s="9">
        <f>convertNumberStringPointToNumberComma(RIGHT(E511,IF(ISERROR(FIND(".",RIGHT(E511,3))),1,3)))</f>
        <v>5.6</v>
      </c>
      <c r="H511" t="s">
        <v>2670</v>
      </c>
      <c r="I511" s="5" t="str">
        <f>IF(H511="none",0,LEFT(H511,LEN(H511)-2))</f>
        <v>40.5</v>
      </c>
      <c r="J511" s="5" t="s">
        <v>40</v>
      </c>
      <c r="K511" s="10">
        <f>IF(J511="",0,convertNumberStringPointToNumberComma(LEFT(J511,LEN(J511)-1)))</f>
        <v>0.2</v>
      </c>
      <c r="L511" t="s">
        <v>2729</v>
      </c>
      <c r="M511" t="s">
        <v>2674</v>
      </c>
      <c r="N511" t="s">
        <v>903</v>
      </c>
      <c r="O511" t="s">
        <v>2730</v>
      </c>
      <c r="P511" s="5" t="str">
        <f>LEFT(O511,LEN(O511)-1)</f>
        <v>116</v>
      </c>
      <c r="Q511" t="s">
        <v>3239</v>
      </c>
      <c r="R511" s="52">
        <f>_xlfn.NUMBERVALUE(convertNumberStringPointToNumberComma(LEFT(Q511,FIND("x",Q511)-2)))</f>
        <v>65</v>
      </c>
      <c r="S511" s="52">
        <f>_xlfn.NUMBERVALUE(convertNumberStringPointToNumberComma(LEFT(RIGHT(Q511,LEN(Q511)-FIND("x",Q511)-1),LEN(RIGHT(Q511,LEN(Q511)-FIND("x",Q511)-1))-2)))</f>
        <v>30</v>
      </c>
    </row>
    <row r="512" spans="1:19" x14ac:dyDescent="0.25">
      <c r="A512" t="s">
        <v>1139</v>
      </c>
      <c r="B512" t="s">
        <v>984</v>
      </c>
      <c r="C512" s="5">
        <f>convertNumberStringPointToNumberComma(IFERROR(LEFT(B512,(FIND("-",B512)-1)),LEFT(B512,FIND("mm",B512)-1)))</f>
        <v>16</v>
      </c>
      <c r="D512" s="5">
        <f>convertNumberStringPointToNumberComma(IFERROR(RIGHT(LEFT(B512,FIND("m",B512)-1),LEN(LEFT(B512,FIND("m",B512)-1))-FIND("-",LEFT(B512,FIND("m",B512)-1))-1),C512))</f>
        <v>0</v>
      </c>
      <c r="E512" t="s">
        <v>2639</v>
      </c>
      <c r="F512" s="9">
        <f>convertNumberStringPointToNumberComma(LEFT(MID(E512,3,9),IFERROR(FIND("-",MID(E512,3,9))-2,3)))</f>
        <v>3</v>
      </c>
      <c r="G512" s="9">
        <f>convertNumberStringPointToNumberComma(RIGHT(E512,IF(ISERROR(FIND(".",RIGHT(E512,3))),1,3)))</f>
        <v>5.6</v>
      </c>
      <c r="I512" s="5" t="e">
        <f>IF(H512="none",0,LEFT(H512,LEN(H512)-2))</f>
        <v>#VALUE!</v>
      </c>
      <c r="J512" s="5"/>
      <c r="K512" s="10">
        <f>IF(J512="",0,convertNumberStringPointToNumberComma(LEFT(J512,LEN(J512)-1)))</f>
        <v>0</v>
      </c>
      <c r="L512" t="s">
        <v>2677</v>
      </c>
      <c r="M512" t="s">
        <v>2804</v>
      </c>
      <c r="N512" t="s">
        <v>903</v>
      </c>
      <c r="O512" t="s">
        <v>2805</v>
      </c>
      <c r="P512" s="5" t="str">
        <f>LEFT(O512,LEN(O512)-1)</f>
        <v>111</v>
      </c>
      <c r="Q512" t="s">
        <v>3327</v>
      </c>
      <c r="R512" s="52">
        <f>_xlfn.NUMBERVALUE(convertNumberStringPointToNumberComma(LEFT(Q512,FIND("x",Q512)-2)))</f>
        <v>65</v>
      </c>
      <c r="S512" s="52">
        <f>_xlfn.NUMBERVALUE(convertNumberStringPointToNumberComma(LEFT(RIGHT(Q512,LEN(Q512)-FIND("x",Q512)-1),LEN(RIGHT(Q512,LEN(Q512)-FIND("x",Q512)-1))-2)))</f>
        <v>31</v>
      </c>
    </row>
    <row r="513" spans="1:19" x14ac:dyDescent="0.25">
      <c r="A513" t="s">
        <v>1421</v>
      </c>
      <c r="B513" t="s">
        <v>984</v>
      </c>
      <c r="E513" t="s">
        <v>2639</v>
      </c>
      <c r="L513" t="s">
        <v>2677</v>
      </c>
      <c r="M513" t="s">
        <v>2804</v>
      </c>
      <c r="N513" t="s">
        <v>903</v>
      </c>
      <c r="O513" t="s">
        <v>2805</v>
      </c>
      <c r="Q513" t="s">
        <v>3327</v>
      </c>
      <c r="R513" s="52">
        <f>_xlfn.NUMBERVALUE(convertNumberStringPointToNumberComma(LEFT(Q513,FIND("x",Q513)-2)))</f>
        <v>65</v>
      </c>
      <c r="S513" s="52">
        <f>_xlfn.NUMBERVALUE(convertNumberStringPointToNumberComma(LEFT(RIGHT(Q513,LEN(Q513)-FIND("x",Q513)-1),LEN(RIGHT(Q513,LEN(Q513)-FIND("x",Q513)-1))-2)))</f>
        <v>31</v>
      </c>
    </row>
    <row r="514" spans="1:19" x14ac:dyDescent="0.25">
      <c r="A514" t="s">
        <v>1469</v>
      </c>
      <c r="B514" t="s">
        <v>441</v>
      </c>
      <c r="E514" t="s">
        <v>2632</v>
      </c>
      <c r="H514" t="s">
        <v>84</v>
      </c>
      <c r="M514" t="s">
        <v>8</v>
      </c>
      <c r="N514" t="s">
        <v>913</v>
      </c>
      <c r="O514" t="s">
        <v>2787</v>
      </c>
      <c r="Q514" t="s">
        <v>3512</v>
      </c>
      <c r="R514" s="52">
        <f>_xlfn.NUMBERVALUE(convertNumberStringPointToNumberComma(LEFT(Q514,FIND("x",Q514)-2)))</f>
        <v>65</v>
      </c>
      <c r="S514" s="52">
        <f>_xlfn.NUMBERVALUE(convertNumberStringPointToNumberComma(LEFT(RIGHT(Q514,LEN(Q514)-FIND("x",Q514)-1),LEN(RIGHT(Q514,LEN(Q514)-FIND("x",Q514)-1))-2)))</f>
        <v>42.5</v>
      </c>
    </row>
    <row r="515" spans="1:19" x14ac:dyDescent="0.25">
      <c r="A515" t="s">
        <v>1555</v>
      </c>
      <c r="B515" t="s">
        <v>552</v>
      </c>
      <c r="E515" t="s">
        <v>2632</v>
      </c>
      <c r="H515" t="s">
        <v>318</v>
      </c>
      <c r="L515" t="s">
        <v>2679</v>
      </c>
      <c r="M515" t="s">
        <v>8</v>
      </c>
      <c r="N515" t="s">
        <v>913</v>
      </c>
      <c r="O515" t="s">
        <v>383</v>
      </c>
      <c r="Q515" t="s">
        <v>3554</v>
      </c>
      <c r="R515" s="52">
        <f>_xlfn.NUMBERVALUE(convertNumberStringPointToNumberComma(LEFT(Q515,FIND("x",Q515)-2)))</f>
        <v>65</v>
      </c>
      <c r="S515" s="52">
        <f>_xlfn.NUMBERVALUE(convertNumberStringPointToNumberComma(LEFT(RIGHT(Q515,LEN(Q515)-FIND("x",Q515)-1),LEN(RIGHT(Q515,LEN(Q515)-FIND("x",Q515)-1))-2)))</f>
        <v>44.5</v>
      </c>
    </row>
    <row r="516" spans="1:19" x14ac:dyDescent="0.25">
      <c r="A516" t="s">
        <v>2458</v>
      </c>
      <c r="B516" t="s">
        <v>592</v>
      </c>
      <c r="E516" t="s">
        <v>2643</v>
      </c>
      <c r="H516" t="s">
        <v>318</v>
      </c>
      <c r="L516" t="s">
        <v>2706</v>
      </c>
      <c r="M516" t="s">
        <v>2748</v>
      </c>
      <c r="N516" t="s">
        <v>903</v>
      </c>
      <c r="O516" t="s">
        <v>3172</v>
      </c>
      <c r="Q516" t="s">
        <v>4004</v>
      </c>
      <c r="R516" s="52">
        <f>_xlfn.NUMBERVALUE(convertNumberStringPointToNumberComma(LEFT(Q516,FIND("x",Q516)-2)))</f>
        <v>65</v>
      </c>
      <c r="S516" s="52">
        <f>_xlfn.NUMBERVALUE(convertNumberStringPointToNumberComma(LEFT(RIGHT(Q516,LEN(Q516)-FIND("x",Q516)-1),LEN(RIGHT(Q516,LEN(Q516)-FIND("x",Q516)-1))-2)))</f>
        <v>54.9</v>
      </c>
    </row>
    <row r="517" spans="1:19" x14ac:dyDescent="0.25">
      <c r="A517" t="s">
        <v>2298</v>
      </c>
      <c r="B517" t="s">
        <v>2299</v>
      </c>
      <c r="E517" t="s">
        <v>2651</v>
      </c>
      <c r="M517" t="s">
        <v>2680</v>
      </c>
      <c r="N517" t="s">
        <v>903</v>
      </c>
      <c r="O517" t="s">
        <v>2852</v>
      </c>
      <c r="Q517" t="s">
        <v>3902</v>
      </c>
      <c r="R517" s="52">
        <f>_xlfn.NUMBERVALUE(convertNumberStringPointToNumberComma(LEFT(Q517,FIND("x",Q517)-2)))</f>
        <v>65</v>
      </c>
      <c r="S517" s="52">
        <f>_xlfn.NUMBERVALUE(convertNumberStringPointToNumberComma(LEFT(RIGHT(Q517,LEN(Q517)-FIND("x",Q517)-1),LEN(RIGHT(Q517,LEN(Q517)-FIND("x",Q517)-1))-2)))</f>
        <v>57</v>
      </c>
    </row>
    <row r="518" spans="1:19" x14ac:dyDescent="0.25">
      <c r="A518" t="s">
        <v>2300</v>
      </c>
      <c r="B518" t="s">
        <v>968</v>
      </c>
      <c r="E518" t="s">
        <v>2651</v>
      </c>
      <c r="M518" t="s">
        <v>2782</v>
      </c>
      <c r="N518" t="s">
        <v>903</v>
      </c>
      <c r="O518" t="s">
        <v>2852</v>
      </c>
      <c r="Q518" t="s">
        <v>3902</v>
      </c>
      <c r="R518" s="52">
        <f>_xlfn.NUMBERVALUE(convertNumberStringPointToNumberComma(LEFT(Q518,FIND("x",Q518)-2)))</f>
        <v>65</v>
      </c>
      <c r="S518" s="52">
        <f>_xlfn.NUMBERVALUE(convertNumberStringPointToNumberComma(LEFT(RIGHT(Q518,LEN(Q518)-FIND("x",Q518)-1),LEN(RIGHT(Q518,LEN(Q518)-FIND("x",Q518)-1))-2)))</f>
        <v>57</v>
      </c>
    </row>
    <row r="519" spans="1:19" x14ac:dyDescent="0.25">
      <c r="A519" t="s">
        <v>2475</v>
      </c>
      <c r="B519" t="s">
        <v>176</v>
      </c>
      <c r="E519" t="s">
        <v>2632</v>
      </c>
      <c r="H519" t="s">
        <v>91</v>
      </c>
      <c r="L519" t="s">
        <v>2753</v>
      </c>
      <c r="M519" t="s">
        <v>2748</v>
      </c>
      <c r="N519" t="s">
        <v>903</v>
      </c>
      <c r="Q519" t="s">
        <v>4015</v>
      </c>
      <c r="R519" s="52">
        <f>_xlfn.NUMBERVALUE(convertNumberStringPointToNumberComma(LEFT(Q519,FIND("x",Q519)-2)))</f>
        <v>65</v>
      </c>
      <c r="S519" s="52">
        <f>_xlfn.NUMBERVALUE(convertNumberStringPointToNumberComma(LEFT(RIGHT(Q519,LEN(Q519)-FIND("x",Q519)-1),LEN(RIGHT(Q519,LEN(Q519)-FIND("x",Q519)-1))-2)))</f>
        <v>58.4</v>
      </c>
    </row>
    <row r="520" spans="1:19" x14ac:dyDescent="0.25">
      <c r="A520" t="s">
        <v>1524</v>
      </c>
      <c r="B520" t="s">
        <v>1525</v>
      </c>
      <c r="E520" t="s">
        <v>2635</v>
      </c>
      <c r="H520" t="s">
        <v>318</v>
      </c>
      <c r="L520" t="s">
        <v>2922</v>
      </c>
      <c r="M520" t="s">
        <v>2748</v>
      </c>
      <c r="N520" t="s">
        <v>903</v>
      </c>
      <c r="O520" t="s">
        <v>2714</v>
      </c>
      <c r="Q520" t="s">
        <v>3537</v>
      </c>
      <c r="R520" s="52">
        <f>_xlfn.NUMBERVALUE(convertNumberStringPointToNumberComma(LEFT(Q520,FIND("x",Q520)-2)))</f>
        <v>65</v>
      </c>
      <c r="S520" s="52">
        <f>_xlfn.NUMBERVALUE(convertNumberStringPointToNumberComma(LEFT(RIGHT(Q520,LEN(Q520)-FIND("x",Q520)-1),LEN(RIGHT(Q520,LEN(Q520)-FIND("x",Q520)-1))-2)))</f>
        <v>58</v>
      </c>
    </row>
    <row r="521" spans="1:19" x14ac:dyDescent="0.25">
      <c r="A521" t="s">
        <v>1337</v>
      </c>
      <c r="B521" t="s">
        <v>960</v>
      </c>
      <c r="E521" t="s">
        <v>2660</v>
      </c>
      <c r="M521" t="s">
        <v>2674</v>
      </c>
      <c r="N521" t="s">
        <v>903</v>
      </c>
      <c r="O521" t="s">
        <v>2852</v>
      </c>
      <c r="Q521" t="s">
        <v>3439</v>
      </c>
      <c r="R521" s="52">
        <f>_xlfn.NUMBERVALUE(convertNumberStringPointToNumberComma(LEFT(Q521,FIND("x",Q521)-2)))</f>
        <v>65</v>
      </c>
      <c r="S521" s="52">
        <f>_xlfn.NUMBERVALUE(convertNumberStringPointToNumberComma(LEFT(RIGHT(Q521,LEN(Q521)-FIND("x",Q521)-1),LEN(RIGHT(Q521,LEN(Q521)-FIND("x",Q521)-1))-2)))</f>
        <v>59</v>
      </c>
    </row>
    <row r="522" spans="1:19" x14ac:dyDescent="0.25">
      <c r="A522" t="s">
        <v>1648</v>
      </c>
      <c r="B522" t="s">
        <v>526</v>
      </c>
      <c r="E522" t="s">
        <v>2632</v>
      </c>
      <c r="H522" t="s">
        <v>91</v>
      </c>
      <c r="M522" t="s">
        <v>8</v>
      </c>
      <c r="N522" t="s">
        <v>913</v>
      </c>
      <c r="O522" t="s">
        <v>252</v>
      </c>
      <c r="Q522" t="s">
        <v>3592</v>
      </c>
      <c r="R522" s="52">
        <f>_xlfn.NUMBERVALUE(convertNumberStringPointToNumberComma(LEFT(Q522,FIND("x",Q522)-2)))</f>
        <v>65</v>
      </c>
      <c r="S522" s="52">
        <f>_xlfn.NUMBERVALUE(convertNumberStringPointToNumberComma(LEFT(RIGHT(Q522,LEN(Q522)-FIND("x",Q522)-1),LEN(RIGHT(Q522,LEN(Q522)-FIND("x",Q522)-1))-2)))</f>
        <v>66</v>
      </c>
    </row>
    <row r="523" spans="1:19" x14ac:dyDescent="0.25">
      <c r="A523" t="s">
        <v>1183</v>
      </c>
      <c r="B523" t="s">
        <v>1184</v>
      </c>
      <c r="C523" s="5">
        <f>convertNumberStringPointToNumberComma(IFERROR(LEFT(B523,(FIND("-",B523)-1)),LEFT(B523,FIND("mm",B523)-1)))</f>
        <v>31</v>
      </c>
      <c r="D523" s="5">
        <f>convertNumberStringPointToNumberComma(IFERROR(RIGHT(LEFT(B523,FIND("m",B523)-1),LEN(LEFT(B523,FIND("m",B523)-1))-FIND("-",LEFT(B523,FIND("m",B523)-1))-1),C523))</f>
        <v>31</v>
      </c>
      <c r="E523" t="s">
        <v>2635</v>
      </c>
      <c r="F523" s="9">
        <f>convertNumberStringPointToNumberComma(LEFT(MID(E523,3,9),IFERROR(FIND("-",MID(E523,3,9))-2,3)))</f>
        <v>1.8</v>
      </c>
      <c r="G523" s="9">
        <f>convertNumberStringPointToNumberComma(RIGHT(E523,IF(ISERROR(FIND(".",RIGHT(E523,3))),1,3)))</f>
        <v>1.8</v>
      </c>
      <c r="H523" t="s">
        <v>91</v>
      </c>
      <c r="I523" s="5" t="str">
        <f>IF(H523="none",0,LEFT(H523,LEN(H523)-2))</f>
        <v>58</v>
      </c>
      <c r="J523" s="5" t="s">
        <v>32</v>
      </c>
      <c r="K523" s="10">
        <f>IF(J523="",0,convertNumberStringPointToNumberComma(LEFT(J523,LEN(J523)-1)))</f>
        <v>0.12</v>
      </c>
      <c r="L523" t="s">
        <v>2704</v>
      </c>
      <c r="M523" t="s">
        <v>2802</v>
      </c>
      <c r="N523" t="s">
        <v>913</v>
      </c>
      <c r="O523" t="s">
        <v>2719</v>
      </c>
      <c r="P523" s="5" t="str">
        <f>LEFT(O523,LEN(O523)-1)</f>
        <v>345</v>
      </c>
      <c r="Q523" t="s">
        <v>3350</v>
      </c>
      <c r="R523" s="52">
        <f>_xlfn.NUMBERVALUE(convertNumberStringPointToNumberComma(LEFT(Q523,FIND("x",Q523)-2)))</f>
        <v>65</v>
      </c>
      <c r="S523" s="52">
        <f>_xlfn.NUMBERVALUE(convertNumberStringPointToNumberComma(LEFT(RIGHT(Q523,LEN(Q523)-FIND("x",Q523)-1),LEN(RIGHT(Q523,LEN(Q523)-FIND("x",Q523)-1))-2)))</f>
        <v>68.5</v>
      </c>
    </row>
    <row r="524" spans="1:19" x14ac:dyDescent="0.25">
      <c r="A524" t="s">
        <v>1035</v>
      </c>
      <c r="B524" t="s">
        <v>1036</v>
      </c>
      <c r="C524" s="5">
        <f>convertNumberStringPointToNumberComma(IFERROR(LEFT(B524,(FIND("-",B524)-1)),LEFT(B524,FIND("mm",B524)-1)))</f>
        <v>18</v>
      </c>
      <c r="D524" s="5">
        <f>convertNumberStringPointToNumberComma(IFERROR(RIGHT(LEFT(B524,FIND("m",B524)-1),LEN(LEFT(B524,FIND("m",B524)-1))-FIND("-",LEFT(B524,FIND("m",B524)-1))-1),C524))</f>
        <v>5</v>
      </c>
      <c r="E524" t="s">
        <v>2637</v>
      </c>
      <c r="F524" s="9">
        <f>convertNumberStringPointToNumberComma(LEFT(MID(E524,3,9),IFERROR(FIND("-",MID(E524,3,9))-2,3)))</f>
        <v>2</v>
      </c>
      <c r="G524" s="9">
        <f>convertNumberStringPointToNumberComma(RIGHT(E524,IF(ISERROR(FIND(".",RIGHT(E524,3))),1,3)))</f>
        <v>4</v>
      </c>
      <c r="H524" t="s">
        <v>91</v>
      </c>
      <c r="I524" s="5" t="str">
        <f>IF(H524="none",0,LEFT(H524,LEN(H524)-2))</f>
        <v>58</v>
      </c>
      <c r="J524" s="5" t="s">
        <v>36</v>
      </c>
      <c r="K524" s="10">
        <f>IF(J524="",0,convertNumberStringPointToNumberComma(LEFT(J524,LEN(J524)-1)))</f>
        <v>0.18</v>
      </c>
      <c r="L524" t="s">
        <v>2686</v>
      </c>
      <c r="M524" t="s">
        <v>2748</v>
      </c>
      <c r="N524" t="s">
        <v>903</v>
      </c>
      <c r="O524" t="s">
        <v>2758</v>
      </c>
      <c r="P524" s="5" t="str">
        <f>LEFT(O524,LEN(O524)-1)</f>
        <v>310</v>
      </c>
      <c r="Q524" t="s">
        <v>3276</v>
      </c>
      <c r="R524" s="52">
        <f>_xlfn.NUMBERVALUE(convertNumberStringPointToNumberComma(LEFT(Q524,FIND("x",Q524)-2)))</f>
        <v>65</v>
      </c>
      <c r="S524" s="52">
        <f>_xlfn.NUMBERVALUE(convertNumberStringPointToNumberComma(LEFT(RIGHT(Q524,LEN(Q524)-FIND("x",Q524)-1),LEN(RIGHT(Q524,LEN(Q524)-FIND("x",Q524)-1))-2)))</f>
        <v>70.400000000000006</v>
      </c>
    </row>
    <row r="525" spans="1:19" x14ac:dyDescent="0.25">
      <c r="A525" t="s">
        <v>1175</v>
      </c>
      <c r="B525" t="s">
        <v>592</v>
      </c>
      <c r="C525" s="5">
        <f>convertNumberStringPointToNumberComma(IFERROR(LEFT(B525,(FIND("-",B525)-1)),LEFT(B525,FIND("mm",B525)-1)))</f>
        <v>35</v>
      </c>
      <c r="D525" s="5">
        <f>convertNumberStringPointToNumberComma(IFERROR(RIGHT(LEFT(B525,FIND("m",B525)-1),LEN(LEFT(B525,FIND("m",B525)-1))-FIND("-",LEFT(B525,FIND("m",B525)-1))-1),C525))</f>
        <v>35</v>
      </c>
      <c r="E525" t="s">
        <v>2638</v>
      </c>
      <c r="F525" s="9">
        <f>convertNumberStringPointToNumberComma(LEFT(MID(E525,3,9),IFERROR(FIND("-",MID(E525,3,9))-2,3)))</f>
        <v>2</v>
      </c>
      <c r="G525" s="9">
        <f>convertNumberStringPointToNumberComma(RIGHT(E525,IF(ISERROR(FIND(".",RIGHT(E525,3))),1,3)))</f>
        <v>2</v>
      </c>
      <c r="H525" t="s">
        <v>91</v>
      </c>
      <c r="I525" s="5" t="str">
        <f>IF(H525="none",0,LEFT(H525,LEN(H525)-2))</f>
        <v>58</v>
      </c>
      <c r="J525" s="5" t="s">
        <v>36</v>
      </c>
      <c r="K525" s="10">
        <f>IF(J525="",0,convertNumberStringPointToNumberComma(LEFT(J525,LEN(J525)-1)))</f>
        <v>0.18</v>
      </c>
      <c r="M525" t="s">
        <v>2682</v>
      </c>
      <c r="N525" t="s">
        <v>913</v>
      </c>
      <c r="O525" t="s">
        <v>612</v>
      </c>
      <c r="P525" s="5" t="str">
        <f>LEFT(O525,LEN(O525)-1)</f>
        <v>530</v>
      </c>
      <c r="Q525" t="s">
        <v>3346</v>
      </c>
      <c r="R525" s="52">
        <f>_xlfn.NUMBERVALUE(convertNumberStringPointToNumberComma(LEFT(Q525,FIND("x",Q525)-2)))</f>
        <v>65</v>
      </c>
      <c r="S525" s="52">
        <f>_xlfn.NUMBERVALUE(convertNumberStringPointToNumberComma(LEFT(RIGHT(Q525,LEN(Q525)-FIND("x",Q525)-1),LEN(RIGHT(Q525,LEN(Q525)-FIND("x",Q525)-1))-2)))</f>
        <v>73</v>
      </c>
    </row>
    <row r="526" spans="1:19" x14ac:dyDescent="0.25">
      <c r="B526" t="s">
        <v>592</v>
      </c>
      <c r="E526" t="s">
        <v>2638</v>
      </c>
      <c r="H526" t="s">
        <v>91</v>
      </c>
      <c r="M526" t="s">
        <v>8</v>
      </c>
      <c r="N526" t="s">
        <v>913</v>
      </c>
      <c r="O526" t="s">
        <v>612</v>
      </c>
      <c r="Q526" t="s">
        <v>3346</v>
      </c>
      <c r="R526" s="52">
        <f>_xlfn.NUMBERVALUE(convertNumberStringPointToNumberComma(LEFT(Q526,FIND("x",Q526)-2)))</f>
        <v>65</v>
      </c>
      <c r="S526" s="52">
        <f>_xlfn.NUMBERVALUE(convertNumberStringPointToNumberComma(LEFT(RIGHT(Q526,LEN(Q526)-FIND("x",Q526)-1),LEN(RIGHT(Q526,LEN(Q526)-FIND("x",Q526)-1))-2)))</f>
        <v>73</v>
      </c>
    </row>
    <row r="527" spans="1:19" x14ac:dyDescent="0.25">
      <c r="A527" t="s">
        <v>2603</v>
      </c>
      <c r="B527" t="s">
        <v>61</v>
      </c>
      <c r="E527" t="s">
        <v>2632</v>
      </c>
      <c r="H527" t="s">
        <v>2667</v>
      </c>
      <c r="L527" t="s">
        <v>2707</v>
      </c>
      <c r="M527" t="s">
        <v>2802</v>
      </c>
      <c r="N527" t="s">
        <v>913</v>
      </c>
      <c r="O527" t="s">
        <v>607</v>
      </c>
      <c r="Q527" t="s">
        <v>4064</v>
      </c>
      <c r="R527" s="52">
        <f>_xlfn.NUMBERVALUE(convertNumberStringPointToNumberComma(LEFT(Q527,FIND("x",Q527)-2)))</f>
        <v>65</v>
      </c>
      <c r="S527" s="52">
        <f>_xlfn.NUMBERVALUE(convertNumberStringPointToNumberComma(LEFT(RIGHT(Q527,LEN(Q527)-FIND("x",Q527)-1),LEN(RIGHT(Q527,LEN(Q527)-FIND("x",Q527)-1))-2)))</f>
        <v>80.5</v>
      </c>
    </row>
    <row r="528" spans="1:19" x14ac:dyDescent="0.25">
      <c r="A528" t="s">
        <v>1669</v>
      </c>
      <c r="B528" t="s">
        <v>678</v>
      </c>
      <c r="E528" t="s">
        <v>2663</v>
      </c>
      <c r="H528" t="s">
        <v>84</v>
      </c>
      <c r="M528" t="s">
        <v>2674</v>
      </c>
      <c r="N528" t="s">
        <v>903</v>
      </c>
      <c r="O528" t="s">
        <v>312</v>
      </c>
      <c r="Q528" t="s">
        <v>3618</v>
      </c>
      <c r="R528" s="52">
        <f>_xlfn.NUMBERVALUE(convertNumberStringPointToNumberComma(LEFT(Q528,FIND("x",Q528)-2)))</f>
        <v>65</v>
      </c>
      <c r="S528" s="52">
        <f>_xlfn.NUMBERVALUE(convertNumberStringPointToNumberComma(LEFT(RIGHT(Q528,LEN(Q528)-FIND("x",Q528)-1),LEN(RIGHT(Q528,LEN(Q528)-FIND("x",Q528)-1))-2)))</f>
        <v>85</v>
      </c>
    </row>
    <row r="529" spans="1:19" x14ac:dyDescent="0.25">
      <c r="A529" t="s">
        <v>2026</v>
      </c>
      <c r="B529" t="s">
        <v>678</v>
      </c>
      <c r="E529" t="s">
        <v>2632</v>
      </c>
      <c r="H529" t="s">
        <v>318</v>
      </c>
      <c r="L529" t="s">
        <v>2707</v>
      </c>
      <c r="M529" t="s">
        <v>2674</v>
      </c>
      <c r="N529" t="s">
        <v>903</v>
      </c>
      <c r="O529" t="s">
        <v>265</v>
      </c>
      <c r="Q529" t="s">
        <v>3801</v>
      </c>
      <c r="R529" s="52">
        <f>_xlfn.NUMBERVALUE(convertNumberStringPointToNumberComma(LEFT(Q529,FIND("x",Q529)-2)))</f>
        <v>65</v>
      </c>
      <c r="S529" s="52">
        <f>_xlfn.NUMBERVALUE(convertNumberStringPointToNumberComma(LEFT(RIGHT(Q529,LEN(Q529)-FIND("x",Q529)-1),LEN(RIGHT(Q529,LEN(Q529)-FIND("x",Q529)-1))-2)))</f>
        <v>91</v>
      </c>
    </row>
    <row r="530" spans="1:19" x14ac:dyDescent="0.25">
      <c r="A530" t="s">
        <v>2297</v>
      </c>
      <c r="B530" t="s">
        <v>552</v>
      </c>
      <c r="E530" t="s">
        <v>2638</v>
      </c>
      <c r="H530" t="s">
        <v>3110</v>
      </c>
      <c r="L530" t="s">
        <v>2728</v>
      </c>
      <c r="M530" t="s">
        <v>8</v>
      </c>
      <c r="N530" t="s">
        <v>913</v>
      </c>
      <c r="O530" t="s">
        <v>612</v>
      </c>
      <c r="Q530" t="s">
        <v>3901</v>
      </c>
      <c r="R530" s="52">
        <f>_xlfn.NUMBERVALUE(convertNumberStringPointToNumberComma(LEFT(Q530,FIND("x",Q530)-2)))</f>
        <v>65</v>
      </c>
      <c r="S530" s="52">
        <f>_xlfn.NUMBERVALUE(convertNumberStringPointToNumberComma(LEFT(RIGHT(Q530,LEN(Q530)-FIND("x",Q530)-1),LEN(RIGHT(Q530,LEN(Q530)-FIND("x",Q530)-1))-2)))</f>
        <v>94</v>
      </c>
    </row>
    <row r="531" spans="1:19" x14ac:dyDescent="0.25">
      <c r="A531" t="s">
        <v>1564</v>
      </c>
      <c r="B531" t="s">
        <v>1525</v>
      </c>
      <c r="E531" t="s">
        <v>2648</v>
      </c>
      <c r="H531" t="s">
        <v>318</v>
      </c>
      <c r="L531" t="s">
        <v>2934</v>
      </c>
      <c r="M531" t="s">
        <v>2782</v>
      </c>
      <c r="N531" t="s">
        <v>2783</v>
      </c>
      <c r="O531" t="s">
        <v>2908</v>
      </c>
      <c r="Q531" t="s">
        <v>3558</v>
      </c>
      <c r="R531" s="52">
        <f>_xlfn.NUMBERVALUE(convertNumberStringPointToNumberComma(LEFT(Q531,FIND("x",Q531)-2)))</f>
        <v>65.5</v>
      </c>
      <c r="S531" s="52">
        <f>_xlfn.NUMBERVALUE(convertNumberStringPointToNumberComma(LEFT(RIGHT(Q531,LEN(Q531)-FIND("x",Q531)-1),LEN(RIGHT(Q531,LEN(Q531)-FIND("x",Q531)-1))-2)))</f>
        <v>47</v>
      </c>
    </row>
    <row r="532" spans="1:19" x14ac:dyDescent="0.25">
      <c r="A532" t="s">
        <v>1565</v>
      </c>
      <c r="B532" t="s">
        <v>1525</v>
      </c>
      <c r="E532" t="s">
        <v>2648</v>
      </c>
      <c r="H532" t="s">
        <v>318</v>
      </c>
      <c r="L532" t="s">
        <v>2934</v>
      </c>
      <c r="M532" t="s">
        <v>2782</v>
      </c>
      <c r="N532" t="s">
        <v>2783</v>
      </c>
      <c r="O532" t="s">
        <v>2908</v>
      </c>
      <c r="Q532" t="s">
        <v>3558</v>
      </c>
      <c r="R532" s="52">
        <f>_xlfn.NUMBERVALUE(convertNumberStringPointToNumberComma(LEFT(Q532,FIND("x",Q532)-2)))</f>
        <v>65.5</v>
      </c>
      <c r="S532" s="52">
        <f>_xlfn.NUMBERVALUE(convertNumberStringPointToNumberComma(LEFT(RIGHT(Q532,LEN(Q532)-FIND("x",Q532)-1),LEN(RIGHT(Q532,LEN(Q532)-FIND("x",Q532)-1))-2)))</f>
        <v>47</v>
      </c>
    </row>
    <row r="533" spans="1:19" x14ac:dyDescent="0.25">
      <c r="A533" t="s">
        <v>1611</v>
      </c>
      <c r="B533" t="s">
        <v>1499</v>
      </c>
      <c r="E533" t="s">
        <v>2634</v>
      </c>
      <c r="H533" t="s">
        <v>91</v>
      </c>
      <c r="L533" t="s">
        <v>2704</v>
      </c>
      <c r="M533" t="s">
        <v>2681</v>
      </c>
      <c r="N533" t="s">
        <v>2681</v>
      </c>
      <c r="O533" t="s">
        <v>2852</v>
      </c>
      <c r="Q533" t="s">
        <v>3577</v>
      </c>
      <c r="R533" s="52">
        <f>_xlfn.NUMBERVALUE(convertNumberStringPointToNumberComma(LEFT(Q533,FIND("x",Q533)-2)))</f>
        <v>65.5</v>
      </c>
      <c r="S533" s="52">
        <f>_xlfn.NUMBERVALUE(convertNumberStringPointToNumberComma(LEFT(RIGHT(Q533,LEN(Q533)-FIND("x",Q533)-1),LEN(RIGHT(Q533,LEN(Q533)-FIND("x",Q533)-1))-2)))</f>
        <v>72</v>
      </c>
    </row>
    <row r="534" spans="1:19" x14ac:dyDescent="0.25">
      <c r="A534" t="s">
        <v>1236</v>
      </c>
      <c r="B534" t="s">
        <v>678</v>
      </c>
      <c r="C534" s="5">
        <f>convertNumberStringPointToNumberComma(IFERROR(LEFT(B534,(FIND("-",B534)-1)),LEFT(B534,FIND("mm",B534)-1)))</f>
        <v>50</v>
      </c>
      <c r="D534" s="5">
        <f>convertNumberStringPointToNumberComma(IFERROR(RIGHT(LEFT(B534,FIND("m",B534)-1),LEN(LEFT(B534,FIND("m",B534)-1))-FIND("-",LEFT(B534,FIND("m",B534)-1))-1),C534))</f>
        <v>50</v>
      </c>
      <c r="E534" t="s">
        <v>2643</v>
      </c>
      <c r="F534" s="9">
        <f>convertNumberStringPointToNumberComma(LEFT(MID(E534,3,9),IFERROR(FIND("-",MID(E534,3,9))-2,3)))</f>
        <v>1.4</v>
      </c>
      <c r="G534" s="9">
        <f>convertNumberStringPointToNumberComma(RIGHT(E534,IF(ISERROR(FIND(".",RIGHT(E534,3))),1,3)))</f>
        <v>1.4</v>
      </c>
      <c r="H534" t="s">
        <v>62</v>
      </c>
      <c r="I534" s="5" t="str">
        <f>IF(H534="none",0,LEFT(H534,LEN(H534)-2))</f>
        <v>55</v>
      </c>
      <c r="J534" s="5" t="s">
        <v>32</v>
      </c>
      <c r="K534" s="10">
        <f>IF(J534="",0,convertNumberStringPointToNumberComma(LEFT(J534,LEN(J534)-1)))</f>
        <v>0.12</v>
      </c>
      <c r="L534" t="s">
        <v>2686</v>
      </c>
      <c r="M534" t="s">
        <v>2757</v>
      </c>
      <c r="N534" t="s">
        <v>913</v>
      </c>
      <c r="O534" t="s">
        <v>2852</v>
      </c>
      <c r="P534" s="5" t="str">
        <f>LEFT(O534,LEN(O534)-1)</f>
        <v>220</v>
      </c>
      <c r="Q534" t="s">
        <v>3382</v>
      </c>
      <c r="R534" s="52">
        <f>_xlfn.NUMBERVALUE(convertNumberStringPointToNumberComma(LEFT(Q534,FIND("x",Q534)-2)))</f>
        <v>66</v>
      </c>
      <c r="S534" s="52">
        <f>_xlfn.NUMBERVALUE(convertNumberStringPointToNumberComma(LEFT(RIGHT(Q534,LEN(Q534)-FIND("x",Q534)-1),LEN(RIGHT(Q534,LEN(Q534)-FIND("x",Q534)-1))-2)))</f>
        <v>43</v>
      </c>
    </row>
    <row r="535" spans="1:19" x14ac:dyDescent="0.25">
      <c r="A535" t="s">
        <v>1659</v>
      </c>
      <c r="B535" t="s">
        <v>678</v>
      </c>
      <c r="E535" t="s">
        <v>2643</v>
      </c>
      <c r="H535" t="s">
        <v>91</v>
      </c>
      <c r="M535" t="s">
        <v>2682</v>
      </c>
      <c r="N535" t="s">
        <v>913</v>
      </c>
      <c r="O535" t="s">
        <v>223</v>
      </c>
      <c r="Q535" t="s">
        <v>3600</v>
      </c>
      <c r="R535" s="52">
        <f>_xlfn.NUMBERVALUE(convertNumberStringPointToNumberComma(LEFT(Q535,FIND("x",Q535)-2)))</f>
        <v>66</v>
      </c>
      <c r="S535" s="52">
        <f>_xlfn.NUMBERVALUE(convertNumberStringPointToNumberComma(LEFT(RIGHT(Q535,LEN(Q535)-FIND("x",Q535)-1),LEN(RIGHT(Q535,LEN(Q535)-FIND("x",Q535)-1))-2)))</f>
        <v>45</v>
      </c>
    </row>
    <row r="536" spans="1:19" x14ac:dyDescent="0.25">
      <c r="A536" t="s">
        <v>2608</v>
      </c>
      <c r="B536" t="s">
        <v>1036</v>
      </c>
      <c r="E536" t="s">
        <v>2639</v>
      </c>
      <c r="H536" t="s">
        <v>318</v>
      </c>
      <c r="L536" t="s">
        <v>3175</v>
      </c>
      <c r="M536" t="s">
        <v>8</v>
      </c>
      <c r="N536" t="s">
        <v>903</v>
      </c>
      <c r="O536" t="s">
        <v>380</v>
      </c>
      <c r="Q536" t="s">
        <v>4066</v>
      </c>
      <c r="R536" s="52">
        <f>_xlfn.NUMBERVALUE(convertNumberStringPointToNumberComma(LEFT(Q536,FIND("x",Q536)-2)))</f>
        <v>66</v>
      </c>
      <c r="S536" s="52">
        <f>_xlfn.NUMBERVALUE(convertNumberStringPointToNumberComma(LEFT(RIGHT(Q536,LEN(Q536)-FIND("x",Q536)-1),LEN(RIGHT(Q536,LEN(Q536)-FIND("x",Q536)-1))-2)))</f>
        <v>59.5</v>
      </c>
    </row>
    <row r="537" spans="1:19" x14ac:dyDescent="0.25">
      <c r="A537" t="s">
        <v>977</v>
      </c>
      <c r="B537" t="s">
        <v>942</v>
      </c>
      <c r="C537" s="5">
        <f>convertNumberStringPointToNumberComma(IFERROR(LEFT(B537,(FIND("-",B537)-1)),LEFT(B537,FIND("mm",B537)-1)))</f>
        <v>12</v>
      </c>
      <c r="D537" s="5">
        <f>convertNumberStringPointToNumberComma(IFERROR(RIGHT(LEFT(B537,FIND("m",B537)-1),LEN(LEFT(B537,FIND("m",B537)-1))-FIND("-",LEFT(B537,FIND("m",B537)-1))-1),C537))</f>
        <v>0</v>
      </c>
      <c r="E537" t="s">
        <v>2639</v>
      </c>
      <c r="F537" s="9">
        <f>convertNumberStringPointToNumberComma(LEFT(MID(E537,3,9),IFERROR(FIND("-",MID(E537,3,9))-2,3)))</f>
        <v>3</v>
      </c>
      <c r="G537" s="9">
        <f>convertNumberStringPointToNumberComma(RIGHT(E537,IF(ISERROR(FIND(".",RIGHT(E537,3))),1,3)))</f>
        <v>5.6</v>
      </c>
      <c r="H537" t="s">
        <v>91</v>
      </c>
      <c r="I537" s="5" t="str">
        <f>IF(H537="none",0,LEFT(H537,LEN(H537)-2))</f>
        <v>58</v>
      </c>
      <c r="J537" s="5" t="s">
        <v>264</v>
      </c>
      <c r="K537" s="10">
        <f>IF(J537="",0,convertNumberStringPointToNumberComma(LEFT(J537,LEN(J537)-1)))</f>
        <v>0.1</v>
      </c>
      <c r="L537" t="s">
        <v>2725</v>
      </c>
      <c r="M537" t="s">
        <v>2680</v>
      </c>
      <c r="N537" t="s">
        <v>2681</v>
      </c>
      <c r="O537" t="s">
        <v>2714</v>
      </c>
      <c r="P537" s="5" t="str">
        <f>LEFT(O537,LEN(O537)-1)</f>
        <v>210</v>
      </c>
      <c r="Q537" t="s">
        <v>3236</v>
      </c>
      <c r="R537" s="52">
        <f>_xlfn.NUMBERVALUE(convertNumberStringPointToNumberComma(LEFT(Q537,FIND("x",Q537)-2)))</f>
        <v>66</v>
      </c>
      <c r="S537" s="52">
        <f>_xlfn.NUMBERVALUE(convertNumberStringPointToNumberComma(LEFT(RIGHT(Q537,LEN(Q537)-FIND("x",Q537)-1),LEN(RIGHT(Q537,LEN(Q537)-FIND("x",Q537)-1))-2)))</f>
        <v>71</v>
      </c>
    </row>
    <row r="538" spans="1:19" x14ac:dyDescent="0.25">
      <c r="B538" t="s">
        <v>222</v>
      </c>
      <c r="E538" t="s">
        <v>2961</v>
      </c>
      <c r="H538" t="s">
        <v>91</v>
      </c>
      <c r="M538" t="s">
        <v>2674</v>
      </c>
      <c r="N538" t="s">
        <v>913</v>
      </c>
      <c r="O538" t="s">
        <v>3133</v>
      </c>
      <c r="Q538" t="s">
        <v>3940</v>
      </c>
      <c r="R538" s="52">
        <f>_xlfn.NUMBERVALUE(convertNumberStringPointToNumberComma(LEFT(Q538,FIND("x",Q538)-2)))</f>
        <v>66.400000000000006</v>
      </c>
      <c r="S538" s="52">
        <f>_xlfn.NUMBERVALUE(convertNumberStringPointToNumberComma(LEFT(RIGHT(Q538,LEN(Q538)-FIND("x",Q538)-1),LEN(RIGHT(Q538,LEN(Q538)-FIND("x",Q538)-1))-2)))</f>
        <v>67.5</v>
      </c>
    </row>
    <row r="539" spans="1:19" x14ac:dyDescent="0.25">
      <c r="A539" t="s">
        <v>2527</v>
      </c>
      <c r="B539" t="s">
        <v>1036</v>
      </c>
      <c r="E539" t="s">
        <v>2634</v>
      </c>
      <c r="H539" t="s">
        <v>91</v>
      </c>
      <c r="L539" t="s">
        <v>2728</v>
      </c>
      <c r="M539" t="s">
        <v>2708</v>
      </c>
      <c r="N539" t="s">
        <v>903</v>
      </c>
      <c r="O539" t="s">
        <v>2921</v>
      </c>
      <c r="Q539" t="s">
        <v>4038</v>
      </c>
      <c r="R539" s="52">
        <f>_xlfn.NUMBERVALUE(convertNumberStringPointToNumberComma(LEFT(Q539,FIND("x",Q539)-2)))</f>
        <v>66.5</v>
      </c>
      <c r="S539" s="52">
        <f>_xlfn.NUMBERVALUE(convertNumberStringPointToNumberComma(LEFT(RIGHT(Q539,LEN(Q539)-FIND("x",Q539)-1),LEN(RIGHT(Q539,LEN(Q539)-FIND("x",Q539)-1))-2)))</f>
        <v>61.8</v>
      </c>
    </row>
    <row r="540" spans="1:19" x14ac:dyDescent="0.25">
      <c r="A540" t="s">
        <v>917</v>
      </c>
      <c r="B540" t="s">
        <v>3196</v>
      </c>
      <c r="C540" s="5">
        <f>convertNumberStringPointToNumberComma(IFERROR(LEFT(B540,(FIND("-",B540)-1)),LEFT(B540,FIND("mm",B540)-1)))</f>
        <v>16</v>
      </c>
      <c r="D540" s="5">
        <f>convertNumberStringPointToNumberComma(IFERROR(RIGHT(LEFT(B540,FIND("m",B540)-1),LEN(LEFT(B540,FIND("m",B540)-1))-FIND("-",LEFT(B540,FIND("m",B540)-1))-1),C540))</f>
        <v>70</v>
      </c>
      <c r="E540" t="s">
        <v>2633</v>
      </c>
      <c r="F540" s="9">
        <f>convertNumberStringPointToNumberComma(LEFT(MID(E540,3,9),IFERROR(FIND("-",MID(E540,3,9))-2,3)))</f>
        <v>4</v>
      </c>
      <c r="G540" s="9">
        <f>convertNumberStringPointToNumberComma(RIGHT(E540,IF(ISERROR(FIND(".",RIGHT(E540,3))),1,3)))</f>
        <v>4</v>
      </c>
      <c r="H540" t="s">
        <v>62</v>
      </c>
      <c r="I540" s="5" t="str">
        <f>IF(H540="none",0,LEFT(H540,LEN(H540)-2))</f>
        <v>55</v>
      </c>
      <c r="J540" s="5" t="s">
        <v>238</v>
      </c>
      <c r="K540" s="10">
        <f>IF(J540="",0,convertNumberStringPointToNumberComma(LEFT(J540,LEN(J540)-1)))</f>
        <v>0.34</v>
      </c>
      <c r="L540" t="s">
        <v>2675</v>
      </c>
      <c r="M540" t="s">
        <v>2674</v>
      </c>
      <c r="N540" t="s">
        <v>903</v>
      </c>
      <c r="O540" t="s">
        <v>2676</v>
      </c>
      <c r="P540" s="5" t="str">
        <f>LEFT(O540,LEN(O540)-1)</f>
        <v>308</v>
      </c>
      <c r="Q540" t="s">
        <v>3198</v>
      </c>
      <c r="R540" s="52">
        <f>_xlfn.NUMBERVALUE(convertNumberStringPointToNumberComma(LEFT(Q540,FIND("x",Q540)-2)))</f>
        <v>66.599999999999994</v>
      </c>
      <c r="S540" s="52">
        <f>_xlfn.NUMBERVALUE(convertNumberStringPointToNumberComma(LEFT(RIGHT(Q540,LEN(Q540)-FIND("x",Q540)-1),LEN(RIGHT(Q540,LEN(Q540)-FIND("x",Q540)-1))-2)))</f>
        <v>75</v>
      </c>
    </row>
    <row r="541" spans="1:19" x14ac:dyDescent="0.25">
      <c r="A541" t="s">
        <v>981</v>
      </c>
      <c r="B541" t="s">
        <v>982</v>
      </c>
      <c r="C541" s="5">
        <f>convertNumberStringPointToNumberComma(IFERROR(LEFT(B541,(FIND("-",B541)-1)),LEFT(B541,FIND("mm",B541)-1)))</f>
        <v>14</v>
      </c>
      <c r="D541" s="5">
        <f>convertNumberStringPointToNumberComma(IFERROR(RIGHT(LEFT(B541,FIND("m",B541)-1),LEN(LEFT(B541,FIND("m",B541)-1))-FIND("-",LEFT(B541,FIND("m",B541)-1))-1),C541))</f>
        <v>40</v>
      </c>
      <c r="E541" t="s">
        <v>2639</v>
      </c>
      <c r="F541" s="9">
        <f>convertNumberStringPointToNumberComma(LEFT(MID(E541,3,9),IFERROR(FIND("-",MID(E541,3,9))-2,3)))</f>
        <v>3</v>
      </c>
      <c r="G541" s="9">
        <f>convertNumberStringPointToNumberComma(RIGHT(E541,IF(ISERROR(FIND(".",RIGHT(E541,3))),1,3)))</f>
        <v>5.6</v>
      </c>
      <c r="H541" t="s">
        <v>91</v>
      </c>
      <c r="I541" s="5" t="str">
        <f>IF(H541="none",0,LEFT(H541,LEN(H541)-2))</f>
        <v>58</v>
      </c>
      <c r="J541" s="5" t="s">
        <v>251</v>
      </c>
      <c r="K541" s="10">
        <f>IF(J541="",0,convertNumberStringPointToNumberComma(LEFT(J541,LEN(J541)-1)))</f>
        <v>0.22</v>
      </c>
      <c r="L541" t="s">
        <v>2728</v>
      </c>
      <c r="M541" t="s">
        <v>2680</v>
      </c>
      <c r="N541" t="s">
        <v>2681</v>
      </c>
      <c r="O541" t="s">
        <v>388</v>
      </c>
      <c r="P541" s="5" t="str">
        <f>LEFT(O541,LEN(O541)-1)</f>
        <v>265</v>
      </c>
      <c r="Q541" t="s">
        <v>3238</v>
      </c>
      <c r="R541" s="52">
        <f>_xlfn.NUMBERVALUE(convertNumberStringPointToNumberComma(LEFT(Q541,FIND("x",Q541)-2)))</f>
        <v>67</v>
      </c>
      <c r="S541" s="52">
        <f>_xlfn.NUMBERVALUE(convertNumberStringPointToNumberComma(LEFT(RIGHT(Q541,LEN(Q541)-FIND("x",Q541)-1),LEN(RIGHT(Q541,LEN(Q541)-FIND("x",Q541)-1))-2)))</f>
        <v>75</v>
      </c>
    </row>
    <row r="542" spans="1:19" x14ac:dyDescent="0.25">
      <c r="B542" t="s">
        <v>960</v>
      </c>
      <c r="E542" t="s">
        <v>2647</v>
      </c>
      <c r="H542" t="s">
        <v>2668</v>
      </c>
      <c r="M542" t="s">
        <v>2674</v>
      </c>
      <c r="N542" t="s">
        <v>913</v>
      </c>
      <c r="Q542" t="s">
        <v>3991</v>
      </c>
      <c r="R542" s="52">
        <f>_xlfn.NUMBERVALUE(convertNumberStringPointToNumberComma(LEFT(Q542,FIND("x",Q542)-2)))</f>
        <v>67.400000000000006</v>
      </c>
      <c r="S542" s="52">
        <f>_xlfn.NUMBERVALUE(convertNumberStringPointToNumberComma(LEFT(RIGHT(Q542,LEN(Q542)-FIND("x",Q542)-1),LEN(RIGHT(Q542,LEN(Q542)-FIND("x",Q542)-1))-2)))</f>
        <v>74.3</v>
      </c>
    </row>
    <row r="543" spans="1:19" x14ac:dyDescent="0.25">
      <c r="A543" t="s">
        <v>1064</v>
      </c>
      <c r="B543" t="s">
        <v>1065</v>
      </c>
      <c r="C543" s="5">
        <f>convertNumberStringPointToNumberComma(IFERROR(LEFT(B543,(FIND("-",B543)-1)),LEFT(B543,FIND("mm",B543)-1)))</f>
        <v>35</v>
      </c>
      <c r="D543" s="5">
        <f>convertNumberStringPointToNumberComma(IFERROR(RIGHT(LEFT(B543,FIND("m",B543)-1),LEN(LEFT(B543,FIND("m",B543)-1))-FIND("-",LEFT(B543,FIND("m",B543)-1))-1),C543))</f>
        <v>0</v>
      </c>
      <c r="E543" t="s">
        <v>2632</v>
      </c>
      <c r="F543" s="9">
        <f>convertNumberStringPointToNumberComma(LEFT(MID(E543,3,9),IFERROR(FIND("-",MID(E543,3,9))-2,3)))</f>
        <v>2.8</v>
      </c>
      <c r="G543" s="9">
        <f>convertNumberStringPointToNumberComma(RIGHT(E543,IF(ISERROR(FIND(".",RIGHT(E543,3))),1,3)))</f>
        <v>2.8</v>
      </c>
      <c r="H543" t="s">
        <v>91</v>
      </c>
      <c r="I543" s="5" t="str">
        <f>IF(H543="none",0,LEFT(H543,LEN(H543)-2))</f>
        <v>58</v>
      </c>
      <c r="J543" s="5" t="s">
        <v>16</v>
      </c>
      <c r="K543" s="10">
        <f>IF(J543="",0,convertNumberStringPointToNumberComma(LEFT(J543,LEN(J543)-1)))</f>
        <v>0.17</v>
      </c>
      <c r="L543" t="s">
        <v>2726</v>
      </c>
      <c r="M543" t="s">
        <v>2680</v>
      </c>
      <c r="N543" t="s">
        <v>2681</v>
      </c>
      <c r="O543" t="s">
        <v>2772</v>
      </c>
      <c r="P543" s="5" t="str">
        <f>LEFT(O543,LEN(O543)-1)</f>
        <v>357</v>
      </c>
      <c r="Q543" t="s">
        <v>3291</v>
      </c>
      <c r="R543" s="52">
        <f>_xlfn.NUMBERVALUE(convertNumberStringPointToNumberComma(LEFT(Q543,FIND("x",Q543)-2)))</f>
        <v>67.400000000000006</v>
      </c>
      <c r="S543" s="52">
        <f>_xlfn.NUMBERVALUE(convertNumberStringPointToNumberComma(LEFT(RIGHT(Q543,LEN(Q543)-FIND("x",Q543)-1),LEN(RIGHT(Q543,LEN(Q543)-FIND("x",Q543)-1))-2)))</f>
        <v>99.9</v>
      </c>
    </row>
    <row r="544" spans="1:19" x14ac:dyDescent="0.25">
      <c r="A544" t="s">
        <v>2498</v>
      </c>
      <c r="B544" t="s">
        <v>1065</v>
      </c>
      <c r="E544" t="s">
        <v>2632</v>
      </c>
      <c r="H544" t="s">
        <v>91</v>
      </c>
      <c r="L544" t="s">
        <v>2726</v>
      </c>
      <c r="M544" t="s">
        <v>2680</v>
      </c>
      <c r="N544" t="s">
        <v>2681</v>
      </c>
      <c r="O544" t="s">
        <v>2826</v>
      </c>
      <c r="Q544" t="s">
        <v>3291</v>
      </c>
      <c r="R544" s="52">
        <f>_xlfn.NUMBERVALUE(convertNumberStringPointToNumberComma(LEFT(Q544,FIND("x",Q544)-2)))</f>
        <v>67.400000000000006</v>
      </c>
      <c r="S544" s="52">
        <f>_xlfn.NUMBERVALUE(convertNumberStringPointToNumberComma(LEFT(RIGHT(Q544,LEN(Q544)-FIND("x",Q544)-1),LEN(RIGHT(Q544,LEN(Q544)-FIND("x",Q544)-1))-2)))</f>
        <v>99.9</v>
      </c>
    </row>
    <row r="545" spans="1:19" x14ac:dyDescent="0.25">
      <c r="A545" t="s">
        <v>1545</v>
      </c>
      <c r="B545" t="s">
        <v>505</v>
      </c>
      <c r="E545" t="s">
        <v>2632</v>
      </c>
      <c r="H545" t="s">
        <v>91</v>
      </c>
      <c r="L545" t="s">
        <v>2704</v>
      </c>
      <c r="M545" t="s">
        <v>2682</v>
      </c>
      <c r="N545" t="s">
        <v>913</v>
      </c>
      <c r="O545" t="s">
        <v>442</v>
      </c>
      <c r="Q545" t="s">
        <v>3547</v>
      </c>
      <c r="R545" s="52">
        <f>_xlfn.NUMBERVALUE(convertNumberStringPointToNumberComma(LEFT(Q545,FIND("x",Q545)-2)))</f>
        <v>67.5</v>
      </c>
      <c r="S545" s="52">
        <f>_xlfn.NUMBERVALUE(convertNumberStringPointToNumberComma(LEFT(RIGHT(Q545,LEN(Q545)-FIND("x",Q545)-1),LEN(RIGHT(Q545,LEN(Q545)-FIND("x",Q545)-1))-2)))</f>
        <v>48.5</v>
      </c>
    </row>
    <row r="546" spans="1:19" x14ac:dyDescent="0.25">
      <c r="A546" t="s">
        <v>1132</v>
      </c>
      <c r="B546" t="s">
        <v>678</v>
      </c>
      <c r="C546" s="5">
        <f>convertNumberStringPointToNumberComma(IFERROR(LEFT(B546,(FIND("-",B546)-1)),LEFT(B546,FIND("mm",B546)-1)))</f>
        <v>50</v>
      </c>
      <c r="D546" s="5">
        <f>convertNumberStringPointToNumberComma(IFERROR(RIGHT(LEFT(B546,FIND("m",B546)-1),LEN(LEFT(B546,FIND("m",B546)-1))-FIND("-",LEFT(B546,FIND("m",B546)-1))-1),C546))</f>
        <v>50</v>
      </c>
      <c r="E546" t="s">
        <v>2632</v>
      </c>
      <c r="F546" s="9">
        <f>convertNumberStringPointToNumberComma(LEFT(MID(E546,3,9),IFERROR(FIND("-",MID(E546,3,9))-2,3)))</f>
        <v>2.8</v>
      </c>
      <c r="G546" s="9">
        <f>convertNumberStringPointToNumberComma(RIGHT(E546,IF(ISERROR(FIND(".",RIGHT(E546,3))),1,3)))</f>
        <v>2.8</v>
      </c>
      <c r="H546" t="s">
        <v>2667</v>
      </c>
      <c r="I546" s="5" t="str">
        <f>IF(H546="none",0,LEFT(H546,LEN(H546)-2))</f>
        <v>49</v>
      </c>
      <c r="J546" s="5" t="s">
        <v>63</v>
      </c>
      <c r="K546" s="10">
        <f>IF(J546="",0,convertNumberStringPointToNumberComma(LEFT(J546,LEN(J546)-1)))</f>
        <v>1</v>
      </c>
      <c r="L546" t="s">
        <v>2707</v>
      </c>
      <c r="M546" t="s">
        <v>2802</v>
      </c>
      <c r="N546" t="s">
        <v>913</v>
      </c>
      <c r="O546" t="s">
        <v>388</v>
      </c>
      <c r="P546" s="5" t="str">
        <f>LEFT(O546,LEN(O546)-1)</f>
        <v>265</v>
      </c>
      <c r="Q546" t="s">
        <v>3323</v>
      </c>
      <c r="R546" s="52">
        <f>_xlfn.NUMBERVALUE(convertNumberStringPointToNumberComma(LEFT(Q546,FIND("x",Q546)-2)))</f>
        <v>67.5</v>
      </c>
      <c r="S546" s="52">
        <f>_xlfn.NUMBERVALUE(convertNumberStringPointToNumberComma(LEFT(RIGHT(Q546,LEN(Q546)-FIND("x",Q546)-1),LEN(RIGHT(Q546,LEN(Q546)-FIND("x",Q546)-1))-2)))</f>
        <v>60.5</v>
      </c>
    </row>
    <row r="547" spans="1:19" x14ac:dyDescent="0.25">
      <c r="A547" t="s">
        <v>1187</v>
      </c>
      <c r="B547" t="s">
        <v>1036</v>
      </c>
      <c r="C547" s="5">
        <f>convertNumberStringPointToNumberComma(IFERROR(LEFT(B547,(FIND("-",B547)-1)),LEFT(B547,FIND("mm",B547)-1)))</f>
        <v>18</v>
      </c>
      <c r="D547" s="5">
        <f>convertNumberStringPointToNumberComma(IFERROR(RIGHT(LEFT(B547,FIND("m",B547)-1),LEN(LEFT(B547,FIND("m",B547)-1))-FIND("-",LEFT(B547,FIND("m",B547)-1))-1),C547))</f>
        <v>5</v>
      </c>
      <c r="E547" t="s">
        <v>2639</v>
      </c>
      <c r="F547" s="9">
        <f>convertNumberStringPointToNumberComma(LEFT(MID(E547,3,9),IFERROR(FIND("-",MID(E547,3,9))-2,3)))</f>
        <v>3</v>
      </c>
      <c r="G547" s="9">
        <f>convertNumberStringPointToNumberComma(RIGHT(E547,IF(ISERROR(FIND(".",RIGHT(E547,3))),1,3)))</f>
        <v>5.6</v>
      </c>
      <c r="H547" t="s">
        <v>318</v>
      </c>
      <c r="I547" s="5" t="str">
        <f>IF(H547="none",0,LEFT(H547,LEN(H547)-2))</f>
        <v>52</v>
      </c>
      <c r="J547" s="5" t="s">
        <v>122</v>
      </c>
      <c r="K547" s="10">
        <f>IF(J547="",0,convertNumberStringPointToNumberComma(LEFT(J547,LEN(J547)-1)))</f>
        <v>0.14000000000000001</v>
      </c>
      <c r="L547" t="s">
        <v>2743</v>
      </c>
      <c r="M547" t="s">
        <v>2802</v>
      </c>
      <c r="N547" t="s">
        <v>903</v>
      </c>
      <c r="O547" t="s">
        <v>17</v>
      </c>
      <c r="P547" s="5" t="str">
        <f>LEFT(O547,LEN(O547)-1)</f>
        <v>230</v>
      </c>
      <c r="Q547" t="s">
        <v>3352</v>
      </c>
      <c r="R547" s="52">
        <f>_xlfn.NUMBERVALUE(convertNumberStringPointToNumberComma(LEFT(Q547,FIND("x",Q547)-2)))</f>
        <v>67.5</v>
      </c>
      <c r="S547" s="52">
        <f>_xlfn.NUMBERVALUE(convertNumberStringPointToNumberComma(LEFT(RIGHT(Q547,LEN(Q547)-FIND("x",Q547)-1),LEN(RIGHT(Q547,LEN(Q547)-FIND("x",Q547)-1))-2)))</f>
        <v>68.5</v>
      </c>
    </row>
    <row r="548" spans="1:19" x14ac:dyDescent="0.25">
      <c r="A548" t="s">
        <v>1417</v>
      </c>
      <c r="B548" t="s">
        <v>678</v>
      </c>
      <c r="E548" t="s">
        <v>2648</v>
      </c>
      <c r="H548" t="s">
        <v>84</v>
      </c>
      <c r="M548" t="s">
        <v>2680</v>
      </c>
      <c r="N548" t="s">
        <v>2681</v>
      </c>
      <c r="O548" t="s">
        <v>2747</v>
      </c>
      <c r="Q548" t="s">
        <v>3488</v>
      </c>
      <c r="R548" s="52">
        <f>_xlfn.NUMBERVALUE(convertNumberStringPointToNumberComma(LEFT(Q548,FIND("x",Q548)-2)))</f>
        <v>67.5</v>
      </c>
      <c r="S548" s="52">
        <f>_xlfn.NUMBERVALUE(convertNumberStringPointToNumberComma(LEFT(RIGHT(Q548,LEN(Q548)-FIND("x",Q548)-1),LEN(RIGHT(Q548,LEN(Q548)-FIND("x",Q548)-1))-2)))</f>
        <v>73</v>
      </c>
    </row>
    <row r="549" spans="1:19" x14ac:dyDescent="0.25">
      <c r="A549" t="s">
        <v>1447</v>
      </c>
      <c r="B549" t="s">
        <v>678</v>
      </c>
      <c r="E549" t="s">
        <v>2648</v>
      </c>
      <c r="H549" t="s">
        <v>84</v>
      </c>
      <c r="M549" t="s">
        <v>2680</v>
      </c>
      <c r="N549" t="s">
        <v>2681</v>
      </c>
      <c r="O549" t="s">
        <v>2747</v>
      </c>
      <c r="Q549" t="s">
        <v>3488</v>
      </c>
      <c r="R549" s="52">
        <f>_xlfn.NUMBERVALUE(convertNumberStringPointToNumberComma(LEFT(Q549,FIND("x",Q549)-2)))</f>
        <v>67.5</v>
      </c>
      <c r="S549" s="52">
        <f>_xlfn.NUMBERVALUE(convertNumberStringPointToNumberComma(LEFT(RIGHT(Q549,LEN(Q549)-FIND("x",Q549)-1),LEN(RIGHT(Q549,LEN(Q549)-FIND("x",Q549)-1))-2)))</f>
        <v>73</v>
      </c>
    </row>
    <row r="550" spans="1:19" x14ac:dyDescent="0.25">
      <c r="A550" t="s">
        <v>2126</v>
      </c>
      <c r="B550" t="s">
        <v>592</v>
      </c>
      <c r="E550" t="s">
        <v>2648</v>
      </c>
      <c r="H550" t="s">
        <v>84</v>
      </c>
      <c r="M550" t="s">
        <v>2680</v>
      </c>
      <c r="N550" t="s">
        <v>2681</v>
      </c>
      <c r="O550" t="s">
        <v>2699</v>
      </c>
      <c r="Q550" t="s">
        <v>3488</v>
      </c>
      <c r="R550" s="52">
        <f>_xlfn.NUMBERVALUE(convertNumberStringPointToNumberComma(LEFT(Q550,FIND("x",Q550)-2)))</f>
        <v>67.5</v>
      </c>
      <c r="S550" s="52">
        <f>_xlfn.NUMBERVALUE(convertNumberStringPointToNumberComma(LEFT(RIGHT(Q550,LEN(Q550)-FIND("x",Q550)-1),LEN(RIGHT(Q550,LEN(Q550)-FIND("x",Q550)-1))-2)))</f>
        <v>73</v>
      </c>
    </row>
    <row r="551" spans="1:19" x14ac:dyDescent="0.25">
      <c r="A551" t="s">
        <v>1414</v>
      </c>
      <c r="B551" t="s">
        <v>678</v>
      </c>
      <c r="E551" t="s">
        <v>2648</v>
      </c>
      <c r="H551" t="s">
        <v>84</v>
      </c>
      <c r="M551" t="s">
        <v>2763</v>
      </c>
      <c r="N551" t="s">
        <v>903</v>
      </c>
      <c r="O551" t="s">
        <v>363</v>
      </c>
      <c r="Q551" t="s">
        <v>3485</v>
      </c>
      <c r="R551" s="52">
        <f>_xlfn.NUMBERVALUE(convertNumberStringPointToNumberComma(LEFT(Q551,FIND("x",Q551)-2)))</f>
        <v>67.5</v>
      </c>
      <c r="S551" s="52">
        <f>_xlfn.NUMBERVALUE(convertNumberStringPointToNumberComma(LEFT(RIGHT(Q551,LEN(Q551)-FIND("x",Q551)-1),LEN(RIGHT(Q551,LEN(Q551)-FIND("x",Q551)-1))-2)))</f>
        <v>74.099999999999994</v>
      </c>
    </row>
    <row r="552" spans="1:19" x14ac:dyDescent="0.25">
      <c r="A552" t="s">
        <v>1449</v>
      </c>
      <c r="B552" t="s">
        <v>678</v>
      </c>
      <c r="E552" t="s">
        <v>2648</v>
      </c>
      <c r="H552" t="s">
        <v>84</v>
      </c>
      <c r="M552" t="s">
        <v>2763</v>
      </c>
      <c r="N552" t="s">
        <v>903</v>
      </c>
      <c r="O552" t="s">
        <v>363</v>
      </c>
      <c r="Q552" t="s">
        <v>3485</v>
      </c>
      <c r="R552" s="52">
        <f>_xlfn.NUMBERVALUE(convertNumberStringPointToNumberComma(LEFT(Q552,FIND("x",Q552)-2)))</f>
        <v>67.5</v>
      </c>
      <c r="S552" s="52">
        <f>_xlfn.NUMBERVALUE(convertNumberStringPointToNumberComma(LEFT(RIGHT(Q552,LEN(Q552)-FIND("x",Q552)-1),LEN(RIGHT(Q552,LEN(Q552)-FIND("x",Q552)-1))-2)))</f>
        <v>74.099999999999994</v>
      </c>
    </row>
    <row r="553" spans="1:19" x14ac:dyDescent="0.25">
      <c r="A553" t="s">
        <v>2119</v>
      </c>
      <c r="B553" t="s">
        <v>592</v>
      </c>
      <c r="E553" t="s">
        <v>2648</v>
      </c>
      <c r="H553" t="s">
        <v>84</v>
      </c>
      <c r="M553" t="s">
        <v>2763</v>
      </c>
      <c r="N553" t="s">
        <v>903</v>
      </c>
      <c r="O553" t="s">
        <v>303</v>
      </c>
      <c r="Q553" t="s">
        <v>3485</v>
      </c>
      <c r="R553" s="52">
        <f>_xlfn.NUMBERVALUE(convertNumberStringPointToNumberComma(LEFT(Q553,FIND("x",Q553)-2)))</f>
        <v>67.5</v>
      </c>
      <c r="S553" s="52">
        <f>_xlfn.NUMBERVALUE(convertNumberStringPointToNumberComma(LEFT(RIGHT(Q553,LEN(Q553)-FIND("x",Q553)-1),LEN(RIGHT(Q553,LEN(Q553)-FIND("x",Q553)-1))-2)))</f>
        <v>74.099999999999994</v>
      </c>
    </row>
    <row r="554" spans="1:19" x14ac:dyDescent="0.25">
      <c r="A554" t="s">
        <v>1416</v>
      </c>
      <c r="B554" t="s">
        <v>678</v>
      </c>
      <c r="E554" t="s">
        <v>2648</v>
      </c>
      <c r="H554" t="s">
        <v>84</v>
      </c>
      <c r="M554" t="s">
        <v>2674</v>
      </c>
      <c r="N554" t="s">
        <v>903</v>
      </c>
      <c r="O554" t="s">
        <v>363</v>
      </c>
      <c r="Q554" t="s">
        <v>3487</v>
      </c>
      <c r="R554" s="52">
        <f>_xlfn.NUMBERVALUE(convertNumberStringPointToNumberComma(LEFT(Q554,FIND("x",Q554)-2)))</f>
        <v>67.5</v>
      </c>
      <c r="S554" s="52">
        <f>_xlfn.NUMBERVALUE(convertNumberStringPointToNumberComma(LEFT(RIGHT(Q554,LEN(Q554)-FIND("x",Q554)-1),LEN(RIGHT(Q554,LEN(Q554)-FIND("x",Q554)-1))-2)))</f>
        <v>74.2</v>
      </c>
    </row>
    <row r="555" spans="1:19" x14ac:dyDescent="0.25">
      <c r="A555" t="s">
        <v>1446</v>
      </c>
      <c r="B555" t="s">
        <v>678</v>
      </c>
      <c r="E555" t="s">
        <v>2648</v>
      </c>
      <c r="H555" t="s">
        <v>84</v>
      </c>
      <c r="M555" t="s">
        <v>2674</v>
      </c>
      <c r="N555" t="s">
        <v>903</v>
      </c>
      <c r="O555" t="s">
        <v>363</v>
      </c>
      <c r="Q555" t="s">
        <v>3487</v>
      </c>
      <c r="R555" s="52">
        <f>_xlfn.NUMBERVALUE(convertNumberStringPointToNumberComma(LEFT(Q555,FIND("x",Q555)-2)))</f>
        <v>67.5</v>
      </c>
      <c r="S555" s="52">
        <f>_xlfn.NUMBERVALUE(convertNumberStringPointToNumberComma(LEFT(RIGHT(Q555,LEN(Q555)-FIND("x",Q555)-1),LEN(RIGHT(Q555,LEN(Q555)-FIND("x",Q555)-1))-2)))</f>
        <v>74.2</v>
      </c>
    </row>
    <row r="556" spans="1:19" x14ac:dyDescent="0.25">
      <c r="A556" t="s">
        <v>2125</v>
      </c>
      <c r="B556" t="s">
        <v>592</v>
      </c>
      <c r="E556" t="s">
        <v>2648</v>
      </c>
      <c r="H556" t="s">
        <v>84</v>
      </c>
      <c r="M556" t="s">
        <v>2674</v>
      </c>
      <c r="N556" t="s">
        <v>903</v>
      </c>
      <c r="O556" t="s">
        <v>303</v>
      </c>
      <c r="Q556" t="s">
        <v>3487</v>
      </c>
      <c r="R556" s="52">
        <f>_xlfn.NUMBERVALUE(convertNumberStringPointToNumberComma(LEFT(Q556,FIND("x",Q556)-2)))</f>
        <v>67.5</v>
      </c>
      <c r="S556" s="52">
        <f>_xlfn.NUMBERVALUE(convertNumberStringPointToNumberComma(LEFT(RIGHT(Q556,LEN(Q556)-FIND("x",Q556)-1),LEN(RIGHT(Q556,LEN(Q556)-FIND("x",Q556)-1))-2)))</f>
        <v>74.2</v>
      </c>
    </row>
    <row r="557" spans="1:19" x14ac:dyDescent="0.25">
      <c r="A557" t="s">
        <v>1415</v>
      </c>
      <c r="B557" t="s">
        <v>678</v>
      </c>
      <c r="E557" t="s">
        <v>2648</v>
      </c>
      <c r="H557" t="s">
        <v>84</v>
      </c>
      <c r="M557" t="s">
        <v>2748</v>
      </c>
      <c r="N557" t="s">
        <v>903</v>
      </c>
      <c r="O557" t="s">
        <v>825</v>
      </c>
      <c r="Q557" t="s">
        <v>3486</v>
      </c>
      <c r="R557" s="52">
        <f>_xlfn.NUMBERVALUE(convertNumberStringPointToNumberComma(LEFT(Q557,FIND("x",Q557)-2)))</f>
        <v>67.5</v>
      </c>
      <c r="S557" s="52">
        <f>_xlfn.NUMBERVALUE(convertNumberStringPointToNumberComma(LEFT(RIGHT(Q557,LEN(Q557)-FIND("x",Q557)-1),LEN(RIGHT(Q557,LEN(Q557)-FIND("x",Q557)-1))-2)))</f>
        <v>74.5</v>
      </c>
    </row>
    <row r="558" spans="1:19" x14ac:dyDescent="0.25">
      <c r="A558" t="s">
        <v>1448</v>
      </c>
      <c r="B558" t="s">
        <v>678</v>
      </c>
      <c r="E558" t="s">
        <v>2648</v>
      </c>
      <c r="H558" t="s">
        <v>84</v>
      </c>
      <c r="M558" t="s">
        <v>2748</v>
      </c>
      <c r="N558" t="s">
        <v>903</v>
      </c>
      <c r="O558" t="s">
        <v>825</v>
      </c>
      <c r="Q558" t="s">
        <v>3486</v>
      </c>
      <c r="R558" s="52">
        <f>_xlfn.NUMBERVALUE(convertNumberStringPointToNumberComma(LEFT(Q558,FIND("x",Q558)-2)))</f>
        <v>67.5</v>
      </c>
      <c r="S558" s="52">
        <f>_xlfn.NUMBERVALUE(convertNumberStringPointToNumberComma(LEFT(RIGHT(Q558,LEN(Q558)-FIND("x",Q558)-1),LEN(RIGHT(Q558,LEN(Q558)-FIND("x",Q558)-1))-2)))</f>
        <v>74.5</v>
      </c>
    </row>
    <row r="559" spans="1:19" x14ac:dyDescent="0.25">
      <c r="A559" t="s">
        <v>2124</v>
      </c>
      <c r="B559" t="s">
        <v>592</v>
      </c>
      <c r="E559" t="s">
        <v>2648</v>
      </c>
      <c r="H559" t="s">
        <v>84</v>
      </c>
      <c r="M559" t="s">
        <v>2748</v>
      </c>
      <c r="N559" t="s">
        <v>903</v>
      </c>
      <c r="O559" t="s">
        <v>3074</v>
      </c>
      <c r="Q559" t="s">
        <v>3486</v>
      </c>
      <c r="R559" s="52">
        <f>_xlfn.NUMBERVALUE(convertNumberStringPointToNumberComma(LEFT(Q559,FIND("x",Q559)-2)))</f>
        <v>67.5</v>
      </c>
      <c r="S559" s="52">
        <f>_xlfn.NUMBERVALUE(convertNumberStringPointToNumberComma(LEFT(RIGHT(Q559,LEN(Q559)-FIND("x",Q559)-1),LEN(RIGHT(Q559,LEN(Q559)-FIND("x",Q559)-1))-2)))</f>
        <v>74.5</v>
      </c>
    </row>
    <row r="560" spans="1:19" x14ac:dyDescent="0.25">
      <c r="B560" t="s">
        <v>91</v>
      </c>
      <c r="E560" t="s">
        <v>2643</v>
      </c>
      <c r="H560" t="s">
        <v>318</v>
      </c>
      <c r="M560" t="s">
        <v>8</v>
      </c>
      <c r="N560" t="s">
        <v>913</v>
      </c>
      <c r="O560" t="s">
        <v>697</v>
      </c>
      <c r="Q560" t="s">
        <v>3950</v>
      </c>
      <c r="R560" s="52">
        <f>_xlfn.NUMBERVALUE(convertNumberStringPointToNumberComma(LEFT(Q560,FIND("x",Q560)-2)))</f>
        <v>67.599999999999994</v>
      </c>
      <c r="S560" s="52">
        <f>_xlfn.NUMBERVALUE(convertNumberStringPointToNumberComma(LEFT(RIGHT(Q560,LEN(Q560)-FIND("x",Q560)-1),LEN(RIGHT(Q560,LEN(Q560)-FIND("x",Q560)-1))-2)))</f>
        <v>45.5</v>
      </c>
    </row>
    <row r="561" spans="1:19" x14ac:dyDescent="0.25">
      <c r="A561" t="s">
        <v>1546</v>
      </c>
      <c r="B561" t="s">
        <v>678</v>
      </c>
      <c r="E561" t="s">
        <v>2658</v>
      </c>
      <c r="H561" t="s">
        <v>318</v>
      </c>
      <c r="L561" t="s">
        <v>2703</v>
      </c>
      <c r="M561" t="s">
        <v>2682</v>
      </c>
      <c r="N561" t="s">
        <v>913</v>
      </c>
      <c r="O561" t="s">
        <v>632</v>
      </c>
      <c r="Q561" t="s">
        <v>3548</v>
      </c>
      <c r="R561" s="52">
        <f>_xlfn.NUMBERVALUE(convertNumberStringPointToNumberComma(LEFT(Q561,FIND("x",Q561)-2)))</f>
        <v>67.599999999999994</v>
      </c>
      <c r="S561" s="52">
        <f>_xlfn.NUMBERVALUE(convertNumberStringPointToNumberComma(LEFT(RIGHT(Q561,LEN(Q561)-FIND("x",Q561)-1),LEN(RIGHT(Q561,LEN(Q561)-FIND("x",Q561)-1))-2)))</f>
        <v>63</v>
      </c>
    </row>
    <row r="562" spans="1:19" x14ac:dyDescent="0.25">
      <c r="A562" t="s">
        <v>1032</v>
      </c>
      <c r="B562" t="s">
        <v>1033</v>
      </c>
      <c r="C562" s="5">
        <f>convertNumberStringPointToNumberComma(IFERROR(LEFT(B562,(FIND("-",B562)-1)),LEFT(B562,FIND("mm",B562)-1)))</f>
        <v>12</v>
      </c>
      <c r="D562" s="5">
        <f>convertNumberStringPointToNumberComma(IFERROR(RIGHT(LEFT(B562,FIND("m",B562)-1),LEN(LEFT(B562,FIND("m",B562)-1))-FIND("-",LEFT(B562,FIND("m",B562)-1))-1),C562))</f>
        <v>5</v>
      </c>
      <c r="E562" t="s">
        <v>2632</v>
      </c>
      <c r="F562" s="9">
        <f>convertNumberStringPointToNumberComma(LEFT(MID(E562,3,9),IFERROR(FIND("-",MID(E562,3,9))-2,3)))</f>
        <v>2.8</v>
      </c>
      <c r="G562" s="9">
        <f>convertNumberStringPointToNumberComma(RIGHT(E562,IF(ISERROR(FIND(".",RIGHT(E562,3))),1,3)))</f>
        <v>2.8</v>
      </c>
      <c r="H562" t="s">
        <v>91</v>
      </c>
      <c r="I562" s="5" t="str">
        <f>IF(H562="none",0,LEFT(H562,LEN(H562)-2))</f>
        <v>58</v>
      </c>
      <c r="J562" s="5" t="s">
        <v>122</v>
      </c>
      <c r="K562" s="10">
        <f>IF(J562="",0,convertNumberStringPointToNumberComma(LEFT(J562,LEN(J562)-1)))</f>
        <v>0.14000000000000001</v>
      </c>
      <c r="L562" t="s">
        <v>2706</v>
      </c>
      <c r="M562" t="s">
        <v>2680</v>
      </c>
      <c r="N562" t="s">
        <v>2681</v>
      </c>
      <c r="O562" t="s">
        <v>45</v>
      </c>
      <c r="P562" s="5" t="str">
        <f>LEFT(O562,LEN(O562)-1)</f>
        <v>305</v>
      </c>
      <c r="Q562" t="s">
        <v>3274</v>
      </c>
      <c r="R562" s="52">
        <f>_xlfn.NUMBERVALUE(convertNumberStringPointToNumberComma(LEFT(Q562,FIND("x",Q562)-2)))</f>
        <v>67.599999999999994</v>
      </c>
      <c r="S562" s="52">
        <f>_xlfn.NUMBERVALUE(convertNumberStringPointToNumberComma(LEFT(RIGHT(Q562,LEN(Q562)-FIND("x",Q562)-1),LEN(RIGHT(Q562,LEN(Q562)-FIND("x",Q562)-1))-2)))</f>
        <v>73.8</v>
      </c>
    </row>
    <row r="563" spans="1:19" x14ac:dyDescent="0.25">
      <c r="B563" t="s">
        <v>95</v>
      </c>
      <c r="E563" t="s">
        <v>2647</v>
      </c>
      <c r="H563" t="s">
        <v>2668</v>
      </c>
      <c r="M563" t="s">
        <v>2818</v>
      </c>
      <c r="N563" t="s">
        <v>2959</v>
      </c>
      <c r="O563" t="s">
        <v>3143</v>
      </c>
      <c r="Q563" t="s">
        <v>3947</v>
      </c>
      <c r="R563" s="52">
        <f>_xlfn.NUMBERVALUE(convertNumberStringPointToNumberComma(LEFT(Q563,FIND("x",Q563)-2)))</f>
        <v>67.8</v>
      </c>
      <c r="S563" s="52">
        <f>_xlfn.NUMBERVALUE(convertNumberStringPointToNumberComma(LEFT(RIGHT(Q563,LEN(Q563)-FIND("x",Q563)-1),LEN(RIGHT(Q563,LEN(Q563)-FIND("x",Q563)-1))-2)))</f>
        <v>58.7</v>
      </c>
    </row>
    <row r="564" spans="1:19" x14ac:dyDescent="0.25">
      <c r="B564" t="s">
        <v>95</v>
      </c>
      <c r="E564" t="s">
        <v>2647</v>
      </c>
      <c r="H564" t="s">
        <v>2668</v>
      </c>
      <c r="M564" t="s">
        <v>2674</v>
      </c>
      <c r="N564" t="s">
        <v>913</v>
      </c>
      <c r="O564" t="s">
        <v>2685</v>
      </c>
      <c r="Q564" t="s">
        <v>3602</v>
      </c>
      <c r="R564" s="52">
        <f>_xlfn.NUMBERVALUE(convertNumberStringPointToNumberComma(LEFT(Q564,FIND("x",Q564)-2)))</f>
        <v>67.8</v>
      </c>
      <c r="S564" s="52">
        <f>_xlfn.NUMBERVALUE(convertNumberStringPointToNumberComma(LEFT(RIGHT(Q564,LEN(Q564)-FIND("x",Q564)-1),LEN(RIGHT(Q564,LEN(Q564)-FIND("x",Q564)-1))-2)))</f>
        <v>73.8</v>
      </c>
    </row>
    <row r="565" spans="1:19" x14ac:dyDescent="0.25">
      <c r="A565" t="s">
        <v>2320</v>
      </c>
      <c r="B565" t="s">
        <v>2321</v>
      </c>
      <c r="E565" t="s">
        <v>2645</v>
      </c>
      <c r="H565" t="s">
        <v>741</v>
      </c>
      <c r="L565" t="s">
        <v>3120</v>
      </c>
      <c r="M565" t="s">
        <v>3066</v>
      </c>
      <c r="N565" t="s">
        <v>903</v>
      </c>
      <c r="O565" t="s">
        <v>562</v>
      </c>
      <c r="Q565" t="s">
        <v>3910</v>
      </c>
      <c r="R565" s="52">
        <f>_xlfn.NUMBERVALUE(convertNumberStringPointToNumberComma(LEFT(Q565,FIND("x",Q565)-2)))</f>
        <v>68</v>
      </c>
      <c r="S565" s="52">
        <f>_xlfn.NUMBERVALUE(convertNumberStringPointToNumberComma(LEFT(RIGHT(Q565,LEN(Q565)-FIND("x",Q565)-1),LEN(RIGHT(Q565,LEN(Q565)-FIND("x",Q565)-1))-2)))</f>
        <v>110</v>
      </c>
    </row>
    <row r="566" spans="1:19" x14ac:dyDescent="0.25">
      <c r="A566" t="s">
        <v>2452</v>
      </c>
      <c r="B566" t="s">
        <v>1033</v>
      </c>
      <c r="E566" t="s">
        <v>2632</v>
      </c>
      <c r="H566" t="s">
        <v>91</v>
      </c>
      <c r="L566" t="s">
        <v>2706</v>
      </c>
      <c r="M566" t="s">
        <v>2680</v>
      </c>
      <c r="N566" t="s">
        <v>2681</v>
      </c>
      <c r="O566" t="s">
        <v>45</v>
      </c>
      <c r="Q566" t="s">
        <v>4001</v>
      </c>
      <c r="R566" s="52">
        <f>_xlfn.NUMBERVALUE(convertNumberStringPointToNumberComma(LEFT(Q566,FIND("x",Q566)-2)))</f>
        <v>68</v>
      </c>
      <c r="S566" s="52">
        <f>_xlfn.NUMBERVALUE(convertNumberStringPointToNumberComma(LEFT(RIGHT(Q566,LEN(Q566)-FIND("x",Q566)-1),LEN(RIGHT(Q566,LEN(Q566)-FIND("x",Q566)-1))-2)))</f>
        <v>74</v>
      </c>
    </row>
    <row r="567" spans="1:19" x14ac:dyDescent="0.25">
      <c r="A567" t="s">
        <v>2452</v>
      </c>
      <c r="B567" t="s">
        <v>1033</v>
      </c>
      <c r="E567" t="s">
        <v>2632</v>
      </c>
      <c r="H567" t="s">
        <v>91</v>
      </c>
      <c r="L567" t="s">
        <v>2706</v>
      </c>
      <c r="M567" t="s">
        <v>2680</v>
      </c>
      <c r="N567" t="s">
        <v>2681</v>
      </c>
      <c r="O567" t="s">
        <v>45</v>
      </c>
      <c r="Q567" t="s">
        <v>4001</v>
      </c>
      <c r="R567" s="52">
        <f>_xlfn.NUMBERVALUE(convertNumberStringPointToNumberComma(LEFT(Q567,FIND("x",Q567)-2)))</f>
        <v>68</v>
      </c>
      <c r="S567" s="52">
        <f>_xlfn.NUMBERVALUE(convertNumberStringPointToNumberComma(LEFT(RIGHT(Q567,LEN(Q567)-FIND("x",Q567)-1),LEN(RIGHT(Q567,LEN(Q567)-FIND("x",Q567)-1))-2)))</f>
        <v>74</v>
      </c>
    </row>
    <row r="568" spans="1:19" x14ac:dyDescent="0.25">
      <c r="A568" t="s">
        <v>1110</v>
      </c>
      <c r="B568" t="s">
        <v>1019</v>
      </c>
      <c r="C568" s="5">
        <f>convertNumberStringPointToNumberComma(IFERROR(LEFT(B568,(FIND("-",B568)-1)),LEFT(B568,FIND("mm",B568)-1)))</f>
        <v>55</v>
      </c>
      <c r="D568" s="5">
        <f>convertNumberStringPointToNumberComma(IFERROR(RIGHT(LEFT(B568,FIND("m",B568)-1),LEN(LEFT(B568,FIND("m",B568)-1))-FIND("-",LEFT(B568,FIND("m",B568)-1))-1),C568))</f>
        <v>0</v>
      </c>
      <c r="E568" t="s">
        <v>2634</v>
      </c>
      <c r="F568" s="9">
        <f>convertNumberStringPointToNumberComma(LEFT(MID(E568,3,9),IFERROR(FIND("-",MID(E568,3,9))-2,3)))</f>
        <v>4</v>
      </c>
      <c r="G568" s="9">
        <f>convertNumberStringPointToNumberComma(RIGHT(E568,IF(ISERROR(FIND(".",RIGHT(E568,3))),1,3)))</f>
        <v>5.6</v>
      </c>
      <c r="H568" t="s">
        <v>318</v>
      </c>
      <c r="I568" s="5" t="str">
        <f>IF(H568="none",0,LEFT(H568,LEN(H568)-2))</f>
        <v>52</v>
      </c>
      <c r="J568" s="5"/>
      <c r="K568" s="10">
        <f>IF(J568="",0,convertNumberStringPointToNumberComma(LEFT(J568,LEN(J568)-1)))</f>
        <v>0</v>
      </c>
      <c r="M568" t="s">
        <v>8</v>
      </c>
      <c r="N568" t="s">
        <v>903</v>
      </c>
      <c r="O568" t="s">
        <v>712</v>
      </c>
      <c r="P568" s="5" t="str">
        <f>LEFT(O568,LEN(O568)-1)</f>
        <v>255</v>
      </c>
      <c r="Q568" t="s">
        <v>713</v>
      </c>
      <c r="R568" s="52">
        <f>_xlfn.NUMBERVALUE(convertNumberStringPointToNumberComma(LEFT(Q568,FIND("x",Q568)-2)))</f>
        <v>68</v>
      </c>
      <c r="S568" s="52">
        <f>_xlfn.NUMBERVALUE(convertNumberStringPointToNumberComma(LEFT(RIGHT(Q568,LEN(Q568)-FIND("x",Q568)-1),LEN(RIGHT(Q568,LEN(Q568)-FIND("x",Q568)-1))-2)))</f>
        <v>79</v>
      </c>
    </row>
    <row r="569" spans="1:19" x14ac:dyDescent="0.25">
      <c r="A569" t="s">
        <v>1270</v>
      </c>
      <c r="B569" t="s">
        <v>1271</v>
      </c>
      <c r="E569" t="s">
        <v>2639</v>
      </c>
      <c r="H569" t="s">
        <v>84</v>
      </c>
      <c r="L569" t="s">
        <v>2698</v>
      </c>
      <c r="N569" t="s">
        <v>913</v>
      </c>
      <c r="O569" t="s">
        <v>2715</v>
      </c>
      <c r="Q569" t="s">
        <v>3405</v>
      </c>
      <c r="R569" s="52">
        <f>_xlfn.NUMBERVALUE(convertNumberStringPointToNumberComma(LEFT(Q569,FIND("x",Q569)-2)))</f>
        <v>68</v>
      </c>
      <c r="S569" s="52">
        <f>_xlfn.NUMBERVALUE(convertNumberStringPointToNumberComma(LEFT(RIGHT(Q569,LEN(Q569)-FIND("x",Q569)-1),LEN(RIGHT(Q569,LEN(Q569)-FIND("x",Q569)-1))-2)))</f>
        <v>80</v>
      </c>
    </row>
    <row r="570" spans="1:19" x14ac:dyDescent="0.25">
      <c r="A570" t="s">
        <v>1497</v>
      </c>
      <c r="B570" t="s">
        <v>741</v>
      </c>
      <c r="E570" t="s">
        <v>2632</v>
      </c>
      <c r="H570" t="s">
        <v>741</v>
      </c>
      <c r="L570" t="s">
        <v>2707</v>
      </c>
      <c r="M570" t="s">
        <v>2915</v>
      </c>
      <c r="N570" t="s">
        <v>913</v>
      </c>
      <c r="O570" t="s">
        <v>697</v>
      </c>
      <c r="Q570" t="s">
        <v>3524</v>
      </c>
      <c r="R570" s="52">
        <f>_xlfn.NUMBERVALUE(convertNumberStringPointToNumberComma(LEFT(Q570,FIND("x",Q570)-2)))</f>
        <v>68</v>
      </c>
      <c r="S570" s="52">
        <f>_xlfn.NUMBERVALUE(convertNumberStringPointToNumberComma(LEFT(RIGHT(Q570,LEN(Q570)-FIND("x",Q570)-1),LEN(RIGHT(Q570,LEN(Q570)-FIND("x",Q570)-1))-2)))</f>
        <v>89</v>
      </c>
    </row>
    <row r="571" spans="1:19" x14ac:dyDescent="0.25">
      <c r="A571" t="s">
        <v>1514</v>
      </c>
      <c r="B571" t="s">
        <v>741</v>
      </c>
      <c r="E571" t="s">
        <v>2632</v>
      </c>
      <c r="H571" t="s">
        <v>741</v>
      </c>
      <c r="L571" t="s">
        <v>2707</v>
      </c>
      <c r="M571" t="s">
        <v>2915</v>
      </c>
      <c r="N571" t="s">
        <v>913</v>
      </c>
      <c r="O571" t="s">
        <v>697</v>
      </c>
      <c r="Q571" t="s">
        <v>3524</v>
      </c>
      <c r="R571" s="52">
        <f>_xlfn.NUMBERVALUE(convertNumberStringPointToNumberComma(LEFT(Q571,FIND("x",Q571)-2)))</f>
        <v>68</v>
      </c>
      <c r="S571" s="52">
        <f>_xlfn.NUMBERVALUE(convertNumberStringPointToNumberComma(LEFT(RIGHT(Q571,LEN(Q571)-FIND("x",Q571)-1),LEN(RIGHT(Q571,LEN(Q571)-FIND("x",Q571)-1))-2)))</f>
        <v>89</v>
      </c>
    </row>
    <row r="572" spans="1:19" x14ac:dyDescent="0.25">
      <c r="A572" t="s">
        <v>1000</v>
      </c>
      <c r="B572" t="s">
        <v>1001</v>
      </c>
      <c r="C572" s="5">
        <f>convertNumberStringPointToNumberComma(IFERROR(LEFT(B572,(FIND("-",B572)-1)),LEFT(B572,FIND("mm",B572)-1)))</f>
        <v>18</v>
      </c>
      <c r="D572" s="5">
        <f>convertNumberStringPointToNumberComma(IFERROR(RIGHT(LEFT(B572,FIND("m",B572)-1),LEN(LEFT(B572,FIND("m",B572)-1))-FIND("-",LEFT(B572,FIND("m",B572)-1))-1),C572))</f>
        <v>0</v>
      </c>
      <c r="E572" t="s">
        <v>2644</v>
      </c>
      <c r="F572" s="9">
        <f>convertNumberStringPointToNumberComma(LEFT(MID(E572,3,9),IFERROR(FIND("-",MID(E572,3,9))-2,3)))</f>
        <v>3</v>
      </c>
      <c r="G572" s="9">
        <f>convertNumberStringPointToNumberComma(RIGHT(E572,IF(ISERROR(FIND(".",RIGHT(E572,3))),1,3)))</f>
        <v>6.3</v>
      </c>
      <c r="H572" t="s">
        <v>84</v>
      </c>
      <c r="I572" s="5" t="str">
        <f>IF(H572="none",0,LEFT(H572,LEN(H572)-2))</f>
        <v>62</v>
      </c>
      <c r="J572" s="5" t="s">
        <v>162</v>
      </c>
      <c r="K572" s="10">
        <f>IF(J572="",0,convertNumberStringPointToNumberComma(LEFT(J572,LEN(J572)-1)))</f>
        <v>0.25</v>
      </c>
      <c r="L572" t="s">
        <v>2725</v>
      </c>
      <c r="M572" t="s">
        <v>2674</v>
      </c>
      <c r="N572" t="s">
        <v>903</v>
      </c>
      <c r="O572" t="s">
        <v>33</v>
      </c>
      <c r="P572" s="5" t="str">
        <f>LEFT(O572,LEN(O572)-1)</f>
        <v>460</v>
      </c>
      <c r="Q572" t="s">
        <v>3253</v>
      </c>
      <c r="R572" s="52">
        <f>_xlfn.NUMBERVALUE(convertNumberStringPointToNumberComma(LEFT(Q572,FIND("x",Q572)-2)))</f>
        <v>68</v>
      </c>
      <c r="S572" s="52">
        <f>_xlfn.NUMBERVALUE(convertNumberStringPointToNumberComma(LEFT(RIGHT(Q572,LEN(Q572)-FIND("x",Q572)-1),LEN(RIGHT(Q572,LEN(Q572)-FIND("x",Q572)-1))-2)))</f>
        <v>96.7</v>
      </c>
    </row>
    <row r="573" spans="1:19" x14ac:dyDescent="0.25">
      <c r="A573" t="s">
        <v>1489</v>
      </c>
      <c r="B573" t="s">
        <v>1001</v>
      </c>
      <c r="E573" t="s">
        <v>2644</v>
      </c>
      <c r="H573" t="s">
        <v>84</v>
      </c>
      <c r="L573" t="s">
        <v>2725</v>
      </c>
      <c r="M573" t="s">
        <v>2763</v>
      </c>
      <c r="N573" t="s">
        <v>903</v>
      </c>
      <c r="O573" t="s">
        <v>33</v>
      </c>
      <c r="Q573" t="s">
        <v>3253</v>
      </c>
      <c r="R573" s="52">
        <f>_xlfn.NUMBERVALUE(convertNumberStringPointToNumberComma(LEFT(Q573,FIND("x",Q573)-2)))</f>
        <v>68</v>
      </c>
      <c r="S573" s="52">
        <f>_xlfn.NUMBERVALUE(convertNumberStringPointToNumberComma(LEFT(RIGHT(Q573,LEN(Q573)-FIND("x",Q573)-1),LEN(RIGHT(Q573,LEN(Q573)-FIND("x",Q573)-1))-2)))</f>
        <v>96.7</v>
      </c>
    </row>
    <row r="574" spans="1:19" x14ac:dyDescent="0.25">
      <c r="A574" t="s">
        <v>2440</v>
      </c>
      <c r="B574" t="s">
        <v>1001</v>
      </c>
      <c r="E574" t="s">
        <v>2644</v>
      </c>
      <c r="H574" t="s">
        <v>84</v>
      </c>
      <c r="L574" t="s">
        <v>2725</v>
      </c>
      <c r="M574" t="s">
        <v>2674</v>
      </c>
      <c r="N574" t="s">
        <v>903</v>
      </c>
      <c r="O574" t="s">
        <v>33</v>
      </c>
      <c r="Q574" t="s">
        <v>3253</v>
      </c>
      <c r="R574" s="52">
        <f>_xlfn.NUMBERVALUE(convertNumberStringPointToNumberComma(LEFT(Q574,FIND("x",Q574)-2)))</f>
        <v>68</v>
      </c>
      <c r="S574" s="52">
        <f>_xlfn.NUMBERVALUE(convertNumberStringPointToNumberComma(LEFT(RIGHT(Q574,LEN(Q574)-FIND("x",Q574)-1),LEN(RIGHT(Q574,LEN(Q574)-FIND("x",Q574)-1))-2)))</f>
        <v>96.7</v>
      </c>
    </row>
    <row r="575" spans="1:19" x14ac:dyDescent="0.25">
      <c r="A575" t="s">
        <v>2505</v>
      </c>
      <c r="B575" t="s">
        <v>1001</v>
      </c>
      <c r="E575" t="s">
        <v>2644</v>
      </c>
      <c r="H575" t="s">
        <v>84</v>
      </c>
      <c r="L575" t="s">
        <v>2725</v>
      </c>
      <c r="M575" t="s">
        <v>2763</v>
      </c>
      <c r="N575" t="s">
        <v>903</v>
      </c>
      <c r="O575" t="s">
        <v>33</v>
      </c>
      <c r="Q575" t="s">
        <v>3253</v>
      </c>
      <c r="R575" s="52">
        <f>_xlfn.NUMBERVALUE(convertNumberStringPointToNumberComma(LEFT(Q575,FIND("x",Q575)-2)))</f>
        <v>68</v>
      </c>
      <c r="S575" s="52">
        <f>_xlfn.NUMBERVALUE(convertNumberStringPointToNumberComma(LEFT(RIGHT(Q575,LEN(Q575)-FIND("x",Q575)-1),LEN(RIGHT(Q575,LEN(Q575)-FIND("x",Q575)-1))-2)))</f>
        <v>96.7</v>
      </c>
    </row>
    <row r="576" spans="1:19" x14ac:dyDescent="0.25">
      <c r="A576" t="s">
        <v>2545</v>
      </c>
      <c r="B576" t="s">
        <v>1001</v>
      </c>
      <c r="E576" t="s">
        <v>2644</v>
      </c>
      <c r="H576" t="s">
        <v>84</v>
      </c>
      <c r="L576" t="s">
        <v>2725</v>
      </c>
      <c r="M576" t="s">
        <v>2674</v>
      </c>
      <c r="N576" t="s">
        <v>903</v>
      </c>
      <c r="O576" t="s">
        <v>33</v>
      </c>
      <c r="Q576" t="s">
        <v>4043</v>
      </c>
      <c r="R576" s="52">
        <f>_xlfn.NUMBERVALUE(convertNumberStringPointToNumberComma(LEFT(Q576,FIND("x",Q576)-2)))</f>
        <v>68</v>
      </c>
      <c r="S576" s="52">
        <f>_xlfn.NUMBERVALUE(convertNumberStringPointToNumberComma(LEFT(RIGHT(Q576,LEN(Q576)-FIND("x",Q576)-1),LEN(RIGHT(Q576,LEN(Q576)-FIND("x",Q576)-1))-2)))</f>
        <v>97.1</v>
      </c>
    </row>
    <row r="577" spans="1:19" x14ac:dyDescent="0.25">
      <c r="A577" t="s">
        <v>1003</v>
      </c>
      <c r="B577" t="s">
        <v>505</v>
      </c>
      <c r="C577" s="5">
        <f>convertNumberStringPointToNumberComma(IFERROR(LEFT(B577,(FIND("-",B577)-1)),LEFT(B577,FIND("mm",B577)-1)))</f>
        <v>24</v>
      </c>
      <c r="D577" s="5">
        <f>convertNumberStringPointToNumberComma(IFERROR(RIGHT(LEFT(B577,FIND("m",B577)-1),LEN(LEFT(B577,FIND("m",B577)-1))-FIND("-",LEFT(B577,FIND("m",B577)-1))-1),C577))</f>
        <v>24</v>
      </c>
      <c r="E577" t="s">
        <v>2632</v>
      </c>
      <c r="F577" s="9">
        <f>convertNumberStringPointToNumberComma(LEFT(MID(E577,3,9),IFERROR(FIND("-",MID(E577,3,9))-2,3)))</f>
        <v>2.8</v>
      </c>
      <c r="G577" s="9">
        <f>convertNumberStringPointToNumberComma(RIGHT(E577,IF(ISERROR(FIND(".",RIGHT(E577,3))),1,3)))</f>
        <v>2.8</v>
      </c>
      <c r="H577" t="s">
        <v>318</v>
      </c>
      <c r="I577" s="5" t="str">
        <f>IF(H577="none",0,LEFT(H577,LEN(H577)-2))</f>
        <v>52</v>
      </c>
      <c r="J577" s="5" t="s">
        <v>162</v>
      </c>
      <c r="K577" s="10">
        <f>IF(J577="",0,convertNumberStringPointToNumberComma(LEFT(J577,LEN(J577)-1)))</f>
        <v>0.25</v>
      </c>
      <c r="M577" t="s">
        <v>2708</v>
      </c>
      <c r="N577" t="s">
        <v>903</v>
      </c>
      <c r="O577" t="s">
        <v>2712</v>
      </c>
      <c r="P577" s="5" t="str">
        <f>LEFT(O577,LEN(O577)-1)</f>
        <v>125</v>
      </c>
      <c r="Q577" t="s">
        <v>3255</v>
      </c>
      <c r="R577" s="52">
        <f>_xlfn.NUMBERVALUE(convertNumberStringPointToNumberComma(LEFT(Q577,FIND("x",Q577)-2)))</f>
        <v>68.2</v>
      </c>
      <c r="S577" s="52">
        <f>_xlfn.NUMBERVALUE(convertNumberStringPointToNumberComma(LEFT(RIGHT(Q577,LEN(Q577)-FIND("x",Q577)-1),LEN(RIGHT(Q577,LEN(Q577)-FIND("x",Q577)-1))-2)))</f>
        <v>22.8</v>
      </c>
    </row>
    <row r="578" spans="1:19" x14ac:dyDescent="0.25">
      <c r="A578" t="s">
        <v>2474</v>
      </c>
      <c r="B578" t="s">
        <v>631</v>
      </c>
      <c r="E578" t="s">
        <v>2632</v>
      </c>
      <c r="H578" t="s">
        <v>318</v>
      </c>
      <c r="L578" t="s">
        <v>2750</v>
      </c>
      <c r="M578" t="s">
        <v>2682</v>
      </c>
      <c r="N578" t="s">
        <v>913</v>
      </c>
      <c r="O578" t="s">
        <v>2779</v>
      </c>
      <c r="Q578" t="s">
        <v>3255</v>
      </c>
      <c r="R578" s="52">
        <f>_xlfn.NUMBERVALUE(convertNumberStringPointToNumberComma(LEFT(Q578,FIND("x",Q578)-2)))</f>
        <v>68.2</v>
      </c>
      <c r="S578" s="52">
        <f>_xlfn.NUMBERVALUE(convertNumberStringPointToNumberComma(LEFT(RIGHT(Q578,LEN(Q578)-FIND("x",Q578)-1),LEN(RIGHT(Q578,LEN(Q578)-FIND("x",Q578)-1))-2)))</f>
        <v>22.8</v>
      </c>
    </row>
    <row r="579" spans="1:19" x14ac:dyDescent="0.25">
      <c r="A579" t="s">
        <v>2464</v>
      </c>
      <c r="B579" t="s">
        <v>678</v>
      </c>
      <c r="E579" t="s">
        <v>2635</v>
      </c>
      <c r="H579" t="s">
        <v>318</v>
      </c>
      <c r="L579" t="s">
        <v>2686</v>
      </c>
      <c r="M579" t="s">
        <v>2682</v>
      </c>
      <c r="N579" t="s">
        <v>913</v>
      </c>
      <c r="O579" t="s">
        <v>2779</v>
      </c>
      <c r="Q579" t="s">
        <v>4008</v>
      </c>
      <c r="R579" s="52">
        <f>_xlfn.NUMBERVALUE(convertNumberStringPointToNumberComma(LEFT(Q579,FIND("x",Q579)-2)))</f>
        <v>68.2</v>
      </c>
      <c r="S579" s="52">
        <f>_xlfn.NUMBERVALUE(convertNumberStringPointToNumberComma(LEFT(RIGHT(Q579,LEN(Q579)-FIND("x",Q579)-1),LEN(RIGHT(Q579,LEN(Q579)-FIND("x",Q579)-1))-2)))</f>
        <v>41</v>
      </c>
    </row>
    <row r="580" spans="1:19" x14ac:dyDescent="0.25">
      <c r="A580" t="s">
        <v>1233</v>
      </c>
      <c r="B580" t="s">
        <v>552</v>
      </c>
      <c r="C580" s="5">
        <f>convertNumberStringPointToNumberComma(IFERROR(LEFT(B580,(FIND("-",B580)-1)),LEFT(B580,FIND("mm",B580)-1)))</f>
        <v>28</v>
      </c>
      <c r="D580" s="5">
        <f>convertNumberStringPointToNumberComma(IFERROR(RIGHT(LEFT(B580,FIND("m",B580)-1),LEN(LEFT(B580,FIND("m",B580)-1))-FIND("-",LEFT(B580,FIND("m",B580)-1))-1),C580))</f>
        <v>28</v>
      </c>
      <c r="E580" t="s">
        <v>2632</v>
      </c>
      <c r="F580" s="9">
        <f>convertNumberStringPointToNumberComma(LEFT(MID(E580,3,9),IFERROR(FIND("-",MID(E580,3,9))-2,3)))</f>
        <v>2.8</v>
      </c>
      <c r="G580" s="9">
        <f>convertNumberStringPointToNumberComma(RIGHT(E580,IF(ISERROR(FIND(".",RIGHT(E580,3))),1,3)))</f>
        <v>2.8</v>
      </c>
      <c r="H580" t="s">
        <v>91</v>
      </c>
      <c r="I580" s="5" t="str">
        <f>IF(H580="none",0,LEFT(H580,LEN(H580)-2))</f>
        <v>58</v>
      </c>
      <c r="J580" s="5" t="s">
        <v>76</v>
      </c>
      <c r="K580" s="10">
        <f>IF(J580="",0,convertNumberStringPointToNumberComma(LEFT(J580,LEN(J580)-1)))</f>
        <v>0.13</v>
      </c>
      <c r="L580" t="s">
        <v>2698</v>
      </c>
      <c r="M580" t="s">
        <v>2682</v>
      </c>
      <c r="N580" t="s">
        <v>913</v>
      </c>
      <c r="O580" t="s">
        <v>2787</v>
      </c>
      <c r="P580" s="5" t="str">
        <f>LEFT(O580,LEN(O580)-1)</f>
        <v>260</v>
      </c>
      <c r="Q580" t="s">
        <v>3379</v>
      </c>
      <c r="R580" s="52">
        <f>_xlfn.NUMBERVALUE(convertNumberStringPointToNumberComma(LEFT(Q580,FIND("x",Q580)-2)))</f>
        <v>68.400000000000006</v>
      </c>
      <c r="S580" s="52">
        <f>_xlfn.NUMBERVALUE(convertNumberStringPointToNumberComma(LEFT(RIGHT(Q580,LEN(Q580)-FIND("x",Q580)-1),LEN(RIGHT(Q580,LEN(Q580)-FIND("x",Q580)-1))-2)))</f>
        <v>51.5</v>
      </c>
    </row>
    <row r="581" spans="1:19" x14ac:dyDescent="0.25">
      <c r="A581" t="s">
        <v>2619</v>
      </c>
      <c r="B581" t="s">
        <v>505</v>
      </c>
      <c r="E581" t="s">
        <v>2632</v>
      </c>
      <c r="H581" t="s">
        <v>91</v>
      </c>
      <c r="L581" t="s">
        <v>2675</v>
      </c>
      <c r="M581" t="s">
        <v>2682</v>
      </c>
      <c r="N581" t="s">
        <v>913</v>
      </c>
      <c r="O581" t="s">
        <v>632</v>
      </c>
      <c r="Q581" t="s">
        <v>4070</v>
      </c>
      <c r="R581" s="52">
        <f>_xlfn.NUMBERVALUE(convertNumberStringPointToNumberComma(LEFT(Q581,FIND("x",Q581)-2)))</f>
        <v>68.400000000000006</v>
      </c>
      <c r="S581" s="52">
        <f>_xlfn.NUMBERVALUE(convertNumberStringPointToNumberComma(LEFT(RIGHT(Q581,LEN(Q581)-FIND("x",Q581)-1),LEN(RIGHT(Q581,LEN(Q581)-FIND("x",Q581)-1))-2)))</f>
        <v>55.7</v>
      </c>
    </row>
    <row r="582" spans="1:19" x14ac:dyDescent="0.25">
      <c r="A582" t="s">
        <v>941</v>
      </c>
      <c r="B582" t="s">
        <v>942</v>
      </c>
      <c r="C582" s="5">
        <f>convertNumberStringPointToNumberComma(IFERROR(LEFT(B582,(FIND("-",B582)-1)),LEFT(B582,FIND("mm",B582)-1)))</f>
        <v>12</v>
      </c>
      <c r="D582" s="5">
        <f>convertNumberStringPointToNumberComma(IFERROR(RIGHT(LEFT(B582,FIND("m",B582)-1),LEN(LEFT(B582,FIND("m",B582)-1))-FIND("-",LEFT(B582,FIND("m",B582)-1))-1),C582))</f>
        <v>0</v>
      </c>
      <c r="E582" t="s">
        <v>2637</v>
      </c>
      <c r="F582" s="9">
        <f>convertNumberStringPointToNumberComma(LEFT(MID(E582,3,9),IFERROR(FIND("-",MID(E582,3,9))-2,3)))</f>
        <v>2</v>
      </c>
      <c r="G582" s="9">
        <f>convertNumberStringPointToNumberComma(RIGHT(E582,IF(ISERROR(FIND(".",RIGHT(E582,3))),1,3)))</f>
        <v>4</v>
      </c>
      <c r="H582" t="s">
        <v>84</v>
      </c>
      <c r="I582" s="5" t="str">
        <f>IF(H582="none",0,LEFT(H582,LEN(H582)-2))</f>
        <v>62</v>
      </c>
      <c r="J582" s="5" t="s">
        <v>32</v>
      </c>
      <c r="K582" s="10">
        <f>IF(J582="",0,convertNumberStringPointToNumberComma(LEFT(J582,LEN(J582)-1)))</f>
        <v>0.12</v>
      </c>
      <c r="L582" t="s">
        <v>2703</v>
      </c>
      <c r="M582" t="s">
        <v>2680</v>
      </c>
      <c r="N582" t="s">
        <v>2681</v>
      </c>
      <c r="O582" t="s">
        <v>697</v>
      </c>
      <c r="P582" s="5" t="str">
        <f>LEFT(O582,LEN(O582)-1)</f>
        <v>320</v>
      </c>
      <c r="Q582" t="s">
        <v>3214</v>
      </c>
      <c r="R582" s="52">
        <f>_xlfn.NUMBERVALUE(convertNumberStringPointToNumberComma(LEFT(Q582,FIND("x",Q582)-2)))</f>
        <v>68.400000000000006</v>
      </c>
      <c r="S582" s="52">
        <f>_xlfn.NUMBERVALUE(convertNumberStringPointToNumberComma(LEFT(RIGHT(Q582,LEN(Q582)-FIND("x",Q582)-1),LEN(RIGHT(Q582,LEN(Q582)-FIND("x",Q582)-1))-2)))</f>
        <v>86</v>
      </c>
    </row>
    <row r="583" spans="1:19" x14ac:dyDescent="0.25">
      <c r="A583" t="s">
        <v>1167</v>
      </c>
      <c r="B583" t="s">
        <v>678</v>
      </c>
      <c r="C583" s="5">
        <f>convertNumberStringPointToNumberComma(IFERROR(LEFT(B583,(FIND("-",B583)-1)),LEFT(B583,FIND("mm",B583)-1)))</f>
        <v>50</v>
      </c>
      <c r="D583" s="5">
        <f>convertNumberStringPointToNumberComma(IFERROR(RIGHT(LEFT(B583,FIND("m",B583)-1),LEN(LEFT(B583,FIND("m",B583)-1))-FIND("-",LEFT(B583,FIND("m",B583)-1))-1),C583))</f>
        <v>50</v>
      </c>
      <c r="E583" t="s">
        <v>2648</v>
      </c>
      <c r="F583" s="9">
        <f>convertNumberStringPointToNumberComma(LEFT(MID(E583,3,9),IFERROR(FIND("-",MID(E583,3,9))-2,3)))</f>
        <v>1.2</v>
      </c>
      <c r="G583" s="9">
        <f>convertNumberStringPointToNumberComma(RIGHT(E583,IF(ISERROR(FIND(".",RIGHT(E583,3))),1,3)))</f>
        <v>1.2</v>
      </c>
      <c r="H583" t="s">
        <v>318</v>
      </c>
      <c r="I583" s="5" t="str">
        <f>IF(H583="none",0,LEFT(H583,LEN(H583)-2))</f>
        <v>52</v>
      </c>
      <c r="J583" s="5" t="s">
        <v>68</v>
      </c>
      <c r="K583" s="10">
        <f>IF(J583="",0,convertNumberStringPointToNumberComma(LEFT(J583,LEN(J583)-1)))</f>
        <v>0.5</v>
      </c>
      <c r="M583" t="s">
        <v>8</v>
      </c>
      <c r="N583" t="s">
        <v>913</v>
      </c>
      <c r="O583" t="s">
        <v>2826</v>
      </c>
      <c r="P583" s="5" t="str">
        <f>LEFT(O583,LEN(O583)-1)</f>
        <v>360</v>
      </c>
      <c r="Q583" t="s">
        <v>3342</v>
      </c>
      <c r="R583" s="52">
        <f>_xlfn.NUMBERVALUE(convertNumberStringPointToNumberComma(LEFT(Q583,FIND("x",Q583)-2)))</f>
        <v>68.5</v>
      </c>
      <c r="S583" s="52">
        <f>_xlfn.NUMBERVALUE(convertNumberStringPointToNumberComma(LEFT(RIGHT(Q583,LEN(Q583)-FIND("x",Q583)-1),LEN(RIGHT(Q583,LEN(Q583)-FIND("x",Q583)-1))-2)))</f>
        <v>47.5</v>
      </c>
    </row>
    <row r="584" spans="1:19" x14ac:dyDescent="0.25">
      <c r="A584" t="s">
        <v>2430</v>
      </c>
      <c r="B584" t="s">
        <v>631</v>
      </c>
      <c r="E584" t="s">
        <v>2632</v>
      </c>
      <c r="H584" t="s">
        <v>318</v>
      </c>
      <c r="L584" t="s">
        <v>2707</v>
      </c>
      <c r="M584" t="s">
        <v>8</v>
      </c>
      <c r="N584" t="s">
        <v>903</v>
      </c>
      <c r="O584" t="s">
        <v>2908</v>
      </c>
      <c r="Q584" t="s">
        <v>3992</v>
      </c>
      <c r="R584" s="52">
        <f>_xlfn.NUMBERVALUE(convertNumberStringPointToNumberComma(LEFT(Q584,FIND("x",Q584)-2)))</f>
        <v>68.5</v>
      </c>
      <c r="S584" s="52">
        <f>_xlfn.NUMBERVALUE(convertNumberStringPointToNumberComma(LEFT(RIGHT(Q584,LEN(Q584)-FIND("x",Q584)-1),LEN(RIGHT(Q584,LEN(Q584)-FIND("x",Q584)-1))-2)))</f>
        <v>64.5</v>
      </c>
    </row>
    <row r="585" spans="1:19" x14ac:dyDescent="0.25">
      <c r="A585" t="s">
        <v>2430</v>
      </c>
      <c r="B585" t="s">
        <v>631</v>
      </c>
      <c r="E585" t="s">
        <v>2632</v>
      </c>
      <c r="H585" t="s">
        <v>318</v>
      </c>
      <c r="L585" t="s">
        <v>2707</v>
      </c>
      <c r="M585" t="s">
        <v>8</v>
      </c>
      <c r="N585" t="s">
        <v>903</v>
      </c>
      <c r="O585" t="s">
        <v>2908</v>
      </c>
      <c r="Q585" t="s">
        <v>3992</v>
      </c>
      <c r="R585" s="52">
        <f>_xlfn.NUMBERVALUE(convertNumberStringPointToNumberComma(LEFT(Q585,FIND("x",Q585)-2)))</f>
        <v>68.5</v>
      </c>
      <c r="S585" s="52">
        <f>_xlfn.NUMBERVALUE(convertNumberStringPointToNumberComma(LEFT(RIGHT(Q585,LEN(Q585)-FIND("x",Q585)-1),LEN(RIGHT(Q585,LEN(Q585)-FIND("x",Q585)-1))-2)))</f>
        <v>64.5</v>
      </c>
    </row>
    <row r="586" spans="1:19" x14ac:dyDescent="0.25">
      <c r="A586" t="s">
        <v>1215</v>
      </c>
      <c r="B586" t="s">
        <v>1036</v>
      </c>
      <c r="C586" s="5">
        <f>convertNumberStringPointToNumberComma(IFERROR(LEFT(B586,(FIND("-",B586)-1)),LEFT(B586,FIND("mm",B586)-1)))</f>
        <v>18</v>
      </c>
      <c r="D586" s="5">
        <f>convertNumberStringPointToNumberComma(IFERROR(RIGHT(LEFT(B586,FIND("m",B586)-1),LEN(LEFT(B586,FIND("m",B586)-1))-FIND("-",LEFT(B586,FIND("m",B586)-1))-1),C586))</f>
        <v>5</v>
      </c>
      <c r="E586" t="s">
        <v>2639</v>
      </c>
      <c r="F586" s="9">
        <f>convertNumberStringPointToNumberComma(LEFT(MID(E586,3,9),IFERROR(FIND("-",MID(E586,3,9))-2,3)))</f>
        <v>3</v>
      </c>
      <c r="G586" s="9">
        <f>convertNumberStringPointToNumberComma(RIGHT(E586,IF(ISERROR(FIND(".",RIGHT(E586,3))),1,3)))</f>
        <v>5.6</v>
      </c>
      <c r="H586" t="s">
        <v>91</v>
      </c>
      <c r="I586" s="5" t="str">
        <f>IF(H586="none",0,LEFT(H586,LEN(H586)-2))</f>
        <v>58</v>
      </c>
      <c r="J586" s="5" t="s">
        <v>162</v>
      </c>
      <c r="K586" s="10">
        <f>IF(J586="",0,convertNumberStringPointToNumberComma(LEFT(J586,LEN(J586)-1)))</f>
        <v>0.25</v>
      </c>
      <c r="L586" t="s">
        <v>2743</v>
      </c>
      <c r="M586" t="s">
        <v>2708</v>
      </c>
      <c r="N586" t="s">
        <v>903</v>
      </c>
      <c r="O586" t="s">
        <v>597</v>
      </c>
      <c r="P586" s="5" t="str">
        <f>LEFT(O586,LEN(O586)-1)</f>
        <v>200</v>
      </c>
      <c r="Q586" t="s">
        <v>3368</v>
      </c>
      <c r="R586" s="52">
        <f>_xlfn.NUMBERVALUE(convertNumberStringPointToNumberComma(LEFT(Q586,FIND("x",Q586)-2)))</f>
        <v>68.5</v>
      </c>
      <c r="S586" s="52">
        <f>_xlfn.NUMBERVALUE(convertNumberStringPointToNumberComma(LEFT(RIGHT(Q586,LEN(Q586)-FIND("x",Q586)-1),LEN(RIGHT(Q586,LEN(Q586)-FIND("x",Q586)-1))-2)))</f>
        <v>70</v>
      </c>
    </row>
    <row r="587" spans="1:19" x14ac:dyDescent="0.25">
      <c r="A587" t="s">
        <v>2335</v>
      </c>
      <c r="B587" t="s">
        <v>1036</v>
      </c>
      <c r="E587" t="s">
        <v>2639</v>
      </c>
      <c r="H587" t="s">
        <v>91</v>
      </c>
      <c r="L587" t="s">
        <v>2743</v>
      </c>
      <c r="M587" t="s">
        <v>2708</v>
      </c>
      <c r="N587" t="s">
        <v>903</v>
      </c>
      <c r="O587" t="s">
        <v>597</v>
      </c>
      <c r="Q587" t="s">
        <v>3368</v>
      </c>
      <c r="R587" s="52">
        <f>_xlfn.NUMBERVALUE(convertNumberStringPointToNumberComma(LEFT(Q587,FIND("x",Q587)-2)))</f>
        <v>68.5</v>
      </c>
      <c r="S587" s="52">
        <f>_xlfn.NUMBERVALUE(convertNumberStringPointToNumberComma(LEFT(RIGHT(Q587,LEN(Q587)-FIND("x",Q587)-1),LEN(RIGHT(Q587,LEN(Q587)-FIND("x",Q587)-1))-2)))</f>
        <v>70</v>
      </c>
    </row>
    <row r="588" spans="1:19" x14ac:dyDescent="0.25">
      <c r="A588" t="s">
        <v>1307</v>
      </c>
      <c r="B588" t="s">
        <v>1036</v>
      </c>
      <c r="E588" t="s">
        <v>2639</v>
      </c>
      <c r="H588" t="s">
        <v>91</v>
      </c>
      <c r="L588" t="s">
        <v>2679</v>
      </c>
      <c r="M588" t="s">
        <v>2708</v>
      </c>
      <c r="N588" t="s">
        <v>903</v>
      </c>
      <c r="O588" t="s">
        <v>689</v>
      </c>
      <c r="Q588" t="s">
        <v>3422</v>
      </c>
      <c r="R588" s="52">
        <f>_xlfn.NUMBERVALUE(convertNumberStringPointToNumberComma(LEFT(Q588,FIND("x",Q588)-2)))</f>
        <v>68.5</v>
      </c>
      <c r="S588" s="52">
        <f>_xlfn.NUMBERVALUE(convertNumberStringPointToNumberComma(LEFT(RIGHT(Q588,LEN(Q588)-FIND("x",Q588)-1),LEN(RIGHT(Q588,LEN(Q588)-FIND("x",Q588)-1))-2)))</f>
        <v>79.900000000000006</v>
      </c>
    </row>
    <row r="589" spans="1:19" x14ac:dyDescent="0.25">
      <c r="A589" t="s">
        <v>2595</v>
      </c>
      <c r="B589" t="s">
        <v>1257</v>
      </c>
      <c r="E589" t="s">
        <v>3187</v>
      </c>
      <c r="H589" t="s">
        <v>91</v>
      </c>
      <c r="L589" t="s">
        <v>2750</v>
      </c>
      <c r="M589" t="s">
        <v>2680</v>
      </c>
      <c r="N589" t="s">
        <v>2681</v>
      </c>
      <c r="O589" t="s">
        <v>3188</v>
      </c>
      <c r="Q589" t="s">
        <v>4061</v>
      </c>
      <c r="R589" s="52">
        <f>_xlfn.NUMBERVALUE(convertNumberStringPointToNumberComma(LEFT(Q589,FIND("x",Q589)-2)))</f>
        <v>69</v>
      </c>
      <c r="S589" s="52">
        <f>_xlfn.NUMBERVALUE(convertNumberStringPointToNumberComma(LEFT(RIGHT(Q589,LEN(Q589)-FIND("x",Q589)-1),LEN(RIGHT(Q589,LEN(Q589)-FIND("x",Q589)-1))-2)))</f>
        <v>116.5</v>
      </c>
    </row>
    <row r="590" spans="1:19" x14ac:dyDescent="0.25">
      <c r="A590" t="s">
        <v>2433</v>
      </c>
      <c r="B590" t="s">
        <v>1036</v>
      </c>
      <c r="E590" t="s">
        <v>2639</v>
      </c>
      <c r="H590" t="s">
        <v>91</v>
      </c>
      <c r="L590" t="s">
        <v>2923</v>
      </c>
      <c r="M590" t="s">
        <v>2708</v>
      </c>
      <c r="N590" t="s">
        <v>903</v>
      </c>
      <c r="O590" t="s">
        <v>383</v>
      </c>
      <c r="Q590" t="s">
        <v>3993</v>
      </c>
      <c r="R590" s="52">
        <f>_xlfn.NUMBERVALUE(convertNumberStringPointToNumberComma(LEFT(Q590,FIND("x",Q590)-2)))</f>
        <v>69</v>
      </c>
      <c r="S590" s="52">
        <f>_xlfn.NUMBERVALUE(convertNumberStringPointToNumberComma(LEFT(RIGHT(Q590,LEN(Q590)-FIND("x",Q590)-1),LEN(RIGHT(Q590,LEN(Q590)-FIND("x",Q590)-1))-2)))</f>
        <v>75.2</v>
      </c>
    </row>
    <row r="591" spans="1:19" x14ac:dyDescent="0.25">
      <c r="A591" t="s">
        <v>2094</v>
      </c>
      <c r="B591" t="s">
        <v>592</v>
      </c>
      <c r="E591" t="s">
        <v>2643</v>
      </c>
      <c r="H591" t="s">
        <v>62</v>
      </c>
      <c r="L591" t="s">
        <v>2698</v>
      </c>
      <c r="M591" t="s">
        <v>2757</v>
      </c>
      <c r="N591" t="s">
        <v>913</v>
      </c>
      <c r="O591" t="s">
        <v>549</v>
      </c>
      <c r="Q591" t="s">
        <v>3833</v>
      </c>
      <c r="R591" s="52">
        <f>_xlfn.NUMBERVALUE(convertNumberStringPointToNumberComma(LEFT(Q591,FIND("x",Q591)-2)))</f>
        <v>69</v>
      </c>
      <c r="S591" s="52">
        <f>_xlfn.NUMBERVALUE(convertNumberStringPointToNumberComma(LEFT(RIGHT(Q591,LEN(Q591)-FIND("x",Q591)-1),LEN(RIGHT(Q591,LEN(Q591)-FIND("x",Q591)-1))-2)))</f>
        <v>76</v>
      </c>
    </row>
    <row r="592" spans="1:19" x14ac:dyDescent="0.25">
      <c r="A592" t="s">
        <v>2362</v>
      </c>
      <c r="B592" t="s">
        <v>459</v>
      </c>
      <c r="E592" t="s">
        <v>2635</v>
      </c>
      <c r="H592" t="s">
        <v>91</v>
      </c>
      <c r="M592" t="s">
        <v>2818</v>
      </c>
      <c r="N592" t="s">
        <v>2959</v>
      </c>
      <c r="O592" t="s">
        <v>3125</v>
      </c>
      <c r="Q592" t="s">
        <v>3928</v>
      </c>
      <c r="R592" s="52">
        <f>_xlfn.NUMBERVALUE(convertNumberStringPointToNumberComma(LEFT(Q592,FIND("x",Q592)-2)))</f>
        <v>69</v>
      </c>
      <c r="S592" s="52">
        <f>_xlfn.NUMBERVALUE(convertNumberStringPointToNumberComma(LEFT(RIGHT(Q592,LEN(Q592)-FIND("x",Q592)-1),LEN(RIGHT(Q592,LEN(Q592)-FIND("x",Q592)-1))-2)))</f>
        <v>78.400000000000006</v>
      </c>
    </row>
    <row r="593" spans="1:19" x14ac:dyDescent="0.25">
      <c r="A593" t="s">
        <v>2515</v>
      </c>
      <c r="B593" t="s">
        <v>441</v>
      </c>
      <c r="E593" t="s">
        <v>2638</v>
      </c>
      <c r="H593" t="s">
        <v>84</v>
      </c>
      <c r="L593" t="s">
        <v>3176</v>
      </c>
      <c r="M593" t="s">
        <v>2674</v>
      </c>
      <c r="N593" t="s">
        <v>913</v>
      </c>
      <c r="O593" t="s">
        <v>312</v>
      </c>
      <c r="Q593" t="s">
        <v>4028</v>
      </c>
      <c r="R593" s="52">
        <f>_xlfn.NUMBERVALUE(convertNumberStringPointToNumberComma(LEFT(Q593,FIND("x",Q593)-2)))</f>
        <v>69</v>
      </c>
      <c r="S593" s="52">
        <f>_xlfn.NUMBERVALUE(convertNumberStringPointToNumberComma(LEFT(RIGHT(Q593,LEN(Q593)-FIND("x",Q593)-1),LEN(RIGHT(Q593,LEN(Q593)-FIND("x",Q593)-1))-2)))</f>
        <v>81.5</v>
      </c>
    </row>
    <row r="594" spans="1:19" x14ac:dyDescent="0.25">
      <c r="A594" t="s">
        <v>936</v>
      </c>
      <c r="B594" t="s">
        <v>678</v>
      </c>
      <c r="C594" s="5">
        <f>convertNumberStringPointToNumberComma(IFERROR(LEFT(B594,(FIND("-",B594)-1)),LEFT(B594,FIND("mm",B594)-1)))</f>
        <v>50</v>
      </c>
      <c r="D594" s="5">
        <f>convertNumberStringPointToNumberComma(IFERROR(RIGHT(LEFT(B594,FIND("m",B594)-1),LEN(LEFT(B594,FIND("m",B594)-1))-FIND("-",LEFT(B594,FIND("m",B594)-1))-1),C594))</f>
        <v>50</v>
      </c>
      <c r="E594" t="s">
        <v>2635</v>
      </c>
      <c r="F594" s="9">
        <f>convertNumberStringPointToNumberComma(LEFT(MID(E594,3,9),IFERROR(FIND("-",MID(E594,3,9))-2,3)))</f>
        <v>1.8</v>
      </c>
      <c r="G594" s="9">
        <f>convertNumberStringPointToNumberComma(RIGHT(E594,IF(ISERROR(FIND(".",RIGHT(E594,3))),1,3)))</f>
        <v>1.8</v>
      </c>
      <c r="H594" t="s">
        <v>2667</v>
      </c>
      <c r="I594" s="5" t="str">
        <f>IF(H594="none",0,LEFT(H594,LEN(H594)-2))</f>
        <v>49</v>
      </c>
      <c r="J594" s="5"/>
      <c r="K594" s="10">
        <f>IF(J594="",0,convertNumberStringPointToNumberComma(LEFT(J594,LEN(J594)-1)))</f>
        <v>0</v>
      </c>
      <c r="L594" t="s">
        <v>2679</v>
      </c>
      <c r="M594" t="s">
        <v>2682</v>
      </c>
      <c r="N594" t="s">
        <v>913</v>
      </c>
      <c r="O594" t="s">
        <v>2697</v>
      </c>
      <c r="P594" s="5" t="str">
        <f>LEFT(O594,LEN(O594)-1)</f>
        <v>159</v>
      </c>
      <c r="Q594" t="s">
        <v>3210</v>
      </c>
      <c r="R594" s="52">
        <f>_xlfn.NUMBERVALUE(convertNumberStringPointToNumberComma(LEFT(Q594,FIND("x",Q594)-2)))</f>
        <v>69.2</v>
      </c>
      <c r="S594" s="52">
        <f>_xlfn.NUMBERVALUE(convertNumberStringPointToNumberComma(LEFT(RIGHT(Q594,LEN(Q594)-FIND("x",Q594)-1),LEN(RIGHT(Q594,LEN(Q594)-FIND("x",Q594)-1))-2)))</f>
        <v>39.299999999999997</v>
      </c>
    </row>
    <row r="595" spans="1:19" x14ac:dyDescent="0.25">
      <c r="A595" t="s">
        <v>946</v>
      </c>
      <c r="B595" t="s">
        <v>592</v>
      </c>
      <c r="C595" s="5">
        <f>convertNumberStringPointToNumberComma(IFERROR(LEFT(B595,(FIND("-",B595)-1)),LEFT(B595,FIND("mm",B595)-1)))</f>
        <v>35</v>
      </c>
      <c r="D595" s="5">
        <f>convertNumberStringPointToNumberComma(IFERROR(RIGHT(LEFT(B595,FIND("m",B595)-1),LEN(LEFT(B595,FIND("m",B595)-1))-FIND("-",LEFT(B595,FIND("m",B595)-1))-1),C595))</f>
        <v>35</v>
      </c>
      <c r="E595" t="s">
        <v>2632</v>
      </c>
      <c r="F595" s="9">
        <f>convertNumberStringPointToNumberComma(LEFT(MID(E595,3,9),IFERROR(FIND("-",MID(E595,3,9))-2,3)))</f>
        <v>2.8</v>
      </c>
      <c r="G595" s="9">
        <f>convertNumberStringPointToNumberComma(RIGHT(E595,IF(ISERROR(FIND(".",RIGHT(E595,3))),1,3)))</f>
        <v>2.8</v>
      </c>
      <c r="H595" t="s">
        <v>2667</v>
      </c>
      <c r="I595" s="5" t="str">
        <f>IF(H595="none",0,LEFT(H595,LEN(H595)-2))</f>
        <v>49</v>
      </c>
      <c r="J595" s="5" t="s">
        <v>122</v>
      </c>
      <c r="K595" s="10">
        <f>IF(J595="",0,convertNumberStringPointToNumberComma(LEFT(J595,LEN(J595)-1)))</f>
        <v>0.14000000000000001</v>
      </c>
      <c r="L595" t="s">
        <v>2707</v>
      </c>
      <c r="M595" t="s">
        <v>2708</v>
      </c>
      <c r="N595" t="s">
        <v>903</v>
      </c>
      <c r="O595" t="s">
        <v>689</v>
      </c>
      <c r="P595" s="5" t="str">
        <f>LEFT(O595,LEN(O595)-1)</f>
        <v>190</v>
      </c>
      <c r="Q595" t="s">
        <v>3216</v>
      </c>
      <c r="R595" s="52">
        <f>_xlfn.NUMBERVALUE(convertNumberStringPointToNumberComma(LEFT(Q595,FIND("x",Q595)-2)))</f>
        <v>69.2</v>
      </c>
      <c r="S595" s="52">
        <f>_xlfn.NUMBERVALUE(convertNumberStringPointToNumberComma(LEFT(RIGHT(Q595,LEN(Q595)-FIND("x",Q595)-1),LEN(RIGHT(Q595,LEN(Q595)-FIND("x",Q595)-1))-2)))</f>
        <v>55.8</v>
      </c>
    </row>
    <row r="596" spans="1:19" x14ac:dyDescent="0.25">
      <c r="A596" t="s">
        <v>1242</v>
      </c>
      <c r="B596" t="s">
        <v>148</v>
      </c>
      <c r="C596" s="5">
        <f>convertNumberStringPointToNumberComma(IFERROR(LEFT(B596,(FIND("-",B596)-1)),LEFT(B596,FIND("mm",B596)-1)))</f>
        <v>135</v>
      </c>
      <c r="D596" s="5">
        <f>convertNumberStringPointToNumberComma(IFERROR(RIGHT(LEFT(B596,FIND("m",B596)-1),LEN(LEFT(B596,FIND("m",B596)-1))-FIND("-",LEFT(B596,FIND("m",B596)-1))-1),C596))</f>
        <v>135</v>
      </c>
      <c r="E596" t="s">
        <v>2632</v>
      </c>
      <c r="F596" s="9">
        <f>convertNumberStringPointToNumberComma(LEFT(MID(E596,3,9),IFERROR(FIND("-",MID(E596,3,9))-2,3)))</f>
        <v>2.8</v>
      </c>
      <c r="G596" s="9">
        <f>convertNumberStringPointToNumberComma(RIGHT(E596,IF(ISERROR(FIND(".",RIGHT(E596,3))),1,3)))</f>
        <v>2.8</v>
      </c>
      <c r="H596" t="s">
        <v>318</v>
      </c>
      <c r="I596" s="5" t="str">
        <f>IF(H596="none",0,LEFT(H596,LEN(H596)-2))</f>
        <v>52</v>
      </c>
      <c r="J596" s="5" t="s">
        <v>144</v>
      </c>
      <c r="K596" s="10">
        <f>IF(J596="",0,convertNumberStringPointToNumberComma(LEFT(J596,LEN(J596)-1)))</f>
        <v>0.24</v>
      </c>
      <c r="L596" t="s">
        <v>2753</v>
      </c>
      <c r="M596" t="s">
        <v>2682</v>
      </c>
      <c r="N596" t="s">
        <v>913</v>
      </c>
      <c r="O596" t="s">
        <v>395</v>
      </c>
      <c r="P596" s="5" t="str">
        <f>LEFT(O596,LEN(O596)-1)</f>
        <v>390</v>
      </c>
      <c r="Q596" t="s">
        <v>3386</v>
      </c>
      <c r="R596" s="52">
        <f>_xlfn.NUMBERVALUE(convertNumberStringPointToNumberComma(LEFT(Q596,FIND("x",Q596)-2)))</f>
        <v>69.2</v>
      </c>
      <c r="S596" s="52">
        <f>_xlfn.NUMBERVALUE(convertNumberStringPointToNumberComma(LEFT(RIGHT(Q596,LEN(Q596)-FIND("x",Q596)-1),LEN(RIGHT(Q596,LEN(Q596)-FIND("x",Q596)-1))-2)))</f>
        <v>98.4</v>
      </c>
    </row>
    <row r="597" spans="1:19" x14ac:dyDescent="0.25">
      <c r="B597" t="s">
        <v>459</v>
      </c>
      <c r="E597" t="s">
        <v>2643</v>
      </c>
      <c r="L597" t="s">
        <v>3156</v>
      </c>
      <c r="M597" t="s">
        <v>2818</v>
      </c>
      <c r="N597" t="s">
        <v>913</v>
      </c>
      <c r="O597" t="s">
        <v>726</v>
      </c>
      <c r="Q597" t="s">
        <v>3972</v>
      </c>
      <c r="R597" s="52">
        <f>_xlfn.NUMBERVALUE(convertNumberStringPointToNumberComma(LEFT(Q597,FIND("x",Q597)-2)))</f>
        <v>69.5</v>
      </c>
      <c r="S597" s="52">
        <f>_xlfn.NUMBERVALUE(convertNumberStringPointToNumberComma(LEFT(RIGHT(Q597,LEN(Q597)-FIND("x",Q597)-1),LEN(RIGHT(Q597,LEN(Q597)-FIND("x",Q597)-1))-2)))</f>
        <v>66</v>
      </c>
    </row>
    <row r="598" spans="1:19" x14ac:dyDescent="0.25">
      <c r="A598" t="s">
        <v>1162</v>
      </c>
      <c r="B598" t="s">
        <v>1036</v>
      </c>
      <c r="E598" t="s">
        <v>2639</v>
      </c>
      <c r="H598" t="s">
        <v>62</v>
      </c>
      <c r="L598" t="s">
        <v>2743</v>
      </c>
      <c r="M598" t="s">
        <v>2757</v>
      </c>
      <c r="N598" t="s">
        <v>903</v>
      </c>
      <c r="O598" t="s">
        <v>2714</v>
      </c>
      <c r="Q598" t="s">
        <v>3534</v>
      </c>
      <c r="R598" s="52">
        <f>_xlfn.NUMBERVALUE(convertNumberStringPointToNumberComma(LEFT(Q598,FIND("x",Q598)-2)))</f>
        <v>69.5</v>
      </c>
      <c r="S598" s="52">
        <f>_xlfn.NUMBERVALUE(convertNumberStringPointToNumberComma(LEFT(RIGHT(Q598,LEN(Q598)-FIND("x",Q598)-1),LEN(RIGHT(Q598,LEN(Q598)-FIND("x",Q598)-1))-2)))</f>
        <v>69</v>
      </c>
    </row>
    <row r="599" spans="1:19" x14ac:dyDescent="0.25">
      <c r="A599" t="s">
        <v>2215</v>
      </c>
      <c r="B599" t="s">
        <v>1036</v>
      </c>
      <c r="E599" t="s">
        <v>2639</v>
      </c>
      <c r="H599" t="s">
        <v>62</v>
      </c>
      <c r="L599" t="s">
        <v>2743</v>
      </c>
      <c r="M599" t="s">
        <v>2757</v>
      </c>
      <c r="N599" t="s">
        <v>903</v>
      </c>
      <c r="O599" t="s">
        <v>3098</v>
      </c>
      <c r="Q599" t="s">
        <v>3534</v>
      </c>
      <c r="R599" s="52">
        <f>_xlfn.NUMBERVALUE(convertNumberStringPointToNumberComma(LEFT(Q599,FIND("x",Q599)-2)))</f>
        <v>69.5</v>
      </c>
      <c r="S599" s="52">
        <f>_xlfn.NUMBERVALUE(convertNumberStringPointToNumberComma(LEFT(RIGHT(Q599,LEN(Q599)-FIND("x",Q599)-1),LEN(RIGHT(Q599,LEN(Q599)-FIND("x",Q599)-1))-2)))</f>
        <v>69</v>
      </c>
    </row>
    <row r="600" spans="1:19" x14ac:dyDescent="0.25">
      <c r="A600" t="s">
        <v>2261</v>
      </c>
      <c r="B600" t="s">
        <v>1036</v>
      </c>
      <c r="E600" t="s">
        <v>2639</v>
      </c>
      <c r="H600" t="s">
        <v>62</v>
      </c>
      <c r="L600" t="s">
        <v>2743</v>
      </c>
      <c r="M600" t="s">
        <v>2757</v>
      </c>
      <c r="N600" t="s">
        <v>903</v>
      </c>
      <c r="O600" t="s">
        <v>3098</v>
      </c>
      <c r="Q600" t="s">
        <v>3534</v>
      </c>
      <c r="R600" s="52">
        <f>_xlfn.NUMBERVALUE(convertNumberStringPointToNumberComma(LEFT(Q600,FIND("x",Q600)-2)))</f>
        <v>69.5</v>
      </c>
      <c r="S600" s="52">
        <f>_xlfn.NUMBERVALUE(convertNumberStringPointToNumberComma(LEFT(RIGHT(Q600,LEN(Q600)-FIND("x",Q600)-1),LEN(RIGHT(Q600,LEN(Q600)-FIND("x",Q600)-1))-2)))</f>
        <v>69</v>
      </c>
    </row>
    <row r="601" spans="1:19" x14ac:dyDescent="0.25">
      <c r="B601" t="s">
        <v>678</v>
      </c>
      <c r="E601" t="s">
        <v>3146</v>
      </c>
      <c r="H601" t="s">
        <v>91</v>
      </c>
      <c r="M601" t="s">
        <v>2818</v>
      </c>
      <c r="N601" t="s">
        <v>2959</v>
      </c>
      <c r="O601" t="s">
        <v>2920</v>
      </c>
      <c r="Q601" t="s">
        <v>3954</v>
      </c>
      <c r="R601" s="52">
        <f>_xlfn.NUMBERVALUE(convertNumberStringPointToNumberComma(LEFT(Q601,FIND("x",Q601)-2)))</f>
        <v>69.599999999999994</v>
      </c>
      <c r="S601" s="52">
        <f>_xlfn.NUMBERVALUE(convertNumberStringPointToNumberComma(LEFT(RIGHT(Q601,LEN(Q601)-FIND("x",Q601)-1),LEN(RIGHT(Q601,LEN(Q601)-FIND("x",Q601)-1))-2)))</f>
        <v>57.2</v>
      </c>
    </row>
    <row r="602" spans="1:19" x14ac:dyDescent="0.25">
      <c r="A602" t="s">
        <v>2359</v>
      </c>
      <c r="B602" t="s">
        <v>552</v>
      </c>
      <c r="E602" t="s">
        <v>2649</v>
      </c>
      <c r="H602" t="s">
        <v>2669</v>
      </c>
      <c r="M602" t="s">
        <v>2674</v>
      </c>
      <c r="N602" t="s">
        <v>913</v>
      </c>
      <c r="O602" t="s">
        <v>3124</v>
      </c>
      <c r="Q602" t="s">
        <v>3927</v>
      </c>
      <c r="R602" s="52">
        <f>_xlfn.NUMBERVALUE(convertNumberStringPointToNumberComma(LEFT(Q602,FIND("x",Q602)-2)))</f>
        <v>69.900000000000006</v>
      </c>
      <c r="S602" s="52">
        <f>_xlfn.NUMBERVALUE(convertNumberStringPointToNumberComma(LEFT(RIGHT(Q602,LEN(Q602)-FIND("x",Q602)-1),LEN(RIGHT(Q602,LEN(Q602)-FIND("x",Q602)-1))-2)))</f>
        <v>50.8</v>
      </c>
    </row>
    <row r="603" spans="1:19" x14ac:dyDescent="0.25">
      <c r="A603" t="s">
        <v>2360</v>
      </c>
      <c r="B603" t="s">
        <v>552</v>
      </c>
      <c r="E603" t="s">
        <v>2649</v>
      </c>
      <c r="H603" t="s">
        <v>2669</v>
      </c>
      <c r="M603" t="s">
        <v>2748</v>
      </c>
      <c r="N603" t="s">
        <v>913</v>
      </c>
      <c r="O603" t="s">
        <v>3124</v>
      </c>
      <c r="Q603" t="s">
        <v>3927</v>
      </c>
      <c r="R603" s="52">
        <f>_xlfn.NUMBERVALUE(convertNumberStringPointToNumberComma(LEFT(Q603,FIND("x",Q603)-2)))</f>
        <v>69.900000000000006</v>
      </c>
      <c r="S603" s="52">
        <f>_xlfn.NUMBERVALUE(convertNumberStringPointToNumberComma(LEFT(RIGHT(Q603,LEN(Q603)-FIND("x",Q603)-1),LEN(RIGHT(Q603,LEN(Q603)-FIND("x",Q603)-1))-2)))</f>
        <v>50.8</v>
      </c>
    </row>
    <row r="604" spans="1:19" x14ac:dyDescent="0.25">
      <c r="A604" t="s">
        <v>2361</v>
      </c>
      <c r="B604" t="s">
        <v>552</v>
      </c>
      <c r="E604" t="s">
        <v>2649</v>
      </c>
      <c r="H604" t="s">
        <v>2669</v>
      </c>
      <c r="M604" t="s">
        <v>2680</v>
      </c>
      <c r="N604" t="s">
        <v>913</v>
      </c>
      <c r="O604" t="s">
        <v>3124</v>
      </c>
      <c r="Q604" t="s">
        <v>3927</v>
      </c>
      <c r="R604" s="52">
        <f>_xlfn.NUMBERVALUE(convertNumberStringPointToNumberComma(LEFT(Q604,FIND("x",Q604)-2)))</f>
        <v>69.900000000000006</v>
      </c>
      <c r="S604" s="52">
        <f>_xlfn.NUMBERVALUE(convertNumberStringPointToNumberComma(LEFT(RIGHT(Q604,LEN(Q604)-FIND("x",Q604)-1),LEN(RIGHT(Q604,LEN(Q604)-FIND("x",Q604)-1))-2)))</f>
        <v>50.8</v>
      </c>
    </row>
    <row r="605" spans="1:19" x14ac:dyDescent="0.25">
      <c r="A605" t="s">
        <v>2043</v>
      </c>
      <c r="B605" t="s">
        <v>1377</v>
      </c>
      <c r="E605" t="s">
        <v>2645</v>
      </c>
      <c r="H605" t="s">
        <v>2668</v>
      </c>
      <c r="L605" t="s">
        <v>2887</v>
      </c>
      <c r="M605" t="s">
        <v>8</v>
      </c>
      <c r="N605" t="s">
        <v>913</v>
      </c>
      <c r="O605" t="s">
        <v>10</v>
      </c>
      <c r="Q605" t="s">
        <v>3810</v>
      </c>
      <c r="R605" s="52">
        <f>_xlfn.NUMBERVALUE(convertNumberStringPointToNumberComma(LEFT(Q605,FIND("x",Q605)-2)))</f>
        <v>69.900000000000006</v>
      </c>
      <c r="S605" s="52">
        <f>_xlfn.NUMBERVALUE(convertNumberStringPointToNumberComma(LEFT(RIGHT(Q605,LEN(Q605)-FIND("x",Q605)-1),LEN(RIGHT(Q605,LEN(Q605)-FIND("x",Q605)-1))-2)))</f>
        <v>70.900000000000006</v>
      </c>
    </row>
    <row r="606" spans="1:19" x14ac:dyDescent="0.25">
      <c r="A606" t="s">
        <v>1321</v>
      </c>
      <c r="B606" t="s">
        <v>1322</v>
      </c>
      <c r="E606" t="s">
        <v>2634</v>
      </c>
      <c r="L606" t="s">
        <v>2638</v>
      </c>
      <c r="M606" t="s">
        <v>2804</v>
      </c>
      <c r="N606" t="s">
        <v>903</v>
      </c>
      <c r="O606" t="s">
        <v>41</v>
      </c>
      <c r="Q606" t="s">
        <v>3432</v>
      </c>
      <c r="R606" s="52">
        <f>_xlfn.NUMBERVALUE(convertNumberStringPointToNumberComma(LEFT(Q606,FIND("x",Q606)-2)))</f>
        <v>70</v>
      </c>
      <c r="S606" s="52">
        <f>_xlfn.NUMBERVALUE(convertNumberStringPointToNumberComma(LEFT(RIGHT(Q606,LEN(Q606)-FIND("x",Q606)-1),LEN(RIGHT(Q606,LEN(Q606)-FIND("x",Q606)-1))-2)))</f>
        <v>100.5</v>
      </c>
    </row>
    <row r="607" spans="1:19" x14ac:dyDescent="0.25">
      <c r="A607" t="s">
        <v>992</v>
      </c>
      <c r="B607" t="s">
        <v>993</v>
      </c>
      <c r="C607" s="5">
        <f>convertNumberStringPointToNumberComma(IFERROR(LEFT(B607,(FIND("-",B607)-1)),LEFT(B607,FIND("mm",B607)-1)))</f>
        <v>45</v>
      </c>
      <c r="D607" s="5">
        <f>convertNumberStringPointToNumberComma(IFERROR(RIGHT(LEFT(B607,FIND("m",B607)-1),LEN(LEFT(B607,FIND("m",B607)-1))-FIND("-",LEFT(B607,FIND("m",B607)-1))-1),C607))</f>
        <v>0</v>
      </c>
      <c r="E607" t="s">
        <v>2634</v>
      </c>
      <c r="F607" s="9">
        <f>convertNumberStringPointToNumberComma(LEFT(MID(E607,3,9),IFERROR(FIND("-",MID(E607,3,9))-2,3)))</f>
        <v>4</v>
      </c>
      <c r="G607" s="9">
        <f>convertNumberStringPointToNumberComma(RIGHT(E607,IF(ISERROR(FIND(".",RIGHT(E607,3))),1,3)))</f>
        <v>5.6</v>
      </c>
      <c r="H607" t="s">
        <v>318</v>
      </c>
      <c r="I607" s="5" t="str">
        <f>IF(H607="none",0,LEFT(H607,LEN(H607)-2))</f>
        <v>52</v>
      </c>
      <c r="J607" s="5" t="s">
        <v>144</v>
      </c>
      <c r="K607" s="10">
        <f>IF(J607="",0,convertNumberStringPointToNumberComma(LEFT(J607,LEN(J607)-1)))</f>
        <v>0.24</v>
      </c>
      <c r="L607" t="s">
        <v>2673</v>
      </c>
      <c r="M607" t="s">
        <v>2680</v>
      </c>
      <c r="N607" t="s">
        <v>2681</v>
      </c>
      <c r="O607" t="s">
        <v>360</v>
      </c>
      <c r="P607" s="5" t="str">
        <f>LEFT(O607,LEN(O607)-1)</f>
        <v>370</v>
      </c>
      <c r="Q607" t="s">
        <v>3246</v>
      </c>
      <c r="R607" s="52">
        <f>_xlfn.NUMBERVALUE(convertNumberStringPointToNumberComma(LEFT(Q607,FIND("x",Q607)-2)))</f>
        <v>70</v>
      </c>
      <c r="S607" s="52">
        <f>_xlfn.NUMBERVALUE(convertNumberStringPointToNumberComma(LEFT(RIGHT(Q607,LEN(Q607)-FIND("x",Q607)-1),LEN(RIGHT(Q607,LEN(Q607)-FIND("x",Q607)-1))-2)))</f>
        <v>100</v>
      </c>
    </row>
    <row r="608" spans="1:19" x14ac:dyDescent="0.25">
      <c r="A608" t="s">
        <v>1298</v>
      </c>
      <c r="B608" t="s">
        <v>993</v>
      </c>
      <c r="E608" t="s">
        <v>2634</v>
      </c>
      <c r="H608" t="s">
        <v>318</v>
      </c>
      <c r="M608" t="s">
        <v>2680</v>
      </c>
      <c r="N608" t="s">
        <v>2681</v>
      </c>
      <c r="O608" t="s">
        <v>825</v>
      </c>
      <c r="Q608" t="s">
        <v>3246</v>
      </c>
      <c r="R608" s="52">
        <f>_xlfn.NUMBERVALUE(convertNumberStringPointToNumberComma(LEFT(Q608,FIND("x",Q608)-2)))</f>
        <v>70</v>
      </c>
      <c r="S608" s="52">
        <f>_xlfn.NUMBERVALUE(convertNumberStringPointToNumberComma(LEFT(RIGHT(Q608,LEN(Q608)-FIND("x",Q608)-1),LEN(RIGHT(Q608,LEN(Q608)-FIND("x",Q608)-1))-2)))</f>
        <v>100</v>
      </c>
    </row>
    <row r="609" spans="1:19" x14ac:dyDescent="0.25">
      <c r="A609" t="s">
        <v>1216</v>
      </c>
      <c r="B609" t="s">
        <v>1012</v>
      </c>
      <c r="C609" s="5">
        <f>convertNumberStringPointToNumberComma(IFERROR(LEFT(B609,(FIND("-",B609)-1)),LEFT(B609,FIND("mm",B609)-1)))</f>
        <v>55</v>
      </c>
      <c r="D609" s="5">
        <f>convertNumberStringPointToNumberComma(IFERROR(RIGHT(LEFT(B609,FIND("m",B609)-1),LEN(LEFT(B609,FIND("m",B609)-1))-FIND("-",LEFT(B609,FIND("m",B609)-1))-1),C609))</f>
        <v>50</v>
      </c>
      <c r="E609" t="s">
        <v>2634</v>
      </c>
      <c r="F609" s="9">
        <f>convertNumberStringPointToNumberComma(LEFT(MID(E609,3,9),IFERROR(FIND("-",MID(E609,3,9))-2,3)))</f>
        <v>4</v>
      </c>
      <c r="G609" s="9">
        <f>convertNumberStringPointToNumberComma(RIGHT(E609,IF(ISERROR(FIND(".",RIGHT(E609,3))),1,3)))</f>
        <v>5.6</v>
      </c>
      <c r="H609" t="s">
        <v>91</v>
      </c>
      <c r="I609" s="5" t="str">
        <f>IF(H609="none",0,LEFT(H609,LEN(H609)-2))</f>
        <v>58</v>
      </c>
      <c r="J609" s="5" t="s">
        <v>162</v>
      </c>
      <c r="K609" s="10">
        <f>IF(J609="",0,convertNumberStringPointToNumberComma(LEFT(J609,LEN(J609)-1)))</f>
        <v>0.25</v>
      </c>
      <c r="L609" t="s">
        <v>2688</v>
      </c>
      <c r="M609" t="s">
        <v>2708</v>
      </c>
      <c r="N609" t="s">
        <v>903</v>
      </c>
      <c r="O609" t="s">
        <v>395</v>
      </c>
      <c r="P609" s="5" t="str">
        <f>LEFT(O609,LEN(O609)-1)</f>
        <v>390</v>
      </c>
      <c r="Q609" t="s">
        <v>3369</v>
      </c>
      <c r="R609" s="52">
        <f>_xlfn.NUMBERVALUE(convertNumberStringPointToNumberComma(LEFT(Q609,FIND("x",Q609)-2)))</f>
        <v>70</v>
      </c>
      <c r="S609" s="52">
        <f>_xlfn.NUMBERVALUE(convertNumberStringPointToNumberComma(LEFT(RIGHT(Q609,LEN(Q609)-FIND("x",Q609)-1),LEN(RIGHT(Q609,LEN(Q609)-FIND("x",Q609)-1))-2)))</f>
        <v>108</v>
      </c>
    </row>
    <row r="610" spans="1:19" x14ac:dyDescent="0.25">
      <c r="A610" t="s">
        <v>2547</v>
      </c>
      <c r="B610" t="s">
        <v>1012</v>
      </c>
      <c r="E610" t="s">
        <v>2634</v>
      </c>
      <c r="H610" t="s">
        <v>91</v>
      </c>
      <c r="L610" t="s">
        <v>2688</v>
      </c>
      <c r="M610" t="s">
        <v>2708</v>
      </c>
      <c r="N610" t="s">
        <v>903</v>
      </c>
      <c r="O610" t="s">
        <v>395</v>
      </c>
      <c r="Q610" t="s">
        <v>3369</v>
      </c>
      <c r="R610" s="52">
        <f>_xlfn.NUMBERVALUE(convertNumberStringPointToNumberComma(LEFT(Q610,FIND("x",Q610)-2)))</f>
        <v>70</v>
      </c>
      <c r="S610" s="52">
        <f>_xlfn.NUMBERVALUE(convertNumberStringPointToNumberComma(LEFT(RIGHT(Q610,LEN(Q610)-FIND("x",Q610)-1),LEN(RIGHT(Q610,LEN(Q610)-FIND("x",Q610)-1))-2)))</f>
        <v>108</v>
      </c>
    </row>
    <row r="611" spans="1:19" x14ac:dyDescent="0.25">
      <c r="A611" t="s">
        <v>1011</v>
      </c>
      <c r="B611" t="s">
        <v>1012</v>
      </c>
      <c r="C611" s="5">
        <f>convertNumberStringPointToNumberComma(IFERROR(LEFT(B611,(FIND("-",B611)-1)),LEFT(B611,FIND("mm",B611)-1)))</f>
        <v>55</v>
      </c>
      <c r="D611" s="5">
        <f>convertNumberStringPointToNumberComma(IFERROR(RIGHT(LEFT(B611,FIND("m",B611)-1),LEN(LEFT(B611,FIND("m",B611)-1))-FIND("-",LEFT(B611,FIND("m",B611)-1))-1),C611))</f>
        <v>50</v>
      </c>
      <c r="E611" t="s">
        <v>2634</v>
      </c>
      <c r="F611" s="9">
        <f>convertNumberStringPointToNumberComma(LEFT(MID(E611,3,9),IFERROR(FIND("-",MID(E611,3,9))-2,3)))</f>
        <v>4</v>
      </c>
      <c r="G611" s="9">
        <f>convertNumberStringPointToNumberComma(RIGHT(E611,IF(ISERROR(FIND(".",RIGHT(E611,3))),1,3)))</f>
        <v>5.6</v>
      </c>
      <c r="H611" t="s">
        <v>91</v>
      </c>
      <c r="I611" s="5" t="str">
        <f>IF(H611="none",0,LEFT(H611,LEN(H611)-2))</f>
        <v>58</v>
      </c>
      <c r="J611" s="5" t="s">
        <v>349</v>
      </c>
      <c r="K611" s="10">
        <f>IF(J611="",0,convertNumberStringPointToNumberComma(LEFT(J611,LEN(J611)-1)))</f>
        <v>0.32</v>
      </c>
      <c r="L611" t="s">
        <v>2746</v>
      </c>
      <c r="M611" t="s">
        <v>2708</v>
      </c>
      <c r="N611" t="s">
        <v>903</v>
      </c>
      <c r="O611" t="s">
        <v>2747</v>
      </c>
      <c r="P611" s="5" t="str">
        <f>LEFT(O611,LEN(O611)-1)</f>
        <v>375</v>
      </c>
      <c r="Q611" t="s">
        <v>3261</v>
      </c>
      <c r="R611" s="52">
        <f>_xlfn.NUMBERVALUE(convertNumberStringPointToNumberComma(LEFT(Q611,FIND("x",Q611)-2)))</f>
        <v>70</v>
      </c>
      <c r="S611" s="52">
        <f>_xlfn.NUMBERVALUE(convertNumberStringPointToNumberComma(LEFT(RIGHT(Q611,LEN(Q611)-FIND("x",Q611)-1),LEN(RIGHT(Q611,LEN(Q611)-FIND("x",Q611)-1))-2)))</f>
        <v>111</v>
      </c>
    </row>
    <row r="612" spans="1:19" x14ac:dyDescent="0.25">
      <c r="A612" t="s">
        <v>1493</v>
      </c>
      <c r="B612" t="s">
        <v>1494</v>
      </c>
      <c r="E612" t="s">
        <v>2666</v>
      </c>
      <c r="H612" t="s">
        <v>91</v>
      </c>
      <c r="L612" t="s">
        <v>2698</v>
      </c>
      <c r="M612" t="s">
        <v>2748</v>
      </c>
      <c r="N612" t="s">
        <v>903</v>
      </c>
      <c r="O612" t="s">
        <v>2747</v>
      </c>
      <c r="Q612" t="s">
        <v>3261</v>
      </c>
      <c r="R612" s="52">
        <f>_xlfn.NUMBERVALUE(convertNumberStringPointToNumberComma(LEFT(Q612,FIND("x",Q612)-2)))</f>
        <v>70</v>
      </c>
      <c r="S612" s="52">
        <f>_xlfn.NUMBERVALUE(convertNumberStringPointToNumberComma(LEFT(RIGHT(Q612,LEN(Q612)-FIND("x",Q612)-1),LEN(RIGHT(Q612,LEN(Q612)-FIND("x",Q612)-1))-2)))</f>
        <v>111</v>
      </c>
    </row>
    <row r="613" spans="1:19" x14ac:dyDescent="0.25">
      <c r="A613" t="s">
        <v>1495</v>
      </c>
      <c r="B613" t="s">
        <v>1494</v>
      </c>
      <c r="E613" t="s">
        <v>2666</v>
      </c>
      <c r="H613" t="s">
        <v>91</v>
      </c>
      <c r="L613" t="s">
        <v>2698</v>
      </c>
      <c r="M613" t="s">
        <v>2748</v>
      </c>
      <c r="N613" t="s">
        <v>903</v>
      </c>
      <c r="O613" t="s">
        <v>2747</v>
      </c>
      <c r="Q613" t="s">
        <v>3261</v>
      </c>
      <c r="R613" s="52">
        <f>_xlfn.NUMBERVALUE(convertNumberStringPointToNumberComma(LEFT(Q613,FIND("x",Q613)-2)))</f>
        <v>70</v>
      </c>
      <c r="S613" s="52">
        <f>_xlfn.NUMBERVALUE(convertNumberStringPointToNumberComma(LEFT(RIGHT(Q613,LEN(Q613)-FIND("x",Q613)-1),LEN(RIGHT(Q613,LEN(Q613)-FIND("x",Q613)-1))-2)))</f>
        <v>111</v>
      </c>
    </row>
    <row r="614" spans="1:19" x14ac:dyDescent="0.25">
      <c r="A614" t="s">
        <v>2530</v>
      </c>
      <c r="B614" t="s">
        <v>1012</v>
      </c>
      <c r="E614" t="s">
        <v>2634</v>
      </c>
      <c r="H614" t="s">
        <v>91</v>
      </c>
      <c r="L614" t="s">
        <v>2746</v>
      </c>
      <c r="M614" t="s">
        <v>2708</v>
      </c>
      <c r="N614" t="s">
        <v>903</v>
      </c>
      <c r="O614" t="s">
        <v>2747</v>
      </c>
      <c r="Q614" t="s">
        <v>3261</v>
      </c>
      <c r="R614" s="52">
        <f>_xlfn.NUMBERVALUE(convertNumberStringPointToNumberComma(LEFT(Q614,FIND("x",Q614)-2)))</f>
        <v>70</v>
      </c>
      <c r="S614" s="52">
        <f>_xlfn.NUMBERVALUE(convertNumberStringPointToNumberComma(LEFT(RIGHT(Q614,LEN(Q614)-FIND("x",Q614)-1),LEN(RIGHT(Q614,LEN(Q614)-FIND("x",Q614)-1))-2)))</f>
        <v>111</v>
      </c>
    </row>
    <row r="615" spans="1:19" x14ac:dyDescent="0.25">
      <c r="B615" t="s">
        <v>552</v>
      </c>
      <c r="E615" t="s">
        <v>2632</v>
      </c>
      <c r="H615" t="s">
        <v>318</v>
      </c>
      <c r="L615" t="s">
        <v>2698</v>
      </c>
      <c r="M615" t="s">
        <v>2682</v>
      </c>
      <c r="N615" t="s">
        <v>913</v>
      </c>
      <c r="O615" t="s">
        <v>17</v>
      </c>
      <c r="Q615" t="s">
        <v>3989</v>
      </c>
      <c r="R615" s="52">
        <f>_xlfn.NUMBERVALUE(convertNumberStringPointToNumberComma(LEFT(Q615,FIND("x",Q615)-2)))</f>
        <v>70</v>
      </c>
      <c r="S615" s="52">
        <f>_xlfn.NUMBERVALUE(convertNumberStringPointToNumberComma(LEFT(RIGHT(Q615,LEN(Q615)-FIND("x",Q615)-1),LEN(RIGHT(Q615,LEN(Q615)-FIND("x",Q615)-1))-2)))</f>
        <v>27</v>
      </c>
    </row>
    <row r="616" spans="1:19" x14ac:dyDescent="0.25">
      <c r="A616" t="s">
        <v>2282</v>
      </c>
      <c r="B616" t="s">
        <v>664</v>
      </c>
      <c r="E616" t="s">
        <v>2651</v>
      </c>
      <c r="H616" t="s">
        <v>56</v>
      </c>
      <c r="M616" t="s">
        <v>3106</v>
      </c>
      <c r="O616" t="s">
        <v>370</v>
      </c>
      <c r="Q616" t="s">
        <v>3896</v>
      </c>
      <c r="R616" s="52">
        <f>_xlfn.NUMBERVALUE(convertNumberStringPointToNumberComma(LEFT(Q616,FIND("x",Q616)-2)))</f>
        <v>70</v>
      </c>
      <c r="S616" s="52">
        <f>_xlfn.NUMBERVALUE(convertNumberStringPointToNumberComma(LEFT(RIGHT(Q616,LEN(Q616)-FIND("x",Q616)-1),LEN(RIGHT(Q616,LEN(Q616)-FIND("x",Q616)-1))-2)))</f>
        <v>315</v>
      </c>
    </row>
    <row r="617" spans="1:19" x14ac:dyDescent="0.25">
      <c r="A617" t="s">
        <v>2289</v>
      </c>
      <c r="B617" t="s">
        <v>2290</v>
      </c>
      <c r="E617" t="s">
        <v>3109</v>
      </c>
      <c r="H617" t="s">
        <v>56</v>
      </c>
      <c r="M617" t="s">
        <v>3106</v>
      </c>
      <c r="O617" t="s">
        <v>242</v>
      </c>
      <c r="Q617" t="s">
        <v>3900</v>
      </c>
      <c r="R617" s="52">
        <f>_xlfn.NUMBERVALUE(convertNumberStringPointToNumberComma(LEFT(Q617,FIND("x",Q617)-2)))</f>
        <v>70</v>
      </c>
      <c r="S617" s="52">
        <f>_xlfn.NUMBERVALUE(convertNumberStringPointToNumberComma(LEFT(RIGHT(Q617,LEN(Q617)-FIND("x",Q617)-1),LEN(RIGHT(Q617,LEN(Q617)-FIND("x",Q617)-1))-2)))</f>
        <v>320</v>
      </c>
    </row>
    <row r="618" spans="1:19" x14ac:dyDescent="0.25">
      <c r="A618" t="s">
        <v>1162</v>
      </c>
      <c r="B618" t="s">
        <v>678</v>
      </c>
      <c r="C618" s="5">
        <f>convertNumberStringPointToNumberComma(IFERROR(LEFT(B618,(FIND("-",B618)-1)),LEFT(B618,FIND("mm",B618)-1)))</f>
        <v>50</v>
      </c>
      <c r="D618" s="5">
        <f>convertNumberStringPointToNumberComma(IFERROR(RIGHT(LEFT(B618,FIND("m",B618)-1),LEN(LEFT(B618,FIND("m",B618)-1))-FIND("-",LEFT(B618,FIND("m",B618)-1))-1),C618))</f>
        <v>50</v>
      </c>
      <c r="E618" t="s">
        <v>2635</v>
      </c>
      <c r="F618" s="9">
        <f>convertNumberStringPointToNumberComma(LEFT(MID(E618,3,9),IFERROR(FIND("-",MID(E618,3,9))-2,3)))</f>
        <v>1.8</v>
      </c>
      <c r="G618" s="9">
        <f>convertNumberStringPointToNumberComma(RIGHT(E618,IF(ISERROR(FIND(".",RIGHT(E618,3))),1,3)))</f>
        <v>1.8</v>
      </c>
      <c r="H618" t="s">
        <v>2667</v>
      </c>
      <c r="I618" s="5" t="str">
        <f>IF(H618="none",0,LEFT(H618,LEN(H618)-2))</f>
        <v>49</v>
      </c>
      <c r="J618" s="5" t="s">
        <v>40</v>
      </c>
      <c r="K618" s="10">
        <f>IF(J618="",0,convertNumberStringPointToNumberComma(LEFT(J618,LEN(J618)-1)))</f>
        <v>0.2</v>
      </c>
      <c r="L618" t="s">
        <v>2698</v>
      </c>
      <c r="M618" t="s">
        <v>2757</v>
      </c>
      <c r="N618" t="s">
        <v>903</v>
      </c>
      <c r="O618" t="s">
        <v>2720</v>
      </c>
      <c r="P618" s="5" t="str">
        <f>LEFT(O618,LEN(O618)-1)</f>
        <v>170</v>
      </c>
      <c r="Q618" t="s">
        <v>3372</v>
      </c>
      <c r="R618" s="52">
        <f>_xlfn.NUMBERVALUE(convertNumberStringPointToNumberComma(LEFT(Q618,FIND("x",Q618)-2)))</f>
        <v>70</v>
      </c>
      <c r="S618" s="52">
        <f>_xlfn.NUMBERVALUE(convertNumberStringPointToNumberComma(LEFT(RIGHT(Q618,LEN(Q618)-FIND("x",Q618)-1),LEN(RIGHT(Q618,LEN(Q618)-FIND("x",Q618)-1))-2)))</f>
        <v>45</v>
      </c>
    </row>
    <row r="619" spans="1:19" x14ac:dyDescent="0.25">
      <c r="A619" t="s">
        <v>958</v>
      </c>
      <c r="B619" t="s">
        <v>592</v>
      </c>
      <c r="C619" s="5">
        <f>convertNumberStringPointToNumberComma(IFERROR(LEFT(B619,(FIND("-",B619)-1)),LEFT(B619,FIND("mm",B619)-1)))</f>
        <v>35</v>
      </c>
      <c r="D619" s="5">
        <f>convertNumberStringPointToNumberComma(IFERROR(RIGHT(LEFT(B619,FIND("m",B619)-1),LEN(LEFT(B619,FIND("m",B619)-1))-FIND("-",LEFT(B619,FIND("m",B619)-1))-1),C619))</f>
        <v>35</v>
      </c>
      <c r="E619" t="s">
        <v>2635</v>
      </c>
      <c r="F619" s="9">
        <f>convertNumberStringPointToNumberComma(LEFT(MID(E619,3,9),IFERROR(FIND("-",MID(E619,3,9))-2,3)))</f>
        <v>1.8</v>
      </c>
      <c r="G619" s="9">
        <f>convertNumberStringPointToNumberComma(RIGHT(E619,IF(ISERROR(FIND(".",RIGHT(E619,3))),1,3)))</f>
        <v>1.8</v>
      </c>
      <c r="H619" t="s">
        <v>318</v>
      </c>
      <c r="I619" s="5" t="str">
        <f>IF(H619="none",0,LEFT(H619,LEN(H619)-2))</f>
        <v>52</v>
      </c>
      <c r="J619" s="5" t="s">
        <v>188</v>
      </c>
      <c r="K619" s="10">
        <f>IF(J619="",0,convertNumberStringPointToNumberComma(LEFT(J619,LEN(J619)-1)))</f>
        <v>0.11</v>
      </c>
      <c r="M619" t="s">
        <v>8</v>
      </c>
      <c r="N619" t="s">
        <v>903</v>
      </c>
      <c r="O619" t="s">
        <v>2714</v>
      </c>
      <c r="P619" s="5" t="str">
        <f>LEFT(O619,LEN(O619)-1)</f>
        <v>210</v>
      </c>
      <c r="Q619" t="s">
        <v>3224</v>
      </c>
      <c r="R619" s="52">
        <f>_xlfn.NUMBERVALUE(convertNumberStringPointToNumberComma(LEFT(Q619,FIND("x",Q619)-2)))</f>
        <v>70</v>
      </c>
      <c r="S619" s="52">
        <f>_xlfn.NUMBERVALUE(convertNumberStringPointToNumberComma(LEFT(RIGHT(Q619,LEN(Q619)-FIND("x",Q619)-1),LEN(RIGHT(Q619,LEN(Q619)-FIND("x",Q619)-1))-2)))</f>
        <v>52.5</v>
      </c>
    </row>
    <row r="620" spans="1:19" x14ac:dyDescent="0.25">
      <c r="A620" t="s">
        <v>1569</v>
      </c>
      <c r="B620" t="s">
        <v>822</v>
      </c>
      <c r="E620" t="s">
        <v>2632</v>
      </c>
      <c r="H620" t="s">
        <v>62</v>
      </c>
      <c r="L620" t="s">
        <v>2698</v>
      </c>
      <c r="M620" t="s">
        <v>2757</v>
      </c>
      <c r="N620" t="s">
        <v>913</v>
      </c>
      <c r="O620" t="s">
        <v>2936</v>
      </c>
      <c r="Q620" t="s">
        <v>3560</v>
      </c>
      <c r="R620" s="52">
        <f>_xlfn.NUMBERVALUE(convertNumberStringPointToNumberComma(LEFT(Q620,FIND("x",Q620)-2)))</f>
        <v>70</v>
      </c>
      <c r="S620" s="52">
        <f>_xlfn.NUMBERVALUE(convertNumberStringPointToNumberComma(LEFT(RIGHT(Q620,LEN(Q620)-FIND("x",Q620)-1),LEN(RIGHT(Q620,LEN(Q620)-FIND("x",Q620)-1))-2)))</f>
        <v>52</v>
      </c>
    </row>
    <row r="621" spans="1:19" x14ac:dyDescent="0.25">
      <c r="A621" t="s">
        <v>2570</v>
      </c>
      <c r="B621" t="s">
        <v>592</v>
      </c>
      <c r="E621" t="s">
        <v>2635</v>
      </c>
      <c r="H621" t="s">
        <v>62</v>
      </c>
      <c r="L621" t="s">
        <v>2728</v>
      </c>
      <c r="M621" t="s">
        <v>2757</v>
      </c>
      <c r="N621" t="s">
        <v>903</v>
      </c>
      <c r="O621" t="s">
        <v>2720</v>
      </c>
      <c r="Q621" t="s">
        <v>3560</v>
      </c>
      <c r="R621" s="52">
        <f>_xlfn.NUMBERVALUE(convertNumberStringPointToNumberComma(LEFT(Q621,FIND("x",Q621)-2)))</f>
        <v>70</v>
      </c>
      <c r="S621" s="52">
        <f>_xlfn.NUMBERVALUE(convertNumberStringPointToNumberComma(LEFT(RIGHT(Q621,LEN(Q621)-FIND("x",Q621)-1),LEN(RIGHT(Q621,LEN(Q621)-FIND("x",Q621)-1))-2)))</f>
        <v>52</v>
      </c>
    </row>
    <row r="622" spans="1:19" x14ac:dyDescent="0.25">
      <c r="A622" t="s">
        <v>979</v>
      </c>
      <c r="B622" t="s">
        <v>980</v>
      </c>
      <c r="C622" s="5">
        <f>convertNumberStringPointToNumberComma(IFERROR(LEFT(B622,(FIND("-",B622)-1)),LEFT(B622,FIND("mm",B622)-1)))</f>
        <v>10</v>
      </c>
      <c r="D622" s="5">
        <f>convertNumberStringPointToNumberComma(IFERROR(RIGHT(LEFT(B622,FIND("m",B622)-1),LEN(LEFT(B622,FIND("m",B622)-1))-FIND("-",LEFT(B622,FIND("m",B622)-1))-1),C622))</f>
        <v>8</v>
      </c>
      <c r="E622" t="s">
        <v>2633</v>
      </c>
      <c r="F622" s="9">
        <f>convertNumberStringPointToNumberComma(LEFT(MID(E622,3,9),IFERROR(FIND("-",MID(E622,3,9))-2,3)))</f>
        <v>4</v>
      </c>
      <c r="G622" s="9">
        <f>convertNumberStringPointToNumberComma(RIGHT(E622,IF(ISERROR(FIND(".",RIGHT(E622,3))),1,3)))</f>
        <v>4</v>
      </c>
      <c r="H622" t="s">
        <v>84</v>
      </c>
      <c r="I622" s="5" t="str">
        <f>IF(H622="none",0,LEFT(H622,LEN(H622)-2))</f>
        <v>62</v>
      </c>
      <c r="J622" s="5" t="s">
        <v>36</v>
      </c>
      <c r="K622" s="10">
        <f>IF(J622="",0,convertNumberStringPointToNumberComma(LEFT(J622,LEN(J622)-1)))</f>
        <v>0.18</v>
      </c>
      <c r="L622" t="s">
        <v>2726</v>
      </c>
      <c r="M622" t="s">
        <v>2674</v>
      </c>
      <c r="N622" t="s">
        <v>903</v>
      </c>
      <c r="O622" t="s">
        <v>2727</v>
      </c>
      <c r="P622" s="5" t="str">
        <f>LEFT(O622,LEN(O622)-1)</f>
        <v>225</v>
      </c>
      <c r="Q622" t="s">
        <v>3237</v>
      </c>
      <c r="R622" s="52">
        <f>_xlfn.NUMBERVALUE(convertNumberStringPointToNumberComma(LEFT(Q622,FIND("x",Q622)-2)))</f>
        <v>70</v>
      </c>
      <c r="S622" s="52">
        <f>_xlfn.NUMBERVALUE(convertNumberStringPointToNumberComma(LEFT(RIGHT(Q622,LEN(Q622)-FIND("x",Q622)-1),LEN(RIGHT(Q622,LEN(Q622)-FIND("x",Q622)-1))-2)))</f>
        <v>63.5</v>
      </c>
    </row>
    <row r="623" spans="1:19" x14ac:dyDescent="0.25">
      <c r="A623" t="s">
        <v>2523</v>
      </c>
      <c r="B623" t="s">
        <v>960</v>
      </c>
      <c r="E623" t="s">
        <v>2643</v>
      </c>
      <c r="H623" t="s">
        <v>84</v>
      </c>
      <c r="L623" t="s">
        <v>2726</v>
      </c>
      <c r="M623" t="s">
        <v>2680</v>
      </c>
      <c r="N623" t="s">
        <v>2681</v>
      </c>
      <c r="O623" t="s">
        <v>719</v>
      </c>
      <c r="Q623" t="s">
        <v>4034</v>
      </c>
      <c r="R623" s="52">
        <f>_xlfn.NUMBERVALUE(convertNumberStringPointToNumberComma(LEFT(Q623,FIND("x",Q623)-2)))</f>
        <v>70</v>
      </c>
      <c r="S623" s="52">
        <f>_xlfn.NUMBERVALUE(convertNumberStringPointToNumberComma(LEFT(RIGHT(Q623,LEN(Q623)-FIND("x",Q623)-1),LEN(RIGHT(Q623,LEN(Q623)-FIND("x",Q623)-1))-2)))</f>
        <v>70</v>
      </c>
    </row>
    <row r="624" spans="1:19" x14ac:dyDescent="0.25">
      <c r="A624" t="s">
        <v>1376</v>
      </c>
      <c r="B624" t="s">
        <v>1377</v>
      </c>
      <c r="E624" t="s">
        <v>2645</v>
      </c>
      <c r="L624" t="s">
        <v>2887</v>
      </c>
      <c r="M624" t="s">
        <v>2708</v>
      </c>
      <c r="N624" t="s">
        <v>903</v>
      </c>
      <c r="O624" t="s">
        <v>10</v>
      </c>
      <c r="Q624" t="s">
        <v>3459</v>
      </c>
      <c r="R624" s="52">
        <f>_xlfn.NUMBERVALUE(convertNumberStringPointToNumberComma(LEFT(Q624,FIND("x",Q624)-2)))</f>
        <v>70</v>
      </c>
      <c r="S624" s="52">
        <f>_xlfn.NUMBERVALUE(convertNumberStringPointToNumberComma(LEFT(RIGHT(Q624,LEN(Q624)-FIND("x",Q624)-1),LEN(RIGHT(Q624,LEN(Q624)-FIND("x",Q624)-1))-2)))</f>
        <v>71.099999999999994</v>
      </c>
    </row>
    <row r="625" spans="1:19" x14ac:dyDescent="0.25">
      <c r="A625" t="s">
        <v>1378</v>
      </c>
      <c r="B625" t="s">
        <v>1377</v>
      </c>
      <c r="E625" t="s">
        <v>2645</v>
      </c>
      <c r="L625" t="s">
        <v>2887</v>
      </c>
      <c r="M625" t="s">
        <v>8</v>
      </c>
      <c r="N625" t="s">
        <v>903</v>
      </c>
      <c r="O625" t="s">
        <v>10</v>
      </c>
      <c r="Q625" t="s">
        <v>3459</v>
      </c>
      <c r="R625" s="52">
        <f>_xlfn.NUMBERVALUE(convertNumberStringPointToNumberComma(LEFT(Q625,FIND("x",Q625)-2)))</f>
        <v>70</v>
      </c>
      <c r="S625" s="52">
        <f>_xlfn.NUMBERVALUE(convertNumberStringPointToNumberComma(LEFT(RIGHT(Q625,LEN(Q625)-FIND("x",Q625)-1),LEN(RIGHT(Q625,LEN(Q625)-FIND("x",Q625)-1))-2)))</f>
        <v>71.099999999999994</v>
      </c>
    </row>
    <row r="626" spans="1:19" x14ac:dyDescent="0.25">
      <c r="A626" t="s">
        <v>1556</v>
      </c>
      <c r="B626" t="s">
        <v>741</v>
      </c>
      <c r="E626" t="s">
        <v>2632</v>
      </c>
      <c r="H626" t="s">
        <v>84</v>
      </c>
      <c r="L626" t="s">
        <v>2707</v>
      </c>
      <c r="M626" t="s">
        <v>8</v>
      </c>
      <c r="N626" t="s">
        <v>913</v>
      </c>
      <c r="O626" t="s">
        <v>37</v>
      </c>
      <c r="Q626" t="s">
        <v>3555</v>
      </c>
      <c r="R626" s="52">
        <f>_xlfn.NUMBERVALUE(convertNumberStringPointToNumberComma(LEFT(Q626,FIND("x",Q626)-2)))</f>
        <v>70</v>
      </c>
      <c r="S626" s="52">
        <f>_xlfn.NUMBERVALUE(convertNumberStringPointToNumberComma(LEFT(RIGHT(Q626,LEN(Q626)-FIND("x",Q626)-1),LEN(RIGHT(Q626,LEN(Q626)-FIND("x",Q626)-1))-2)))</f>
        <v>74.5</v>
      </c>
    </row>
    <row r="627" spans="1:19" x14ac:dyDescent="0.25">
      <c r="A627" t="s">
        <v>1521</v>
      </c>
      <c r="B627" t="s">
        <v>592</v>
      </c>
      <c r="E627" t="s">
        <v>2643</v>
      </c>
      <c r="H627" t="s">
        <v>741</v>
      </c>
      <c r="L627" t="s">
        <v>2919</v>
      </c>
      <c r="M627" t="s">
        <v>2915</v>
      </c>
      <c r="N627" t="s">
        <v>913</v>
      </c>
      <c r="O627" t="s">
        <v>2920</v>
      </c>
      <c r="Q627" t="s">
        <v>3535</v>
      </c>
      <c r="R627" s="52">
        <f>_xlfn.NUMBERVALUE(convertNumberStringPointToNumberComma(LEFT(Q627,FIND("x",Q627)-2)))</f>
        <v>70</v>
      </c>
      <c r="S627" s="52">
        <f>_xlfn.NUMBERVALUE(convertNumberStringPointToNumberComma(LEFT(RIGHT(Q627,LEN(Q627)-FIND("x",Q627)-1),LEN(RIGHT(Q627,LEN(Q627)-FIND("x",Q627)-1))-2)))</f>
        <v>77</v>
      </c>
    </row>
    <row r="628" spans="1:19" x14ac:dyDescent="0.25">
      <c r="A628" t="s">
        <v>1522</v>
      </c>
      <c r="B628" t="s">
        <v>592</v>
      </c>
      <c r="E628" t="s">
        <v>2643</v>
      </c>
      <c r="H628" t="s">
        <v>741</v>
      </c>
      <c r="L628" t="s">
        <v>2919</v>
      </c>
      <c r="M628" t="s">
        <v>2915</v>
      </c>
      <c r="N628" t="s">
        <v>913</v>
      </c>
      <c r="O628" t="s">
        <v>2920</v>
      </c>
      <c r="Q628" t="s">
        <v>3535</v>
      </c>
      <c r="R628" s="52">
        <f>_xlfn.NUMBERVALUE(convertNumberStringPointToNumberComma(LEFT(Q628,FIND("x",Q628)-2)))</f>
        <v>70</v>
      </c>
      <c r="S628" s="52">
        <f>_xlfn.NUMBERVALUE(convertNumberStringPointToNumberComma(LEFT(RIGHT(Q628,LEN(Q628)-FIND("x",Q628)-1),LEN(RIGHT(Q628,LEN(Q628)-FIND("x",Q628)-1))-2)))</f>
        <v>77</v>
      </c>
    </row>
    <row r="629" spans="1:19" x14ac:dyDescent="0.25">
      <c r="A629" t="s">
        <v>1329</v>
      </c>
      <c r="B629" t="s">
        <v>1330</v>
      </c>
      <c r="E629" t="s">
        <v>2639</v>
      </c>
      <c r="H629" t="s">
        <v>84</v>
      </c>
      <c r="M629" t="s">
        <v>8</v>
      </c>
      <c r="N629" t="s">
        <v>903</v>
      </c>
      <c r="O629" t="s">
        <v>321</v>
      </c>
      <c r="Q629" t="s">
        <v>3435</v>
      </c>
      <c r="R629" s="52">
        <f>_xlfn.NUMBERVALUE(convertNumberStringPointToNumberComma(LEFT(Q629,FIND("x",Q629)-2)))</f>
        <v>70</v>
      </c>
      <c r="S629" s="52">
        <f>_xlfn.NUMBERVALUE(convertNumberStringPointToNumberComma(LEFT(RIGHT(Q629,LEN(Q629)-FIND("x",Q629)-1),LEN(RIGHT(Q629,LEN(Q629)-FIND("x",Q629)-1))-2)))</f>
        <v>83</v>
      </c>
    </row>
    <row r="630" spans="1:19" x14ac:dyDescent="0.25">
      <c r="A630" t="s">
        <v>939</v>
      </c>
      <c r="B630" t="s">
        <v>940</v>
      </c>
      <c r="C630" s="5">
        <f>convertNumberStringPointToNumberComma(IFERROR(LEFT(B630,(FIND("-",B630)-1)),LEFT(B630,FIND("mm",B630)-1)))</f>
        <v>12</v>
      </c>
      <c r="D630" s="5">
        <f>convertNumberStringPointToNumberComma(IFERROR(RIGHT(LEFT(B630,FIND("m",B630)-1),LEN(LEFT(B630,FIND("m",B630)-1))-FIND("-",LEFT(B630,FIND("m",B630)-1))-1),C630))</f>
        <v>0</v>
      </c>
      <c r="E630" t="s">
        <v>2632</v>
      </c>
      <c r="F630" s="9">
        <f>convertNumberStringPointToNumberComma(LEFT(MID(E630,3,9),IFERROR(FIND("-",MID(E630,3,9))-2,3)))</f>
        <v>2.8</v>
      </c>
      <c r="G630" s="9">
        <f>convertNumberStringPointToNumberComma(RIGHT(E630,IF(ISERROR(FIND(".",RIGHT(E630,3))),1,3)))</f>
        <v>2.8</v>
      </c>
      <c r="H630" t="s">
        <v>84</v>
      </c>
      <c r="I630" s="5" t="str">
        <f>IF(H630="none",0,LEFT(H630,LEN(H630)-2))</f>
        <v>62</v>
      </c>
      <c r="J630" s="5" t="s">
        <v>104</v>
      </c>
      <c r="K630" s="10">
        <f>IF(J630="",0,convertNumberStringPointToNumberComma(LEFT(J630,LEN(J630)-1)))</f>
        <v>0.08</v>
      </c>
      <c r="L630" t="s">
        <v>2701</v>
      </c>
      <c r="M630" t="s">
        <v>2680</v>
      </c>
      <c r="N630" t="s">
        <v>2681</v>
      </c>
      <c r="O630" t="s">
        <v>2702</v>
      </c>
      <c r="P630" s="5" t="str">
        <f>LEFT(O630,LEN(O630)-1)</f>
        <v>382</v>
      </c>
      <c r="Q630" t="s">
        <v>3213</v>
      </c>
      <c r="R630" s="52">
        <f>_xlfn.NUMBERVALUE(convertNumberStringPointToNumberComma(LEFT(Q630,FIND("x",Q630)-2)))</f>
        <v>70</v>
      </c>
      <c r="S630" s="52">
        <f>_xlfn.NUMBERVALUE(convertNumberStringPointToNumberComma(LEFT(RIGHT(Q630,LEN(Q630)-FIND("x",Q630)-1),LEN(RIGHT(Q630,LEN(Q630)-FIND("x",Q630)-1))-2)))</f>
        <v>84</v>
      </c>
    </row>
    <row r="631" spans="1:19" x14ac:dyDescent="0.25">
      <c r="A631" t="s">
        <v>1026</v>
      </c>
      <c r="B631" t="s">
        <v>526</v>
      </c>
      <c r="C631" s="5">
        <f>convertNumberStringPointToNumberComma(IFERROR(LEFT(B631,(FIND("-",B631)-1)),LEFT(B631,FIND("mm",B631)-1)))</f>
        <v>25</v>
      </c>
      <c r="D631" s="5">
        <f>convertNumberStringPointToNumberComma(IFERROR(RIGHT(LEFT(B631,FIND("m",B631)-1),LEN(LEFT(B631,FIND("m",B631)-1))-FIND("-",LEFT(B631,FIND("m",B631)-1))-1),C631))</f>
        <v>25</v>
      </c>
      <c r="E631" t="s">
        <v>2648</v>
      </c>
      <c r="F631" s="9">
        <f>convertNumberStringPointToNumberComma(LEFT(MID(E631,3,9),IFERROR(FIND("-",MID(E631,3,9))-2,3)))</f>
        <v>1.2</v>
      </c>
      <c r="G631" s="9">
        <f>convertNumberStringPointToNumberComma(RIGHT(E631,IF(ISERROR(FIND(".",RIGHT(E631,3))),1,3)))</f>
        <v>1.2</v>
      </c>
      <c r="H631" t="s">
        <v>84</v>
      </c>
      <c r="I631" s="5" t="str">
        <f>IF(H631="none",0,LEFT(H631,LEN(H631)-2))</f>
        <v>62</v>
      </c>
      <c r="J631" s="5" t="s">
        <v>379</v>
      </c>
      <c r="K631" s="10">
        <f>IF(J631="",0,convertNumberStringPointToNumberComma(LEFT(J631,LEN(J631)-1)))</f>
        <v>0.38</v>
      </c>
      <c r="L631" t="s">
        <v>2692</v>
      </c>
      <c r="M631" t="s">
        <v>2680</v>
      </c>
      <c r="N631" t="s">
        <v>2681</v>
      </c>
      <c r="O631" t="s">
        <v>2749</v>
      </c>
      <c r="P631" s="5" t="str">
        <f>LEFT(O631,LEN(O631)-1)</f>
        <v>410</v>
      </c>
      <c r="Q631" t="s">
        <v>3270</v>
      </c>
      <c r="R631" s="52">
        <f>_xlfn.NUMBERVALUE(convertNumberStringPointToNumberComma(LEFT(Q631,FIND("x",Q631)-2)))</f>
        <v>70</v>
      </c>
      <c r="S631" s="52">
        <f>_xlfn.NUMBERVALUE(convertNumberStringPointToNumberComma(LEFT(RIGHT(Q631,LEN(Q631)-FIND("x",Q631)-1),LEN(RIGHT(Q631,LEN(Q631)-FIND("x",Q631)-1))-2)))</f>
        <v>87</v>
      </c>
    </row>
    <row r="632" spans="1:19" x14ac:dyDescent="0.25">
      <c r="A632" t="s">
        <v>1897</v>
      </c>
      <c r="B632" t="s">
        <v>741</v>
      </c>
      <c r="E632" t="s">
        <v>2632</v>
      </c>
      <c r="H632" t="s">
        <v>84</v>
      </c>
      <c r="L632" t="s">
        <v>3040</v>
      </c>
      <c r="M632" t="s">
        <v>8</v>
      </c>
      <c r="N632" t="s">
        <v>913</v>
      </c>
      <c r="O632" t="s">
        <v>3041</v>
      </c>
      <c r="Q632" t="s">
        <v>3740</v>
      </c>
      <c r="R632" s="52">
        <f>_xlfn.NUMBERVALUE(convertNumberStringPointToNumberComma(LEFT(Q632,FIND("x",Q632)-2)))</f>
        <v>70</v>
      </c>
      <c r="S632" s="52">
        <f>_xlfn.NUMBERVALUE(convertNumberStringPointToNumberComma(LEFT(RIGHT(Q632,LEN(Q632)-FIND("x",Q632)-1),LEN(RIGHT(Q632,LEN(Q632)-FIND("x",Q632)-1))-2)))</f>
        <v>95</v>
      </c>
    </row>
    <row r="633" spans="1:19" x14ac:dyDescent="0.25">
      <c r="A633" t="s">
        <v>1899</v>
      </c>
      <c r="B633" t="s">
        <v>741</v>
      </c>
      <c r="E633" t="s">
        <v>2632</v>
      </c>
      <c r="H633" t="s">
        <v>84</v>
      </c>
      <c r="L633" t="s">
        <v>3040</v>
      </c>
      <c r="M633" t="s">
        <v>2802</v>
      </c>
      <c r="N633" t="s">
        <v>913</v>
      </c>
      <c r="O633" t="s">
        <v>3041</v>
      </c>
      <c r="Q633" t="s">
        <v>3740</v>
      </c>
      <c r="R633" s="52">
        <f>_xlfn.NUMBERVALUE(convertNumberStringPointToNumberComma(LEFT(Q633,FIND("x",Q633)-2)))</f>
        <v>70</v>
      </c>
      <c r="S633" s="52">
        <f>_xlfn.NUMBERVALUE(convertNumberStringPointToNumberComma(LEFT(RIGHT(Q633,LEN(Q633)-FIND("x",Q633)-1),LEN(RIGHT(Q633,LEN(Q633)-FIND("x",Q633)-1))-2)))</f>
        <v>95</v>
      </c>
    </row>
    <row r="634" spans="1:19" x14ac:dyDescent="0.25">
      <c r="A634" t="s">
        <v>1903</v>
      </c>
      <c r="B634" t="s">
        <v>741</v>
      </c>
      <c r="E634" t="s">
        <v>2632</v>
      </c>
      <c r="H634" t="s">
        <v>84</v>
      </c>
      <c r="L634" t="s">
        <v>3040</v>
      </c>
      <c r="M634" t="s">
        <v>2757</v>
      </c>
      <c r="N634" t="s">
        <v>913</v>
      </c>
      <c r="O634" t="s">
        <v>3041</v>
      </c>
      <c r="Q634" t="s">
        <v>3740</v>
      </c>
      <c r="R634" s="52">
        <f>_xlfn.NUMBERVALUE(convertNumberStringPointToNumberComma(LEFT(Q634,FIND("x",Q634)-2)))</f>
        <v>70</v>
      </c>
      <c r="S634" s="52">
        <f>_xlfn.NUMBERVALUE(convertNumberStringPointToNumberComma(LEFT(RIGHT(Q634,LEN(Q634)-FIND("x",Q634)-1),LEN(RIGHT(Q634,LEN(Q634)-FIND("x",Q634)-1))-2)))</f>
        <v>95</v>
      </c>
    </row>
    <row r="635" spans="1:19" x14ac:dyDescent="0.25">
      <c r="A635" t="s">
        <v>1906</v>
      </c>
      <c r="B635" t="s">
        <v>741</v>
      </c>
      <c r="E635" t="s">
        <v>2632</v>
      </c>
      <c r="H635" t="s">
        <v>84</v>
      </c>
      <c r="L635" t="s">
        <v>3040</v>
      </c>
      <c r="M635" t="s">
        <v>2674</v>
      </c>
      <c r="N635" t="s">
        <v>913</v>
      </c>
      <c r="O635" t="s">
        <v>3041</v>
      </c>
      <c r="Q635" t="s">
        <v>3740</v>
      </c>
      <c r="R635" s="52">
        <f>_xlfn.NUMBERVALUE(convertNumberStringPointToNumberComma(LEFT(Q635,FIND("x",Q635)-2)))</f>
        <v>70</v>
      </c>
      <c r="S635" s="52">
        <f>_xlfn.NUMBERVALUE(convertNumberStringPointToNumberComma(LEFT(RIGHT(Q635,LEN(Q635)-FIND("x",Q635)-1),LEN(RIGHT(Q635,LEN(Q635)-FIND("x",Q635)-1))-2)))</f>
        <v>95</v>
      </c>
    </row>
    <row r="636" spans="1:19" x14ac:dyDescent="0.25">
      <c r="A636" t="s">
        <v>2612</v>
      </c>
      <c r="B636" t="s">
        <v>741</v>
      </c>
      <c r="E636" t="s">
        <v>2632</v>
      </c>
      <c r="H636" t="s">
        <v>84</v>
      </c>
      <c r="L636" t="s">
        <v>3040</v>
      </c>
      <c r="M636" t="s">
        <v>2682</v>
      </c>
      <c r="N636" t="s">
        <v>913</v>
      </c>
      <c r="O636" t="s">
        <v>3041</v>
      </c>
      <c r="Q636" t="s">
        <v>3740</v>
      </c>
      <c r="R636" s="52">
        <f>_xlfn.NUMBERVALUE(convertNumberStringPointToNumberComma(LEFT(Q636,FIND("x",Q636)-2)))</f>
        <v>70</v>
      </c>
      <c r="S636" s="52">
        <f>_xlfn.NUMBERVALUE(convertNumberStringPointToNumberComma(LEFT(RIGHT(Q636,LEN(Q636)-FIND("x",Q636)-1),LEN(RIGHT(Q636,LEN(Q636)-FIND("x",Q636)-1))-2)))</f>
        <v>95</v>
      </c>
    </row>
    <row r="637" spans="1:19" x14ac:dyDescent="0.25">
      <c r="A637" t="s">
        <v>1656</v>
      </c>
      <c r="B637" t="s">
        <v>62</v>
      </c>
      <c r="E637" t="s">
        <v>2643</v>
      </c>
      <c r="H637" t="s">
        <v>91</v>
      </c>
      <c r="L637" t="s">
        <v>2706</v>
      </c>
      <c r="M637" t="s">
        <v>2802</v>
      </c>
      <c r="N637" t="s">
        <v>903</v>
      </c>
      <c r="O637" t="s">
        <v>2747</v>
      </c>
      <c r="Q637" t="s">
        <v>3597</v>
      </c>
      <c r="R637" s="52">
        <f>_xlfn.NUMBERVALUE(convertNumberStringPointToNumberComma(LEFT(Q637,FIND("x",Q637)-2)))</f>
        <v>70.5</v>
      </c>
      <c r="S637" s="52">
        <f>_xlfn.NUMBERVALUE(convertNumberStringPointToNumberComma(LEFT(RIGHT(Q637,LEN(Q637)-FIND("x",Q637)-1),LEN(RIGHT(Q637,LEN(Q637)-FIND("x",Q637)-1))-2)))</f>
        <v>66</v>
      </c>
    </row>
    <row r="638" spans="1:19" x14ac:dyDescent="0.25">
      <c r="A638" t="s">
        <v>1114</v>
      </c>
      <c r="B638" t="s">
        <v>1036</v>
      </c>
      <c r="C638" s="5">
        <f>convertNumberStringPointToNumberComma(IFERROR(LEFT(B638,(FIND("-",B638)-1)),LEFT(B638,FIND("mm",B638)-1)))</f>
        <v>18</v>
      </c>
      <c r="D638" s="5">
        <f>convertNumberStringPointToNumberComma(IFERROR(RIGHT(LEFT(B638,FIND("m",B638)-1),LEN(LEFT(B638,FIND("m",B638)-1))-FIND("-",LEFT(B638,FIND("m",B638)-1))-1),C638))</f>
        <v>5</v>
      </c>
      <c r="E638" t="s">
        <v>2639</v>
      </c>
      <c r="F638" s="9">
        <f>convertNumberStringPointToNumberComma(LEFT(MID(E638,3,9),IFERROR(FIND("-",MID(E638,3,9))-2,3)))</f>
        <v>3</v>
      </c>
      <c r="G638" s="9">
        <f>convertNumberStringPointToNumberComma(RIGHT(E638,IF(ISERROR(FIND(".",RIGHT(E638,3))),1,3)))</f>
        <v>5.6</v>
      </c>
      <c r="H638" t="s">
        <v>318</v>
      </c>
      <c r="I638" s="5" t="str">
        <f>IF(H638="none",0,LEFT(H638,LEN(H638)-2))</f>
        <v>52</v>
      </c>
      <c r="J638" s="5" t="s">
        <v>68</v>
      </c>
      <c r="K638" s="10">
        <f>IF(J638="",0,convertNumberStringPointToNumberComma(LEFT(J638,LEN(J638)-1)))</f>
        <v>0.5</v>
      </c>
      <c r="L638" t="s">
        <v>2688</v>
      </c>
      <c r="M638" t="s">
        <v>8</v>
      </c>
      <c r="N638" t="s">
        <v>903</v>
      </c>
      <c r="O638" t="s">
        <v>383</v>
      </c>
      <c r="P638" s="5" t="str">
        <f>LEFT(O638,LEN(O638)-1)</f>
        <v>205</v>
      </c>
      <c r="Q638" t="s">
        <v>3316</v>
      </c>
      <c r="R638" s="52">
        <f>_xlfn.NUMBERVALUE(convertNumberStringPointToNumberComma(LEFT(Q638,FIND("x",Q638)-2)))</f>
        <v>70.5</v>
      </c>
      <c r="S638" s="52">
        <f>_xlfn.NUMBERVALUE(convertNumberStringPointToNumberComma(LEFT(RIGHT(Q638,LEN(Q638)-FIND("x",Q638)-1),LEN(RIGHT(Q638,LEN(Q638)-FIND("x",Q638)-1))-2)))</f>
        <v>74</v>
      </c>
    </row>
    <row r="639" spans="1:19" x14ac:dyDescent="0.25">
      <c r="A639" t="s">
        <v>1252</v>
      </c>
      <c r="B639" t="s">
        <v>1019</v>
      </c>
      <c r="C639" s="5">
        <f>convertNumberStringPointToNumberComma(IFERROR(LEFT(B639,(FIND("-",B639)-1)),LEFT(B639,FIND("mm",B639)-1)))</f>
        <v>55</v>
      </c>
      <c r="D639" s="5">
        <f>convertNumberStringPointToNumberComma(IFERROR(RIGHT(LEFT(B639,FIND("m",B639)-1),LEN(LEFT(B639,FIND("m",B639)-1))-FIND("-",LEFT(B639,FIND("m",B639)-1))-1),C639))</f>
        <v>0</v>
      </c>
      <c r="E639" t="s">
        <v>2634</v>
      </c>
      <c r="F639" s="9">
        <f>convertNumberStringPointToNumberComma(LEFT(MID(E639,3,9),IFERROR(FIND("-",MID(E639,3,9))-2,3)))</f>
        <v>4</v>
      </c>
      <c r="G639" s="9">
        <f>convertNumberStringPointToNumberComma(RIGHT(E639,IF(ISERROR(FIND(".",RIGHT(E639,3))),1,3)))</f>
        <v>5.6</v>
      </c>
      <c r="H639" t="s">
        <v>318</v>
      </c>
      <c r="I639" s="5" t="str">
        <f>IF(H639="none",0,LEFT(H639,LEN(H639)-2))</f>
        <v>52</v>
      </c>
      <c r="J639" s="5" t="s">
        <v>76</v>
      </c>
      <c r="K639" s="10">
        <f>IF(J639="",0,convertNumberStringPointToNumberComma(LEFT(J639,LEN(J639)-1)))</f>
        <v>0.13</v>
      </c>
      <c r="M639" t="s">
        <v>8</v>
      </c>
      <c r="N639" t="s">
        <v>903</v>
      </c>
      <c r="O639" t="s">
        <v>716</v>
      </c>
      <c r="P639" s="5" t="str">
        <f>LEFT(O639,LEN(O639)-1)</f>
        <v>300</v>
      </c>
      <c r="Q639" t="s">
        <v>3393</v>
      </c>
      <c r="R639" s="52">
        <f>_xlfn.NUMBERVALUE(convertNumberStringPointToNumberComma(LEFT(Q639,FIND("x",Q639)-2)))</f>
        <v>70.5</v>
      </c>
      <c r="S639" s="52">
        <f>_xlfn.NUMBERVALUE(convertNumberStringPointToNumberComma(LEFT(RIGHT(Q639,LEN(Q639)-FIND("x",Q639)-1),LEN(RIGHT(Q639,LEN(Q639)-FIND("x",Q639)-1))-2)))</f>
        <v>83</v>
      </c>
    </row>
    <row r="640" spans="1:19" x14ac:dyDescent="0.25">
      <c r="A640" t="s">
        <v>1400</v>
      </c>
      <c r="B640" t="s">
        <v>1251</v>
      </c>
      <c r="E640" t="s">
        <v>2662</v>
      </c>
      <c r="H640" t="s">
        <v>91</v>
      </c>
      <c r="L640" t="s">
        <v>2710</v>
      </c>
      <c r="M640" t="s">
        <v>2802</v>
      </c>
      <c r="N640" t="s">
        <v>903</v>
      </c>
      <c r="O640" t="s">
        <v>37</v>
      </c>
      <c r="Q640" t="s">
        <v>3474</v>
      </c>
      <c r="R640" s="52">
        <f>_xlfn.NUMBERVALUE(convertNumberStringPointToNumberComma(LEFT(Q640,FIND("x",Q640)-2)))</f>
        <v>71</v>
      </c>
      <c r="S640" s="52">
        <f>_xlfn.NUMBERVALUE(convertNumberStringPointToNumberComma(LEFT(RIGHT(Q640,LEN(Q640)-FIND("x",Q640)-1),LEN(RIGHT(Q640,LEN(Q640)-FIND("x",Q640)-1))-2)))</f>
        <v>111.5</v>
      </c>
    </row>
    <row r="641" spans="1:19" x14ac:dyDescent="0.25">
      <c r="A641" t="s">
        <v>1256</v>
      </c>
      <c r="B641" t="s">
        <v>1257</v>
      </c>
      <c r="C641" s="5">
        <f>convertNumberStringPointToNumberComma(IFERROR(LEFT(B641,(FIND("-",B641)-1)),LEFT(B641,FIND("mm",B641)-1)))</f>
        <v>75</v>
      </c>
      <c r="D641" s="5">
        <f>convertNumberStringPointToNumberComma(IFERROR(RIGHT(LEFT(B641,FIND("m",B641)-1),LEN(LEFT(B641,FIND("m",B641)-1))-FIND("-",LEFT(B641,FIND("m",B641)-1))-1),C641))</f>
        <v>0</v>
      </c>
      <c r="E641" t="s">
        <v>2634</v>
      </c>
      <c r="F641" s="9">
        <f>convertNumberStringPointToNumberComma(LEFT(MID(E641,3,9),IFERROR(FIND("-",MID(E641,3,9))-2,3)))</f>
        <v>4</v>
      </c>
      <c r="G641" s="9">
        <f>convertNumberStringPointToNumberComma(RIGHT(E641,IF(ISERROR(FIND(".",RIGHT(E641,3))),1,3)))</f>
        <v>5.6</v>
      </c>
      <c r="H641" t="s">
        <v>91</v>
      </c>
      <c r="I641" s="5" t="str">
        <f>IF(H641="none",0,LEFT(H641,LEN(H641)-2))</f>
        <v>58</v>
      </c>
      <c r="J641" s="5" t="s">
        <v>22</v>
      </c>
      <c r="K641" s="10">
        <f>IF(J641="",0,convertNumberStringPointToNumberComma(LEFT(J641,LEN(J641)-1)))</f>
        <v>0.15</v>
      </c>
      <c r="L641" t="s">
        <v>2728</v>
      </c>
      <c r="M641" t="s">
        <v>2682</v>
      </c>
      <c r="N641" t="s">
        <v>913</v>
      </c>
      <c r="O641" t="s">
        <v>252</v>
      </c>
      <c r="P641" s="5" t="str">
        <f>LEFT(O641,LEN(O641)-1)</f>
        <v>480</v>
      </c>
      <c r="Q641" t="s">
        <v>3396</v>
      </c>
      <c r="R641" s="52">
        <f>_xlfn.NUMBERVALUE(convertNumberStringPointToNumberComma(LEFT(Q641,FIND("x",Q641)-2)))</f>
        <v>71</v>
      </c>
      <c r="S641" s="52">
        <f>_xlfn.NUMBERVALUE(convertNumberStringPointToNumberComma(LEFT(RIGHT(Q641,LEN(Q641)-FIND("x",Q641)-1),LEN(RIGHT(Q641,LEN(Q641)-FIND("x",Q641)-1))-2)))</f>
        <v>122</v>
      </c>
    </row>
    <row r="642" spans="1:19" x14ac:dyDescent="0.25">
      <c r="A642" t="s">
        <v>2566</v>
      </c>
      <c r="B642" t="s">
        <v>1257</v>
      </c>
      <c r="E642" t="s">
        <v>2634</v>
      </c>
      <c r="H642" t="s">
        <v>91</v>
      </c>
      <c r="L642" t="s">
        <v>2728</v>
      </c>
      <c r="M642" t="s">
        <v>2682</v>
      </c>
      <c r="N642" t="s">
        <v>913</v>
      </c>
      <c r="O642" t="s">
        <v>252</v>
      </c>
      <c r="Q642" t="s">
        <v>3396</v>
      </c>
      <c r="R642" s="52">
        <f>_xlfn.NUMBERVALUE(convertNumberStringPointToNumberComma(LEFT(Q642,FIND("x",Q642)-2)))</f>
        <v>71</v>
      </c>
      <c r="S642" s="52">
        <f>_xlfn.NUMBERVALUE(convertNumberStringPointToNumberComma(LEFT(RIGHT(Q642,LEN(Q642)-FIND("x",Q642)-1),LEN(RIGHT(Q642,LEN(Q642)-FIND("x",Q642)-1))-2)))</f>
        <v>122</v>
      </c>
    </row>
    <row r="643" spans="1:19" x14ac:dyDescent="0.25">
      <c r="A643" t="s">
        <v>2355</v>
      </c>
      <c r="B643" t="s">
        <v>1191</v>
      </c>
      <c r="E643" t="s">
        <v>2634</v>
      </c>
      <c r="H643" t="s">
        <v>91</v>
      </c>
      <c r="L643" t="s">
        <v>2675</v>
      </c>
      <c r="M643" t="s">
        <v>2802</v>
      </c>
      <c r="N643" t="s">
        <v>903</v>
      </c>
      <c r="O643" t="s">
        <v>3123</v>
      </c>
      <c r="Q643" t="s">
        <v>3925</v>
      </c>
      <c r="R643" s="52">
        <f>_xlfn.NUMBERVALUE(convertNumberStringPointToNumberComma(LEFT(Q643,FIND("x",Q643)-2)))</f>
        <v>71</v>
      </c>
      <c r="S643" s="52">
        <f>_xlfn.NUMBERVALUE(convertNumberStringPointToNumberComma(LEFT(RIGHT(Q643,LEN(Q643)-FIND("x",Q643)-1),LEN(RIGHT(Q643,LEN(Q643)-FIND("x",Q643)-1))-2)))</f>
        <v>41</v>
      </c>
    </row>
    <row r="644" spans="1:19" x14ac:dyDescent="0.25">
      <c r="A644" t="s">
        <v>1336</v>
      </c>
      <c r="B644" t="s">
        <v>592</v>
      </c>
      <c r="E644" t="s">
        <v>2649</v>
      </c>
      <c r="H644" t="s">
        <v>318</v>
      </c>
      <c r="L644" t="s">
        <v>2707</v>
      </c>
      <c r="M644" t="s">
        <v>2681</v>
      </c>
      <c r="N644" t="s">
        <v>2681</v>
      </c>
      <c r="O644" t="s">
        <v>2876</v>
      </c>
      <c r="Q644" t="s">
        <v>3438</v>
      </c>
      <c r="R644" s="52">
        <f>_xlfn.NUMBERVALUE(convertNumberStringPointToNumberComma(LEFT(Q644,FIND("x",Q644)-2)))</f>
        <v>71</v>
      </c>
      <c r="S644" s="52">
        <f>_xlfn.NUMBERVALUE(convertNumberStringPointToNumberComma(LEFT(RIGHT(Q644,LEN(Q644)-FIND("x",Q644)-1),LEN(RIGHT(Q644,LEN(Q644)-FIND("x",Q644)-1))-2)))</f>
        <v>53</v>
      </c>
    </row>
    <row r="645" spans="1:19" x14ac:dyDescent="0.25">
      <c r="A645" t="s">
        <v>1162</v>
      </c>
      <c r="B645" t="s">
        <v>678</v>
      </c>
      <c r="E645" t="s">
        <v>2632</v>
      </c>
      <c r="H645" t="s">
        <v>62</v>
      </c>
      <c r="L645" t="s">
        <v>2707</v>
      </c>
      <c r="M645" t="s">
        <v>2757</v>
      </c>
      <c r="N645" t="s">
        <v>913</v>
      </c>
      <c r="O645" t="s">
        <v>722</v>
      </c>
      <c r="Q645" t="s">
        <v>3542</v>
      </c>
      <c r="R645" s="52">
        <f>_xlfn.NUMBERVALUE(convertNumberStringPointToNumberComma(LEFT(Q645,FIND("x",Q645)-2)))</f>
        <v>71</v>
      </c>
      <c r="S645" s="52">
        <f>_xlfn.NUMBERVALUE(convertNumberStringPointToNumberComma(LEFT(RIGHT(Q645,LEN(Q645)-FIND("x",Q645)-1),LEN(RIGHT(Q645,LEN(Q645)-FIND("x",Q645)-1))-2)))</f>
        <v>60</v>
      </c>
    </row>
    <row r="646" spans="1:19" x14ac:dyDescent="0.25">
      <c r="A646" t="s">
        <v>1198</v>
      </c>
      <c r="B646" t="s">
        <v>678</v>
      </c>
      <c r="C646" s="5">
        <f>convertNumberStringPointToNumberComma(IFERROR(LEFT(B646,(FIND("-",B646)-1)),LEFT(B646,FIND("mm",B646)-1)))</f>
        <v>50</v>
      </c>
      <c r="D646" s="5">
        <f>convertNumberStringPointToNumberComma(IFERROR(RIGHT(LEFT(B646,FIND("m",B646)-1),LEN(LEFT(B646,FIND("m",B646)-1))-FIND("-",LEFT(B646,FIND("m",B646)-1))-1),C646))</f>
        <v>50</v>
      </c>
      <c r="E646" t="s">
        <v>2638</v>
      </c>
      <c r="F646" s="9">
        <f>convertNumberStringPointToNumberComma(LEFT(MID(E646,3,9),IFERROR(FIND("-",MID(E646,3,9))-2,3)))</f>
        <v>2</v>
      </c>
      <c r="G646" s="9">
        <f>convertNumberStringPointToNumberComma(RIGHT(E646,IF(ISERROR(FIND(".",RIGHT(E646,3))),1,3)))</f>
        <v>2</v>
      </c>
      <c r="H646" t="s">
        <v>318</v>
      </c>
      <c r="I646" s="5" t="str">
        <f>IF(H646="none",0,LEFT(H646,LEN(H646)-2))</f>
        <v>52</v>
      </c>
      <c r="J646" s="5" t="s">
        <v>57</v>
      </c>
      <c r="K646" s="10">
        <f>IF(J646="",0,convertNumberStringPointToNumberComma(LEFT(J646,LEN(J646)-1)))</f>
        <v>0.26</v>
      </c>
      <c r="L646" t="s">
        <v>2837</v>
      </c>
      <c r="M646" t="s">
        <v>2681</v>
      </c>
      <c r="N646" t="s">
        <v>2681</v>
      </c>
      <c r="O646" t="s">
        <v>716</v>
      </c>
      <c r="P646" s="5" t="str">
        <f>LEFT(O646,LEN(O646)-1)</f>
        <v>300</v>
      </c>
      <c r="Q646" t="s">
        <v>3360</v>
      </c>
      <c r="R646" s="52">
        <f>_xlfn.NUMBERVALUE(convertNumberStringPointToNumberComma(LEFT(Q646,FIND("x",Q646)-2)))</f>
        <v>71</v>
      </c>
      <c r="S646" s="52">
        <f>_xlfn.NUMBERVALUE(convertNumberStringPointToNumberComma(LEFT(RIGHT(Q646,LEN(Q646)-FIND("x",Q646)-1),LEN(RIGHT(Q646,LEN(Q646)-FIND("x",Q646)-1))-2)))</f>
        <v>61.5</v>
      </c>
    </row>
    <row r="647" spans="1:19" x14ac:dyDescent="0.25">
      <c r="A647" t="s">
        <v>1633</v>
      </c>
      <c r="B647" t="s">
        <v>1634</v>
      </c>
      <c r="E647" t="s">
        <v>2637</v>
      </c>
      <c r="H647" t="s">
        <v>62</v>
      </c>
      <c r="L647" t="s">
        <v>2698</v>
      </c>
      <c r="M647" t="s">
        <v>2802</v>
      </c>
      <c r="N647" t="s">
        <v>903</v>
      </c>
      <c r="O647" t="s">
        <v>2957</v>
      </c>
      <c r="Q647" t="s">
        <v>3587</v>
      </c>
      <c r="R647" s="52">
        <f>_xlfn.NUMBERVALUE(convertNumberStringPointToNumberComma(LEFT(Q647,FIND("x",Q647)-2)))</f>
        <v>71</v>
      </c>
      <c r="S647" s="52">
        <f>_xlfn.NUMBERVALUE(convertNumberStringPointToNumberComma(LEFT(RIGHT(Q647,LEN(Q647)-FIND("x",Q647)-1),LEN(RIGHT(Q647,LEN(Q647)-FIND("x",Q647)-1))-2)))</f>
        <v>68.5</v>
      </c>
    </row>
    <row r="648" spans="1:19" x14ac:dyDescent="0.25">
      <c r="A648" t="s">
        <v>2598</v>
      </c>
      <c r="B648" t="s">
        <v>1634</v>
      </c>
      <c r="E648" t="s">
        <v>2637</v>
      </c>
      <c r="H648" t="s">
        <v>62</v>
      </c>
      <c r="L648" t="s">
        <v>2698</v>
      </c>
      <c r="M648" t="s">
        <v>2802</v>
      </c>
      <c r="N648" t="s">
        <v>903</v>
      </c>
      <c r="O648" t="s">
        <v>2957</v>
      </c>
      <c r="Q648" t="s">
        <v>3587</v>
      </c>
      <c r="R648" s="52">
        <f>_xlfn.NUMBERVALUE(convertNumberStringPointToNumberComma(LEFT(Q648,FIND("x",Q648)-2)))</f>
        <v>71</v>
      </c>
      <c r="S648" s="52">
        <f>_xlfn.NUMBERVALUE(convertNumberStringPointToNumberComma(LEFT(RIGHT(Q648,LEN(Q648)-FIND("x",Q648)-1),LEN(RIGHT(Q648,LEN(Q648)-FIND("x",Q648)-1))-2)))</f>
        <v>68.5</v>
      </c>
    </row>
    <row r="649" spans="1:19" x14ac:dyDescent="0.25">
      <c r="A649" t="s">
        <v>1570</v>
      </c>
      <c r="B649" t="s">
        <v>1019</v>
      </c>
      <c r="E649" t="s">
        <v>2634</v>
      </c>
      <c r="H649" t="s">
        <v>62</v>
      </c>
      <c r="L649" t="s">
        <v>2750</v>
      </c>
      <c r="M649" t="s">
        <v>2793</v>
      </c>
      <c r="N649" t="s">
        <v>903</v>
      </c>
      <c r="O649" t="s">
        <v>2758</v>
      </c>
      <c r="Q649" t="s">
        <v>3561</v>
      </c>
      <c r="R649" s="52">
        <f>_xlfn.NUMBERVALUE(convertNumberStringPointToNumberComma(LEFT(Q649,FIND("x",Q649)-2)))</f>
        <v>71</v>
      </c>
      <c r="S649" s="52">
        <f>_xlfn.NUMBERVALUE(convertNumberStringPointToNumberComma(LEFT(RIGHT(Q649,LEN(Q649)-FIND("x",Q649)-1),LEN(RIGHT(Q649,LEN(Q649)-FIND("x",Q649)-1))-2)))</f>
        <v>84.6</v>
      </c>
    </row>
    <row r="650" spans="1:19" x14ac:dyDescent="0.25">
      <c r="A650" t="s">
        <v>1178</v>
      </c>
      <c r="B650" t="s">
        <v>1001</v>
      </c>
      <c r="C650" s="5">
        <f>convertNumberStringPointToNumberComma(IFERROR(LEFT(B650,(FIND("-",B650)-1)),LEFT(B650,FIND("mm",B650)-1)))</f>
        <v>18</v>
      </c>
      <c r="D650" s="5">
        <f>convertNumberStringPointToNumberComma(IFERROR(RIGHT(LEFT(B650,FIND("m",B650)-1),LEN(LEFT(B650,FIND("m",B650)-1))-FIND("-",LEFT(B650,FIND("m",B650)-1))-1),C650))</f>
        <v>0</v>
      </c>
      <c r="E650" t="s">
        <v>2644</v>
      </c>
      <c r="F650" s="9">
        <f>convertNumberStringPointToNumberComma(LEFT(MID(E650,3,9),IFERROR(FIND("-",MID(E650,3,9))-2,3)))</f>
        <v>3</v>
      </c>
      <c r="G650" s="9">
        <f>convertNumberStringPointToNumberComma(RIGHT(E650,IF(ISERROR(FIND(".",RIGHT(E650,3))),1,3)))</f>
        <v>6.3</v>
      </c>
      <c r="H650" t="s">
        <v>84</v>
      </c>
      <c r="I650" s="5" t="str">
        <f>IF(H650="none",0,LEFT(H650,LEN(H650)-2))</f>
        <v>62</v>
      </c>
      <c r="J650" s="5" t="s">
        <v>32</v>
      </c>
      <c r="K650" s="10">
        <f>IF(J650="",0,convertNumberStringPointToNumberComma(LEFT(J650,LEN(J650)-1)))</f>
        <v>0.12</v>
      </c>
      <c r="L650" t="s">
        <v>2829</v>
      </c>
      <c r="M650" t="s">
        <v>2802</v>
      </c>
      <c r="N650" t="s">
        <v>903</v>
      </c>
      <c r="O650" t="s">
        <v>327</v>
      </c>
      <c r="P650" s="5" t="str">
        <f>LEFT(O650,LEN(O650)-1)</f>
        <v>430</v>
      </c>
      <c r="Q650" t="s">
        <v>328</v>
      </c>
      <c r="R650" s="52">
        <f>_xlfn.NUMBERVALUE(convertNumberStringPointToNumberComma(LEFT(Q650,FIND("x",Q650)-2)))</f>
        <v>71</v>
      </c>
      <c r="S650" s="52">
        <f>_xlfn.NUMBERVALUE(convertNumberStringPointToNumberComma(LEFT(RIGHT(Q650,LEN(Q650)-FIND("x",Q650)-1),LEN(RIGHT(Q650,LEN(Q650)-FIND("x",Q650)-1))-2)))</f>
        <v>86</v>
      </c>
    </row>
    <row r="651" spans="1:19" x14ac:dyDescent="0.25">
      <c r="A651" t="s">
        <v>1842</v>
      </c>
      <c r="B651" t="s">
        <v>1001</v>
      </c>
      <c r="E651" t="s">
        <v>2644</v>
      </c>
      <c r="H651" t="s">
        <v>84</v>
      </c>
      <c r="L651" t="s">
        <v>2829</v>
      </c>
      <c r="M651" t="s">
        <v>2757</v>
      </c>
      <c r="N651" t="s">
        <v>903</v>
      </c>
      <c r="O651" t="s">
        <v>327</v>
      </c>
      <c r="Q651" t="s">
        <v>328</v>
      </c>
      <c r="R651" s="52">
        <f>_xlfn.NUMBERVALUE(convertNumberStringPointToNumberComma(LEFT(Q651,FIND("x",Q651)-2)))</f>
        <v>71</v>
      </c>
      <c r="S651" s="52">
        <f>_xlfn.NUMBERVALUE(convertNumberStringPointToNumberComma(LEFT(RIGHT(Q651,LEN(Q651)-FIND("x",Q651)-1),LEN(RIGHT(Q651,LEN(Q651)-FIND("x",Q651)-1))-2)))</f>
        <v>86</v>
      </c>
    </row>
    <row r="652" spans="1:19" x14ac:dyDescent="0.25">
      <c r="A652" t="s">
        <v>1843</v>
      </c>
      <c r="B652" t="s">
        <v>1001</v>
      </c>
      <c r="E652" t="s">
        <v>2644</v>
      </c>
      <c r="H652" t="s">
        <v>84</v>
      </c>
      <c r="L652" t="s">
        <v>2829</v>
      </c>
      <c r="M652" t="s">
        <v>2793</v>
      </c>
      <c r="N652" t="s">
        <v>903</v>
      </c>
      <c r="O652" t="s">
        <v>327</v>
      </c>
      <c r="Q652" t="s">
        <v>328</v>
      </c>
      <c r="R652" s="52">
        <f>_xlfn.NUMBERVALUE(convertNumberStringPointToNumberComma(LEFT(Q652,FIND("x",Q652)-2)))</f>
        <v>71</v>
      </c>
      <c r="S652" s="52">
        <f>_xlfn.NUMBERVALUE(convertNumberStringPointToNumberComma(LEFT(RIGHT(Q652,LEN(Q652)-FIND("x",Q652)-1),LEN(RIGHT(Q652,LEN(Q652)-FIND("x",Q652)-1))-2)))</f>
        <v>86</v>
      </c>
    </row>
    <row r="653" spans="1:19" x14ac:dyDescent="0.25">
      <c r="A653" t="s">
        <v>2441</v>
      </c>
      <c r="B653" t="s">
        <v>1001</v>
      </c>
      <c r="E653" t="s">
        <v>2644</v>
      </c>
      <c r="H653" t="s">
        <v>84</v>
      </c>
      <c r="L653" t="s">
        <v>2829</v>
      </c>
      <c r="M653" t="s">
        <v>2708</v>
      </c>
      <c r="N653" t="s">
        <v>903</v>
      </c>
      <c r="O653" t="s">
        <v>327</v>
      </c>
      <c r="Q653" t="s">
        <v>328</v>
      </c>
      <c r="R653" s="52">
        <f>_xlfn.NUMBERVALUE(convertNumberStringPointToNumberComma(LEFT(Q653,FIND("x",Q653)-2)))</f>
        <v>71</v>
      </c>
      <c r="S653" s="52">
        <f>_xlfn.NUMBERVALUE(convertNumberStringPointToNumberComma(LEFT(RIGHT(Q653,LEN(Q653)-FIND("x",Q653)-1),LEN(RIGHT(Q653,LEN(Q653)-FIND("x",Q653)-1))-2)))</f>
        <v>86</v>
      </c>
    </row>
    <row r="654" spans="1:19" x14ac:dyDescent="0.25">
      <c r="A654" t="s">
        <v>2550</v>
      </c>
      <c r="B654" t="s">
        <v>1001</v>
      </c>
      <c r="E654" t="s">
        <v>2644</v>
      </c>
      <c r="H654" t="s">
        <v>84</v>
      </c>
      <c r="L654" t="s">
        <v>2829</v>
      </c>
      <c r="M654" t="s">
        <v>8</v>
      </c>
      <c r="N654" t="s">
        <v>903</v>
      </c>
      <c r="O654" t="s">
        <v>327</v>
      </c>
      <c r="Q654" t="s">
        <v>328</v>
      </c>
      <c r="R654" s="52">
        <f>_xlfn.NUMBERVALUE(convertNumberStringPointToNumberComma(LEFT(Q654,FIND("x",Q654)-2)))</f>
        <v>71</v>
      </c>
      <c r="S654" s="52">
        <f>_xlfn.NUMBERVALUE(convertNumberStringPointToNumberComma(LEFT(RIGHT(Q654,LEN(Q654)-FIND("x",Q654)-1),LEN(RIGHT(Q654,LEN(Q654)-FIND("x",Q654)-1))-2)))</f>
        <v>86</v>
      </c>
    </row>
    <row r="655" spans="1:19" x14ac:dyDescent="0.25">
      <c r="A655" t="s">
        <v>2032</v>
      </c>
      <c r="B655" t="s">
        <v>526</v>
      </c>
      <c r="E655" t="s">
        <v>2638</v>
      </c>
      <c r="H655" t="s">
        <v>56</v>
      </c>
      <c r="L655" t="s">
        <v>2706</v>
      </c>
      <c r="M655" t="s">
        <v>8</v>
      </c>
      <c r="N655" t="s">
        <v>913</v>
      </c>
      <c r="O655" t="s">
        <v>105</v>
      </c>
      <c r="Q655" t="s">
        <v>529</v>
      </c>
      <c r="R655" s="52">
        <f>_xlfn.NUMBERVALUE(convertNumberStringPointToNumberComma(LEFT(Q655,FIND("x",Q655)-2)))</f>
        <v>71</v>
      </c>
      <c r="S655" s="52">
        <f>_xlfn.NUMBERVALUE(convertNumberStringPointToNumberComma(LEFT(RIGHT(Q655,LEN(Q655)-FIND("x",Q655)-1),LEN(RIGHT(Q655,LEN(Q655)-FIND("x",Q655)-1))-2)))</f>
        <v>95</v>
      </c>
    </row>
    <row r="656" spans="1:19" x14ac:dyDescent="0.25">
      <c r="A656" t="s">
        <v>1143</v>
      </c>
      <c r="B656" t="s">
        <v>678</v>
      </c>
      <c r="C656" s="5">
        <f>convertNumberStringPointToNumberComma(IFERROR(LEFT(B656,(FIND("-",B656)-1)),LEFT(B656,FIND("mm",B656)-1)))</f>
        <v>50</v>
      </c>
      <c r="D656" s="5">
        <f>convertNumberStringPointToNumberComma(IFERROR(RIGHT(LEFT(B656,FIND("m",B656)-1),LEN(LEFT(B656,FIND("m",B656)-1))-FIND("-",LEFT(B656,FIND("m",B656)-1))-1),C656))</f>
        <v>50</v>
      </c>
      <c r="E656" t="s">
        <v>2632</v>
      </c>
      <c r="F656" s="9">
        <f>convertNumberStringPointToNumberComma(LEFT(MID(E656,3,9),IFERROR(FIND("-",MID(E656,3,9))-2,3)))</f>
        <v>2.8</v>
      </c>
      <c r="G656" s="9">
        <f>convertNumberStringPointToNumberComma(RIGHT(E656,IF(ISERROR(FIND(".",RIGHT(E656,3))),1,3)))</f>
        <v>2.8</v>
      </c>
      <c r="H656" t="s">
        <v>62</v>
      </c>
      <c r="I656" s="5" t="str">
        <f>IF(H656="none",0,LEFT(H656,LEN(H656)-2))</f>
        <v>55</v>
      </c>
      <c r="J656" s="5" t="s">
        <v>158</v>
      </c>
      <c r="K656" s="10">
        <f>IF(J656="",0,convertNumberStringPointToNumberComma(LEFT(J656,LEN(J656)-1)))</f>
        <v>0.23</v>
      </c>
      <c r="L656" t="s">
        <v>2707</v>
      </c>
      <c r="M656" t="s">
        <v>2793</v>
      </c>
      <c r="N656" t="s">
        <v>903</v>
      </c>
      <c r="O656" t="s">
        <v>2760</v>
      </c>
      <c r="P656" s="5" t="str">
        <f>LEFT(O656,LEN(O656)-1)</f>
        <v>315</v>
      </c>
      <c r="Q656" t="s">
        <v>3329</v>
      </c>
      <c r="R656" s="52">
        <f>_xlfn.NUMBERVALUE(convertNumberStringPointToNumberComma(LEFT(Q656,FIND("x",Q656)-2)))</f>
        <v>71.400000000000006</v>
      </c>
      <c r="S656" s="52">
        <f>_xlfn.NUMBERVALUE(convertNumberStringPointToNumberComma(LEFT(RIGHT(Q656,LEN(Q656)-FIND("x",Q656)-1),LEN(RIGHT(Q656,LEN(Q656)-FIND("x",Q656)-1))-2)))</f>
        <v>64</v>
      </c>
    </row>
    <row r="657" spans="1:19" x14ac:dyDescent="0.25">
      <c r="A657" t="s">
        <v>1287</v>
      </c>
      <c r="B657" t="s">
        <v>678</v>
      </c>
      <c r="E657" t="s">
        <v>2632</v>
      </c>
      <c r="H657" t="s">
        <v>62</v>
      </c>
      <c r="L657" t="s">
        <v>2707</v>
      </c>
      <c r="M657" t="s">
        <v>2757</v>
      </c>
      <c r="N657" t="s">
        <v>913</v>
      </c>
      <c r="O657" t="s">
        <v>2760</v>
      </c>
      <c r="Q657" t="s">
        <v>3329</v>
      </c>
      <c r="R657" s="52">
        <f>_xlfn.NUMBERVALUE(convertNumberStringPointToNumberComma(LEFT(Q657,FIND("x",Q657)-2)))</f>
        <v>71.400000000000006</v>
      </c>
      <c r="S657" s="52">
        <f>_xlfn.NUMBERVALUE(convertNumberStringPointToNumberComma(LEFT(RIGHT(Q657,LEN(Q657)-FIND("x",Q657)-1),LEN(RIGHT(Q657,LEN(Q657)-FIND("x",Q657)-1))-2)))</f>
        <v>64</v>
      </c>
    </row>
    <row r="658" spans="1:19" x14ac:dyDescent="0.25">
      <c r="A658" t="s">
        <v>2589</v>
      </c>
      <c r="B658" t="s">
        <v>678</v>
      </c>
      <c r="E658" t="s">
        <v>2632</v>
      </c>
      <c r="H658" t="s">
        <v>62</v>
      </c>
      <c r="L658" t="s">
        <v>2707</v>
      </c>
      <c r="M658" t="s">
        <v>8</v>
      </c>
      <c r="N658" t="s">
        <v>913</v>
      </c>
      <c r="O658" t="s">
        <v>2760</v>
      </c>
      <c r="Q658" t="s">
        <v>3329</v>
      </c>
      <c r="R658" s="52">
        <f>_xlfn.NUMBERVALUE(convertNumberStringPointToNumberComma(LEFT(Q658,FIND("x",Q658)-2)))</f>
        <v>71.400000000000006</v>
      </c>
      <c r="S658" s="52">
        <f>_xlfn.NUMBERVALUE(convertNumberStringPointToNumberComma(LEFT(RIGHT(Q658,LEN(Q658)-FIND("x",Q658)-1),LEN(RIGHT(Q658,LEN(Q658)-FIND("x",Q658)-1))-2)))</f>
        <v>64</v>
      </c>
    </row>
    <row r="659" spans="1:19" x14ac:dyDescent="0.25">
      <c r="A659" t="s">
        <v>1269</v>
      </c>
      <c r="B659" t="s">
        <v>822</v>
      </c>
      <c r="E659" t="s">
        <v>2635</v>
      </c>
      <c r="H659" t="s">
        <v>84</v>
      </c>
      <c r="L659" t="s">
        <v>2726</v>
      </c>
      <c r="M659" t="s">
        <v>8</v>
      </c>
      <c r="N659" t="s">
        <v>913</v>
      </c>
      <c r="O659" t="s">
        <v>825</v>
      </c>
      <c r="Q659" t="s">
        <v>3404</v>
      </c>
      <c r="R659" s="52">
        <f>_xlfn.NUMBERVALUE(convertNumberStringPointToNumberComma(LEFT(Q659,FIND("x",Q659)-2)))</f>
        <v>71.5</v>
      </c>
      <c r="S659" s="52">
        <f>_xlfn.NUMBERVALUE(convertNumberStringPointToNumberComma(LEFT(RIGHT(Q659,LEN(Q659)-FIND("x",Q659)-1),LEN(RIGHT(Q659,LEN(Q659)-FIND("x",Q659)-1))-2)))</f>
        <v>58.5</v>
      </c>
    </row>
    <row r="660" spans="1:19" x14ac:dyDescent="0.25">
      <c r="A660" t="s">
        <v>1589</v>
      </c>
      <c r="B660" t="s">
        <v>1377</v>
      </c>
      <c r="E660" t="s">
        <v>2645</v>
      </c>
      <c r="H660" t="s">
        <v>2948</v>
      </c>
      <c r="L660" t="s">
        <v>2949</v>
      </c>
      <c r="M660" t="s">
        <v>2802</v>
      </c>
      <c r="N660" t="s">
        <v>903</v>
      </c>
      <c r="O660" t="s">
        <v>697</v>
      </c>
      <c r="Q660" t="s">
        <v>3573</v>
      </c>
      <c r="R660" s="52">
        <f>_xlfn.NUMBERVALUE(convertNumberStringPointToNumberComma(LEFT(Q660,FIND("x",Q660)-2)))</f>
        <v>71.5</v>
      </c>
      <c r="S660" s="52">
        <f>_xlfn.NUMBERVALUE(convertNumberStringPointToNumberComma(LEFT(RIGHT(Q660,LEN(Q660)-FIND("x",Q660)-1),LEN(RIGHT(Q660,LEN(Q660)-FIND("x",Q660)-1))-2)))</f>
        <v>68</v>
      </c>
    </row>
    <row r="661" spans="1:19" x14ac:dyDescent="0.25">
      <c r="A661" t="s">
        <v>1162</v>
      </c>
      <c r="B661" t="s">
        <v>1019</v>
      </c>
      <c r="E661" t="s">
        <v>2634</v>
      </c>
      <c r="H661" t="s">
        <v>62</v>
      </c>
      <c r="L661" t="s">
        <v>2746</v>
      </c>
      <c r="M661" t="s">
        <v>2757</v>
      </c>
      <c r="N661" t="s">
        <v>903</v>
      </c>
      <c r="O661" t="s">
        <v>722</v>
      </c>
      <c r="Q661" t="s">
        <v>3583</v>
      </c>
      <c r="R661" s="52">
        <f>_xlfn.NUMBERVALUE(convertNumberStringPointToNumberComma(LEFT(Q661,FIND("x",Q661)-2)))</f>
        <v>71.5</v>
      </c>
      <c r="S661" s="52">
        <f>_xlfn.NUMBERVALUE(convertNumberStringPointToNumberComma(LEFT(RIGHT(Q661,LEN(Q661)-FIND("x",Q661)-1),LEN(RIGHT(Q661,LEN(Q661)-FIND("x",Q661)-1))-2)))</f>
        <v>85</v>
      </c>
    </row>
    <row r="662" spans="1:19" x14ac:dyDescent="0.25">
      <c r="A662" t="s">
        <v>2003</v>
      </c>
      <c r="B662" t="s">
        <v>1019</v>
      </c>
      <c r="E662" t="s">
        <v>2634</v>
      </c>
      <c r="H662" t="s">
        <v>62</v>
      </c>
      <c r="L662" t="s">
        <v>2746</v>
      </c>
      <c r="M662" t="s">
        <v>2757</v>
      </c>
      <c r="N662" t="s">
        <v>903</v>
      </c>
      <c r="O662" t="s">
        <v>45</v>
      </c>
      <c r="Q662" t="s">
        <v>3583</v>
      </c>
      <c r="R662" s="52">
        <f>_xlfn.NUMBERVALUE(convertNumberStringPointToNumberComma(LEFT(Q662,FIND("x",Q662)-2)))</f>
        <v>71.5</v>
      </c>
      <c r="S662" s="52">
        <f>_xlfn.NUMBERVALUE(convertNumberStringPointToNumberComma(LEFT(RIGHT(Q662,LEN(Q662)-FIND("x",Q662)-1),LEN(RIGHT(Q662,LEN(Q662)-FIND("x",Q662)-1))-2)))</f>
        <v>85</v>
      </c>
    </row>
    <row r="663" spans="1:19" x14ac:dyDescent="0.25">
      <c r="A663" t="s">
        <v>2392</v>
      </c>
      <c r="B663" t="s">
        <v>2144</v>
      </c>
      <c r="E663" t="s">
        <v>2632</v>
      </c>
      <c r="H663" t="s">
        <v>197</v>
      </c>
      <c r="L663" t="s">
        <v>2910</v>
      </c>
      <c r="M663" t="s">
        <v>2680</v>
      </c>
      <c r="N663" t="s">
        <v>2681</v>
      </c>
      <c r="O663" t="s">
        <v>37</v>
      </c>
      <c r="Q663" t="s">
        <v>3937</v>
      </c>
      <c r="R663" s="52">
        <f>_xlfn.NUMBERVALUE(convertNumberStringPointToNumberComma(LEFT(Q663,FIND("x",Q663)-2)))</f>
        <v>71.5</v>
      </c>
      <c r="S663" s="52">
        <f>_xlfn.NUMBERVALUE(convertNumberStringPointToNumberComma(LEFT(RIGHT(Q663,LEN(Q663)-FIND("x",Q663)-1),LEN(RIGHT(Q663,LEN(Q663)-FIND("x",Q663)-1))-2)))</f>
        <v>86.8</v>
      </c>
    </row>
    <row r="664" spans="1:19" x14ac:dyDescent="0.25">
      <c r="A664" t="s">
        <v>1324</v>
      </c>
      <c r="B664" t="s">
        <v>863</v>
      </c>
      <c r="E664" t="s">
        <v>2632</v>
      </c>
      <c r="H664" t="s">
        <v>62</v>
      </c>
      <c r="L664" t="s">
        <v>2707</v>
      </c>
      <c r="M664" t="s">
        <v>2682</v>
      </c>
      <c r="N664" t="s">
        <v>913</v>
      </c>
      <c r="O664" t="s">
        <v>321</v>
      </c>
      <c r="Q664" t="s">
        <v>3434</v>
      </c>
      <c r="R664" s="52">
        <f>_xlfn.NUMBERVALUE(convertNumberStringPointToNumberComma(LEFT(Q664,FIND("x",Q664)-2)))</f>
        <v>71.5</v>
      </c>
      <c r="S664" s="52">
        <f>_xlfn.NUMBERVALUE(convertNumberStringPointToNumberComma(LEFT(RIGHT(Q664,LEN(Q664)-FIND("x",Q664)-1),LEN(RIGHT(Q664,LEN(Q664)-FIND("x",Q664)-1))-2)))</f>
        <v>97</v>
      </c>
    </row>
    <row r="665" spans="1:19" x14ac:dyDescent="0.25">
      <c r="A665" t="s">
        <v>1325</v>
      </c>
      <c r="B665" t="s">
        <v>863</v>
      </c>
      <c r="E665" t="s">
        <v>2632</v>
      </c>
      <c r="H665" t="s">
        <v>62</v>
      </c>
      <c r="L665" t="s">
        <v>2707</v>
      </c>
      <c r="M665" t="s">
        <v>8</v>
      </c>
      <c r="N665" t="s">
        <v>913</v>
      </c>
      <c r="O665" t="s">
        <v>321</v>
      </c>
      <c r="Q665" t="s">
        <v>3434</v>
      </c>
      <c r="R665" s="52">
        <f>_xlfn.NUMBERVALUE(convertNumberStringPointToNumberComma(LEFT(Q665,FIND("x",Q665)-2)))</f>
        <v>71.5</v>
      </c>
      <c r="S665" s="52">
        <f>_xlfn.NUMBERVALUE(convertNumberStringPointToNumberComma(LEFT(RIGHT(Q665,LEN(Q665)-FIND("x",Q665)-1),LEN(RIGHT(Q665,LEN(Q665)-FIND("x",Q665)-1))-2)))</f>
        <v>97</v>
      </c>
    </row>
    <row r="666" spans="1:19" x14ac:dyDescent="0.25">
      <c r="A666" t="s">
        <v>1326</v>
      </c>
      <c r="B666" t="s">
        <v>863</v>
      </c>
      <c r="E666" t="s">
        <v>2632</v>
      </c>
      <c r="H666" t="s">
        <v>62</v>
      </c>
      <c r="L666" t="s">
        <v>2707</v>
      </c>
      <c r="M666" t="s">
        <v>2757</v>
      </c>
      <c r="N666" t="s">
        <v>913</v>
      </c>
      <c r="O666" t="s">
        <v>321</v>
      </c>
      <c r="Q666" t="s">
        <v>3434</v>
      </c>
      <c r="R666" s="52">
        <f>_xlfn.NUMBERVALUE(convertNumberStringPointToNumberComma(LEFT(Q666,FIND("x",Q666)-2)))</f>
        <v>71.5</v>
      </c>
      <c r="S666" s="52">
        <f>_xlfn.NUMBERVALUE(convertNumberStringPointToNumberComma(LEFT(RIGHT(Q666,LEN(Q666)-FIND("x",Q666)-1),LEN(RIGHT(Q666,LEN(Q666)-FIND("x",Q666)-1))-2)))</f>
        <v>97</v>
      </c>
    </row>
    <row r="667" spans="1:19" x14ac:dyDescent="0.25">
      <c r="A667" t="s">
        <v>1327</v>
      </c>
      <c r="B667" t="s">
        <v>863</v>
      </c>
      <c r="E667" t="s">
        <v>2632</v>
      </c>
      <c r="H667" t="s">
        <v>62</v>
      </c>
      <c r="L667" t="s">
        <v>2707</v>
      </c>
      <c r="M667" t="s">
        <v>2802</v>
      </c>
      <c r="N667" t="s">
        <v>913</v>
      </c>
      <c r="O667" t="s">
        <v>321</v>
      </c>
      <c r="Q667" t="s">
        <v>3434</v>
      </c>
      <c r="R667" s="52">
        <f>_xlfn.NUMBERVALUE(convertNumberStringPointToNumberComma(LEFT(Q667,FIND("x",Q667)-2)))</f>
        <v>71.5</v>
      </c>
      <c r="S667" s="52">
        <f>_xlfn.NUMBERVALUE(convertNumberStringPointToNumberComma(LEFT(RIGHT(Q667,LEN(Q667)-FIND("x",Q667)-1),LEN(RIGHT(Q667,LEN(Q667)-FIND("x",Q667)-1))-2)))</f>
        <v>97</v>
      </c>
    </row>
    <row r="668" spans="1:19" x14ac:dyDescent="0.25">
      <c r="A668" t="s">
        <v>2314</v>
      </c>
      <c r="B668" t="s">
        <v>863</v>
      </c>
      <c r="E668" t="s">
        <v>2632</v>
      </c>
      <c r="H668" t="s">
        <v>62</v>
      </c>
      <c r="L668" t="s">
        <v>2707</v>
      </c>
      <c r="M668" t="s">
        <v>8</v>
      </c>
      <c r="N668" t="s">
        <v>913</v>
      </c>
      <c r="O668" t="s">
        <v>321</v>
      </c>
      <c r="Q668" t="s">
        <v>3434</v>
      </c>
      <c r="R668" s="52">
        <f>_xlfn.NUMBERVALUE(convertNumberStringPointToNumberComma(LEFT(Q668,FIND("x",Q668)-2)))</f>
        <v>71.5</v>
      </c>
      <c r="S668" s="52">
        <f>_xlfn.NUMBERVALUE(convertNumberStringPointToNumberComma(LEFT(RIGHT(Q668,LEN(Q668)-FIND("x",Q668)-1),LEN(RIGHT(Q668,LEN(Q668)-FIND("x",Q668)-1))-2)))</f>
        <v>97</v>
      </c>
    </row>
    <row r="669" spans="1:19" x14ac:dyDescent="0.25">
      <c r="A669" t="s">
        <v>1487</v>
      </c>
      <c r="B669" t="s">
        <v>1019</v>
      </c>
      <c r="E669" t="s">
        <v>2634</v>
      </c>
      <c r="H669" t="s">
        <v>318</v>
      </c>
      <c r="L669" t="s">
        <v>2854</v>
      </c>
      <c r="M669" t="s">
        <v>8</v>
      </c>
      <c r="N669" t="s">
        <v>903</v>
      </c>
      <c r="O669" t="s">
        <v>722</v>
      </c>
      <c r="Q669" t="s">
        <v>3520</v>
      </c>
      <c r="R669" s="52">
        <f>_xlfn.NUMBERVALUE(convertNumberStringPointToNumberComma(LEFT(Q669,FIND("x",Q669)-2)))</f>
        <v>71.599999999999994</v>
      </c>
      <c r="S669" s="52">
        <f>_xlfn.NUMBERVALUE(convertNumberStringPointToNumberComma(LEFT(RIGHT(Q669,LEN(Q669)-FIND("x",Q669)-1),LEN(RIGHT(Q669,LEN(Q669)-FIND("x",Q669)-1))-2)))</f>
        <v>83</v>
      </c>
    </row>
    <row r="670" spans="1:19" x14ac:dyDescent="0.25">
      <c r="A670" t="s">
        <v>2039</v>
      </c>
      <c r="B670" t="s">
        <v>927</v>
      </c>
      <c r="E670" t="s">
        <v>2636</v>
      </c>
      <c r="H670" t="s">
        <v>84</v>
      </c>
      <c r="L670" t="s">
        <v>2687</v>
      </c>
      <c r="M670" t="s">
        <v>2782</v>
      </c>
      <c r="N670" t="s">
        <v>2783</v>
      </c>
      <c r="O670" t="s">
        <v>108</v>
      </c>
      <c r="Q670" t="s">
        <v>3809</v>
      </c>
      <c r="R670" s="52">
        <f>_xlfn.NUMBERVALUE(convertNumberStringPointToNumberComma(LEFT(Q670,FIND("x",Q670)-2)))</f>
        <v>72</v>
      </c>
      <c r="S670" s="52">
        <f>_xlfn.NUMBERVALUE(convertNumberStringPointToNumberComma(LEFT(RIGHT(Q670,LEN(Q670)-FIND("x",Q670)-1),LEN(RIGHT(Q670,LEN(Q670)-FIND("x",Q670)-1))-2)))</f>
        <v>108</v>
      </c>
    </row>
    <row r="671" spans="1:19" x14ac:dyDescent="0.25">
      <c r="A671" t="s">
        <v>2587</v>
      </c>
      <c r="B671" t="s">
        <v>1251</v>
      </c>
      <c r="E671" t="s">
        <v>2662</v>
      </c>
      <c r="H671" t="s">
        <v>91</v>
      </c>
      <c r="L671" t="s">
        <v>2710</v>
      </c>
      <c r="M671" t="s">
        <v>2802</v>
      </c>
      <c r="N671" t="s">
        <v>903</v>
      </c>
      <c r="O671" t="s">
        <v>3184</v>
      </c>
      <c r="Q671" t="s">
        <v>4057</v>
      </c>
      <c r="R671" s="52">
        <f>_xlfn.NUMBERVALUE(convertNumberStringPointToNumberComma(LEFT(Q671,FIND("x",Q671)-2)))</f>
        <v>72</v>
      </c>
      <c r="S671" s="52">
        <f>_xlfn.NUMBERVALUE(convertNumberStringPointToNumberComma(LEFT(RIGHT(Q671,LEN(Q671)-FIND("x",Q671)-1),LEN(RIGHT(Q671,LEN(Q671)-FIND("x",Q671)-1))-2)))</f>
        <v>111.5</v>
      </c>
    </row>
    <row r="672" spans="1:19" x14ac:dyDescent="0.25">
      <c r="A672" t="s">
        <v>1049</v>
      </c>
      <c r="B672" t="s">
        <v>927</v>
      </c>
      <c r="C672" s="5">
        <f>convertNumberStringPointToNumberComma(IFERROR(LEFT(B672,(FIND("-",B672)-1)),LEFT(B672,FIND("mm",B672)-1)))</f>
        <v>70</v>
      </c>
      <c r="D672" s="5">
        <f>convertNumberStringPointToNumberComma(IFERROR(RIGHT(LEFT(B672,FIND("m",B672)-1),LEN(LEFT(B672,FIND("m",B672)-1))-FIND("-",LEFT(B672,FIND("m",B672)-1))-1),C672))</f>
        <v>0</v>
      </c>
      <c r="E672" t="s">
        <v>2642</v>
      </c>
      <c r="F672" s="9">
        <f>convertNumberStringPointToNumberComma(LEFT(MID(E672,3,9),IFERROR(FIND("-",MID(E672,3,9))-2,3)))</f>
        <v>4</v>
      </c>
      <c r="G672" s="9">
        <f>convertNumberStringPointToNumberComma(RIGHT(E672,IF(ISERROR(FIND(".",RIGHT(E672,3))),1,3)))</f>
        <v>6.3</v>
      </c>
      <c r="H672" t="s">
        <v>91</v>
      </c>
      <c r="I672" s="5" t="str">
        <f>IF(H672="none",0,LEFT(H672,LEN(H672)-2))</f>
        <v>58</v>
      </c>
      <c r="J672" s="12"/>
      <c r="K672" s="10">
        <f>IF(J672="",0,convertNumberStringPointToNumberComma(LEFT(J672,LEN(J672)-1)))</f>
        <v>0</v>
      </c>
      <c r="L672" t="s">
        <v>2717</v>
      </c>
      <c r="M672" t="s">
        <v>8</v>
      </c>
      <c r="N672" t="s">
        <v>903</v>
      </c>
      <c r="O672" t="s">
        <v>778</v>
      </c>
      <c r="P672" s="5" t="str">
        <f>LEFT(O672,LEN(O672)-1)</f>
        <v>415</v>
      </c>
      <c r="Q672" t="s">
        <v>776</v>
      </c>
      <c r="R672" s="52">
        <f>_xlfn.NUMBERVALUE(convertNumberStringPointToNumberComma(LEFT(Q672,FIND("x",Q672)-2)))</f>
        <v>72</v>
      </c>
      <c r="S672" s="52">
        <f>_xlfn.NUMBERVALUE(convertNumberStringPointToNumberComma(LEFT(RIGHT(Q672,LEN(Q672)-FIND("x",Q672)-1),LEN(RIGHT(Q672,LEN(Q672)-FIND("x",Q672)-1))-2)))</f>
        <v>125</v>
      </c>
    </row>
    <row r="673" spans="1:19" x14ac:dyDescent="0.25">
      <c r="A673" t="s">
        <v>2614</v>
      </c>
      <c r="B673" t="s">
        <v>927</v>
      </c>
      <c r="E673" t="s">
        <v>2642</v>
      </c>
      <c r="H673" t="s">
        <v>91</v>
      </c>
      <c r="L673" t="s">
        <v>2717</v>
      </c>
      <c r="M673" t="s">
        <v>8</v>
      </c>
      <c r="N673" t="s">
        <v>903</v>
      </c>
      <c r="O673" t="s">
        <v>330</v>
      </c>
      <c r="Q673" t="s">
        <v>776</v>
      </c>
      <c r="R673" s="52">
        <f>_xlfn.NUMBERVALUE(convertNumberStringPointToNumberComma(LEFT(Q673,FIND("x",Q673)-2)))</f>
        <v>72</v>
      </c>
      <c r="S673" s="52">
        <f>_xlfn.NUMBERVALUE(convertNumberStringPointToNumberComma(LEFT(RIGHT(Q673,LEN(Q673)-FIND("x",Q673)-1),LEN(RIGHT(Q673,LEN(Q673)-FIND("x",Q673)-1))-2)))</f>
        <v>125</v>
      </c>
    </row>
    <row r="674" spans="1:19" x14ac:dyDescent="0.25">
      <c r="A674" t="s">
        <v>925</v>
      </c>
      <c r="B674" t="s">
        <v>678</v>
      </c>
      <c r="C674" s="5">
        <f>convertNumberStringPointToNumberComma(IFERROR(LEFT(B674,(FIND("-",B674)-1)),LEFT(B674,FIND("mm",B674)-1)))</f>
        <v>50</v>
      </c>
      <c r="D674" s="5">
        <f>convertNumberStringPointToNumberComma(IFERROR(RIGHT(LEFT(B674,FIND("m",B674)-1),LEN(LEFT(B674,FIND("m",B674)-1))-FIND("-",LEFT(B674,FIND("m",B674)-1))-1),C674))</f>
        <v>50</v>
      </c>
      <c r="E674" t="s">
        <v>2635</v>
      </c>
      <c r="F674" s="9">
        <f>convertNumberStringPointToNumberComma(LEFT(MID(E674,3,9),IFERROR(FIND("-",MID(E674,3,9))-2,3)))</f>
        <v>1.8</v>
      </c>
      <c r="G674" s="9">
        <f>convertNumberStringPointToNumberComma(RIGHT(E674,IF(ISERROR(FIND(".",RIGHT(E674,3))),1,3)))</f>
        <v>1.8</v>
      </c>
      <c r="H674" t="s">
        <v>91</v>
      </c>
      <c r="I674" s="5" t="str">
        <f>IF(H674="none",0,LEFT(H674,LEN(H674)-2))</f>
        <v>58</v>
      </c>
      <c r="J674" s="5" t="s">
        <v>16</v>
      </c>
      <c r="K674" s="10">
        <f>IF(J674="",0,convertNumberStringPointToNumberComma(LEFT(J674,LEN(J674)-1)))</f>
        <v>0.17</v>
      </c>
      <c r="L674" t="s">
        <v>2687</v>
      </c>
      <c r="M674" t="s">
        <v>8</v>
      </c>
      <c r="N674" t="s">
        <v>913</v>
      </c>
      <c r="O674" t="s">
        <v>686</v>
      </c>
      <c r="P674" s="5" t="str">
        <f>LEFT(O674,LEN(O674)-1)</f>
        <v>185</v>
      </c>
      <c r="Q674" t="s">
        <v>3203</v>
      </c>
      <c r="R674" s="52">
        <f>_xlfn.NUMBERVALUE(convertNumberStringPointToNumberComma(LEFT(Q674,FIND("x",Q674)-2)))</f>
        <v>72</v>
      </c>
      <c r="S674" s="52">
        <f>_xlfn.NUMBERVALUE(convertNumberStringPointToNumberComma(LEFT(RIGHT(Q674,LEN(Q674)-FIND("x",Q674)-1),LEN(RIGHT(Q674,LEN(Q674)-FIND("x",Q674)-1))-2)))</f>
        <v>52.5</v>
      </c>
    </row>
    <row r="675" spans="1:19" x14ac:dyDescent="0.25">
      <c r="A675" t="s">
        <v>2494</v>
      </c>
      <c r="B675" t="s">
        <v>1116</v>
      </c>
      <c r="E675" t="s">
        <v>2643</v>
      </c>
      <c r="H675" t="s">
        <v>84</v>
      </c>
      <c r="L675" t="s">
        <v>2726</v>
      </c>
      <c r="M675" t="s">
        <v>2748</v>
      </c>
      <c r="N675" t="s">
        <v>903</v>
      </c>
      <c r="O675" t="s">
        <v>716</v>
      </c>
      <c r="Q675" t="s">
        <v>4022</v>
      </c>
      <c r="R675" s="52">
        <f>_xlfn.NUMBERVALUE(convertNumberStringPointToNumberComma(LEFT(Q675,FIND("x",Q675)-2)))</f>
        <v>72</v>
      </c>
      <c r="S675" s="52">
        <f>_xlfn.NUMBERVALUE(convertNumberStringPointToNumberComma(LEFT(RIGHT(Q675,LEN(Q675)-FIND("x",Q675)-1),LEN(RIGHT(Q675,LEN(Q675)-FIND("x",Q675)-1))-2)))</f>
        <v>63</v>
      </c>
    </row>
    <row r="676" spans="1:19" x14ac:dyDescent="0.25">
      <c r="B676" t="s">
        <v>678</v>
      </c>
      <c r="E676" t="s">
        <v>2638</v>
      </c>
      <c r="H676" t="s">
        <v>56</v>
      </c>
      <c r="M676" t="s">
        <v>8</v>
      </c>
      <c r="N676" t="s">
        <v>913</v>
      </c>
      <c r="O676" t="s">
        <v>612</v>
      </c>
      <c r="Q676" t="s">
        <v>3603</v>
      </c>
      <c r="R676" s="52">
        <f>_xlfn.NUMBERVALUE(convertNumberStringPointToNumberComma(LEFT(Q676,FIND("x",Q676)-2)))</f>
        <v>72</v>
      </c>
      <c r="S676" s="52">
        <f>_xlfn.NUMBERVALUE(convertNumberStringPointToNumberComma(LEFT(RIGHT(Q676,LEN(Q676)-FIND("x",Q676)-1),LEN(RIGHT(Q676,LEN(Q676)-FIND("x",Q676)-1))-2)))</f>
        <v>65</v>
      </c>
    </row>
    <row r="677" spans="1:19" x14ac:dyDescent="0.25">
      <c r="A677" t="s">
        <v>2438</v>
      </c>
      <c r="B677" t="s">
        <v>592</v>
      </c>
      <c r="E677" t="s">
        <v>2635</v>
      </c>
      <c r="H677" t="s">
        <v>91</v>
      </c>
      <c r="L677" t="s">
        <v>2769</v>
      </c>
      <c r="M677" t="s">
        <v>8</v>
      </c>
      <c r="N677" t="s">
        <v>913</v>
      </c>
      <c r="O677" t="s">
        <v>45</v>
      </c>
      <c r="Q677" t="s">
        <v>3995</v>
      </c>
      <c r="R677" s="52">
        <f>_xlfn.NUMBERVALUE(convertNumberStringPointToNumberComma(LEFT(Q677,FIND("x",Q677)-2)))</f>
        <v>72</v>
      </c>
      <c r="S677" s="52">
        <f>_xlfn.NUMBERVALUE(convertNumberStringPointToNumberComma(LEFT(RIGHT(Q677,LEN(Q677)-FIND("x",Q677)-1),LEN(RIGHT(Q677,LEN(Q677)-FIND("x",Q677)-1))-2)))</f>
        <v>71.5</v>
      </c>
    </row>
    <row r="678" spans="1:19" x14ac:dyDescent="0.25">
      <c r="A678" t="s">
        <v>1284</v>
      </c>
      <c r="B678" t="s">
        <v>963</v>
      </c>
      <c r="E678" t="s">
        <v>2645</v>
      </c>
      <c r="H678" t="s">
        <v>84</v>
      </c>
      <c r="L678" t="s">
        <v>2677</v>
      </c>
      <c r="M678" t="s">
        <v>2757</v>
      </c>
      <c r="N678" t="s">
        <v>903</v>
      </c>
      <c r="O678" t="s">
        <v>37</v>
      </c>
      <c r="Q678" t="s">
        <v>723</v>
      </c>
      <c r="R678" s="52">
        <f>_xlfn.NUMBERVALUE(convertNumberStringPointToNumberComma(LEFT(Q678,FIND("x",Q678)-2)))</f>
        <v>72</v>
      </c>
      <c r="S678" s="52">
        <f>_xlfn.NUMBERVALUE(convertNumberStringPointToNumberComma(LEFT(RIGHT(Q678,LEN(Q678)-FIND("x",Q678)-1),LEN(RIGHT(Q678,LEN(Q678)-FIND("x",Q678)-1))-2)))</f>
        <v>83</v>
      </c>
    </row>
    <row r="679" spans="1:19" x14ac:dyDescent="0.25">
      <c r="A679" t="s">
        <v>1162</v>
      </c>
      <c r="B679" t="s">
        <v>2577</v>
      </c>
      <c r="E679" t="s">
        <v>2639</v>
      </c>
      <c r="H679" t="s">
        <v>84</v>
      </c>
      <c r="L679" t="s">
        <v>2675</v>
      </c>
      <c r="M679" t="s">
        <v>2757</v>
      </c>
      <c r="N679" t="s">
        <v>903</v>
      </c>
      <c r="O679" t="s">
        <v>28</v>
      </c>
      <c r="Q679" t="s">
        <v>723</v>
      </c>
      <c r="R679" s="52">
        <f>_xlfn.NUMBERVALUE(convertNumberStringPointToNumberComma(LEFT(Q679,FIND("x",Q679)-2)))</f>
        <v>72</v>
      </c>
      <c r="S679" s="52">
        <f>_xlfn.NUMBERVALUE(convertNumberStringPointToNumberComma(LEFT(RIGHT(Q679,LEN(Q679)-FIND("x",Q679)-1),LEN(RIGHT(Q679,LEN(Q679)-FIND("x",Q679)-1))-2)))</f>
        <v>83</v>
      </c>
    </row>
    <row r="680" spans="1:19" x14ac:dyDescent="0.25">
      <c r="A680" t="s">
        <v>1559</v>
      </c>
      <c r="B680" t="s">
        <v>1560</v>
      </c>
      <c r="E680" t="s">
        <v>2933</v>
      </c>
      <c r="H680" t="s">
        <v>84</v>
      </c>
      <c r="L680" t="s">
        <v>2703</v>
      </c>
      <c r="M680" t="s">
        <v>2682</v>
      </c>
      <c r="N680" t="s">
        <v>913</v>
      </c>
      <c r="O680" t="s">
        <v>330</v>
      </c>
      <c r="Q680" t="s">
        <v>258</v>
      </c>
      <c r="R680" s="52">
        <f>_xlfn.NUMBERVALUE(convertNumberStringPointToNumberComma(LEFT(Q680,FIND("x",Q680)-2)))</f>
        <v>72</v>
      </c>
      <c r="S680" s="52">
        <f>_xlfn.NUMBERVALUE(convertNumberStringPointToNumberComma(LEFT(RIGHT(Q680,LEN(Q680)-FIND("x",Q680)-1),LEN(RIGHT(Q680,LEN(Q680)-FIND("x",Q680)-1))-2)))</f>
        <v>85</v>
      </c>
    </row>
    <row r="681" spans="1:19" x14ac:dyDescent="0.25">
      <c r="A681" t="s">
        <v>1561</v>
      </c>
      <c r="B681" t="s">
        <v>1560</v>
      </c>
      <c r="E681" t="s">
        <v>2933</v>
      </c>
      <c r="H681" t="s">
        <v>84</v>
      </c>
      <c r="L681" t="s">
        <v>2703</v>
      </c>
      <c r="M681" t="s">
        <v>2682</v>
      </c>
      <c r="N681" t="s">
        <v>913</v>
      </c>
      <c r="O681" t="s">
        <v>330</v>
      </c>
      <c r="Q681" t="s">
        <v>258</v>
      </c>
      <c r="R681" s="52">
        <f>_xlfn.NUMBERVALUE(convertNumberStringPointToNumberComma(LEFT(Q681,FIND("x",Q681)-2)))</f>
        <v>72</v>
      </c>
      <c r="S681" s="52">
        <f>_xlfn.NUMBERVALUE(convertNumberStringPointToNumberComma(LEFT(RIGHT(Q681,LEN(Q681)-FIND("x",Q681)-1),LEN(RIGHT(Q681,LEN(Q681)-FIND("x",Q681)-1))-2)))</f>
        <v>85</v>
      </c>
    </row>
    <row r="682" spans="1:19" x14ac:dyDescent="0.25">
      <c r="A682" t="s">
        <v>1562</v>
      </c>
      <c r="B682" t="s">
        <v>1560</v>
      </c>
      <c r="E682" t="s">
        <v>2933</v>
      </c>
      <c r="H682" t="s">
        <v>84</v>
      </c>
      <c r="L682" t="s">
        <v>2703</v>
      </c>
      <c r="M682" t="s">
        <v>8</v>
      </c>
      <c r="N682" t="s">
        <v>913</v>
      </c>
      <c r="O682" t="s">
        <v>330</v>
      </c>
      <c r="Q682" t="s">
        <v>258</v>
      </c>
      <c r="R682" s="52">
        <f>_xlfn.NUMBERVALUE(convertNumberStringPointToNumberComma(LEFT(Q682,FIND("x",Q682)-2)))</f>
        <v>72</v>
      </c>
      <c r="S682" s="52">
        <f>_xlfn.NUMBERVALUE(convertNumberStringPointToNumberComma(LEFT(RIGHT(Q682,LEN(Q682)-FIND("x",Q682)-1),LEN(RIGHT(Q682,LEN(Q682)-FIND("x",Q682)-1))-2)))</f>
        <v>85</v>
      </c>
    </row>
    <row r="683" spans="1:19" x14ac:dyDescent="0.25">
      <c r="A683" t="s">
        <v>1563</v>
      </c>
      <c r="B683" t="s">
        <v>1560</v>
      </c>
      <c r="E683" t="s">
        <v>2933</v>
      </c>
      <c r="H683" t="s">
        <v>84</v>
      </c>
      <c r="L683" t="s">
        <v>2703</v>
      </c>
      <c r="M683" t="s">
        <v>8</v>
      </c>
      <c r="N683" t="s">
        <v>913</v>
      </c>
      <c r="O683" t="s">
        <v>330</v>
      </c>
      <c r="Q683" t="s">
        <v>258</v>
      </c>
      <c r="R683" s="52">
        <f>_xlfn.NUMBERVALUE(convertNumberStringPointToNumberComma(LEFT(Q683,FIND("x",Q683)-2)))</f>
        <v>72</v>
      </c>
      <c r="S683" s="52">
        <f>_xlfn.NUMBERVALUE(convertNumberStringPointToNumberComma(LEFT(RIGHT(Q683,LEN(Q683)-FIND("x",Q683)-1),LEN(RIGHT(Q683,LEN(Q683)-FIND("x",Q683)-1))-2)))</f>
        <v>85</v>
      </c>
    </row>
    <row r="684" spans="1:19" x14ac:dyDescent="0.25">
      <c r="A684" t="s">
        <v>1937</v>
      </c>
      <c r="B684" t="s">
        <v>1560</v>
      </c>
      <c r="E684" t="s">
        <v>2933</v>
      </c>
      <c r="H684" t="s">
        <v>84</v>
      </c>
      <c r="L684" t="s">
        <v>2703</v>
      </c>
      <c r="M684" t="s">
        <v>2748</v>
      </c>
      <c r="N684" t="s">
        <v>913</v>
      </c>
      <c r="O684" t="s">
        <v>330</v>
      </c>
      <c r="Q684" t="s">
        <v>258</v>
      </c>
      <c r="R684" s="52">
        <f>_xlfn.NUMBERVALUE(convertNumberStringPointToNumberComma(LEFT(Q684,FIND("x",Q684)-2)))</f>
        <v>72</v>
      </c>
      <c r="S684" s="52">
        <f>_xlfn.NUMBERVALUE(convertNumberStringPointToNumberComma(LEFT(RIGHT(Q684,LEN(Q684)-FIND("x",Q684)-1),LEN(RIGHT(Q684,LEN(Q684)-FIND("x",Q684)-1))-2)))</f>
        <v>85</v>
      </c>
    </row>
    <row r="685" spans="1:19" x14ac:dyDescent="0.25">
      <c r="A685" t="s">
        <v>1938</v>
      </c>
      <c r="B685" t="s">
        <v>1560</v>
      </c>
      <c r="E685" t="s">
        <v>2933</v>
      </c>
      <c r="H685" t="s">
        <v>84</v>
      </c>
      <c r="L685" t="s">
        <v>2703</v>
      </c>
      <c r="M685" t="s">
        <v>2804</v>
      </c>
      <c r="N685" t="s">
        <v>913</v>
      </c>
      <c r="O685" t="s">
        <v>330</v>
      </c>
      <c r="Q685" t="s">
        <v>258</v>
      </c>
      <c r="R685" s="52">
        <f>_xlfn.NUMBERVALUE(convertNumberStringPointToNumberComma(LEFT(Q685,FIND("x",Q685)-2)))</f>
        <v>72</v>
      </c>
      <c r="S685" s="52">
        <f>_xlfn.NUMBERVALUE(convertNumberStringPointToNumberComma(LEFT(RIGHT(Q685,LEN(Q685)-FIND("x",Q685)-1),LEN(RIGHT(Q685,LEN(Q685)-FIND("x",Q685)-1))-2)))</f>
        <v>85</v>
      </c>
    </row>
    <row r="686" spans="1:19" x14ac:dyDescent="0.25">
      <c r="A686" t="s">
        <v>1939</v>
      </c>
      <c r="B686" t="s">
        <v>1560</v>
      </c>
      <c r="E686" t="s">
        <v>2933</v>
      </c>
      <c r="H686" t="s">
        <v>84</v>
      </c>
      <c r="L686" t="s">
        <v>2703</v>
      </c>
      <c r="M686" t="s">
        <v>2680</v>
      </c>
      <c r="N686" t="s">
        <v>913</v>
      </c>
      <c r="O686" t="s">
        <v>330</v>
      </c>
      <c r="Q686" t="s">
        <v>258</v>
      </c>
      <c r="R686" s="52">
        <f>_xlfn.NUMBERVALUE(convertNumberStringPointToNumberComma(LEFT(Q686,FIND("x",Q686)-2)))</f>
        <v>72</v>
      </c>
      <c r="S686" s="52">
        <f>_xlfn.NUMBERVALUE(convertNumberStringPointToNumberComma(LEFT(RIGHT(Q686,LEN(Q686)-FIND("x",Q686)-1),LEN(RIGHT(Q686,LEN(Q686)-FIND("x",Q686)-1))-2)))</f>
        <v>85</v>
      </c>
    </row>
    <row r="687" spans="1:19" x14ac:dyDescent="0.25">
      <c r="A687" t="s">
        <v>2070</v>
      </c>
      <c r="B687" t="s">
        <v>1560</v>
      </c>
      <c r="E687" t="s">
        <v>2933</v>
      </c>
      <c r="H687" t="s">
        <v>84</v>
      </c>
      <c r="L687" t="s">
        <v>2703</v>
      </c>
      <c r="M687" t="s">
        <v>2757</v>
      </c>
      <c r="N687" t="s">
        <v>913</v>
      </c>
      <c r="O687" t="s">
        <v>330</v>
      </c>
      <c r="Q687" t="s">
        <v>258</v>
      </c>
      <c r="R687" s="52">
        <f>_xlfn.NUMBERVALUE(convertNumberStringPointToNumberComma(LEFT(Q687,FIND("x",Q687)-2)))</f>
        <v>72</v>
      </c>
      <c r="S687" s="52">
        <f>_xlfn.NUMBERVALUE(convertNumberStringPointToNumberComma(LEFT(RIGHT(Q687,LEN(Q687)-FIND("x",Q687)-1),LEN(RIGHT(Q687,LEN(Q687)-FIND("x",Q687)-1))-2)))</f>
        <v>85</v>
      </c>
    </row>
    <row r="688" spans="1:19" x14ac:dyDescent="0.25">
      <c r="A688" t="s">
        <v>2071</v>
      </c>
      <c r="B688" t="s">
        <v>1560</v>
      </c>
      <c r="E688" t="s">
        <v>2933</v>
      </c>
      <c r="H688" t="s">
        <v>84</v>
      </c>
      <c r="L688" t="s">
        <v>2703</v>
      </c>
      <c r="M688" t="s">
        <v>2802</v>
      </c>
      <c r="N688" t="s">
        <v>913</v>
      </c>
      <c r="O688" t="s">
        <v>330</v>
      </c>
      <c r="Q688" t="s">
        <v>258</v>
      </c>
      <c r="R688" s="52">
        <f>_xlfn.NUMBERVALUE(convertNumberStringPointToNumberComma(LEFT(Q688,FIND("x",Q688)-2)))</f>
        <v>72</v>
      </c>
      <c r="S688" s="52">
        <f>_xlfn.NUMBERVALUE(convertNumberStringPointToNumberComma(LEFT(RIGHT(Q688,LEN(Q688)-FIND("x",Q688)-1),LEN(RIGHT(Q688,LEN(Q688)-FIND("x",Q688)-1))-2)))</f>
        <v>85</v>
      </c>
    </row>
    <row r="689" spans="1:19" x14ac:dyDescent="0.25">
      <c r="A689" t="s">
        <v>2542</v>
      </c>
      <c r="B689" t="s">
        <v>2543</v>
      </c>
      <c r="E689" t="s">
        <v>2639</v>
      </c>
      <c r="H689" t="s">
        <v>56</v>
      </c>
      <c r="L689" t="s">
        <v>2868</v>
      </c>
      <c r="M689" t="s">
        <v>8</v>
      </c>
      <c r="N689" t="s">
        <v>903</v>
      </c>
      <c r="O689" t="s">
        <v>257</v>
      </c>
      <c r="Q689" t="s">
        <v>258</v>
      </c>
      <c r="R689" s="52">
        <f>_xlfn.NUMBERVALUE(convertNumberStringPointToNumberComma(LEFT(Q689,FIND("x",Q689)-2)))</f>
        <v>72</v>
      </c>
      <c r="S689" s="52">
        <f>_xlfn.NUMBERVALUE(convertNumberStringPointToNumberComma(LEFT(RIGHT(Q689,LEN(Q689)-FIND("x",Q689)-1),LEN(RIGHT(Q689,LEN(Q689)-FIND("x",Q689)-1))-2)))</f>
        <v>85</v>
      </c>
    </row>
    <row r="690" spans="1:19" x14ac:dyDescent="0.25">
      <c r="A690" t="s">
        <v>1181</v>
      </c>
      <c r="B690" t="s">
        <v>1182</v>
      </c>
      <c r="C690" s="5">
        <f>convertNumberStringPointToNumberComma(IFERROR(LEFT(B690,(FIND("-",B690)-1)),LEFT(B690,FIND("mm",B690)-1)))</f>
        <v>16</v>
      </c>
      <c r="D690" s="5">
        <f>convertNumberStringPointToNumberComma(IFERROR(RIGHT(LEFT(B690,FIND("m",B690)-1),LEN(LEFT(B690,FIND("m",B690)-1))-FIND("-",LEFT(B690,FIND("m",B690)-1))-1),C690))</f>
        <v>5</v>
      </c>
      <c r="E690" t="s">
        <v>2633</v>
      </c>
      <c r="F690" s="9">
        <f>convertNumberStringPointToNumberComma(LEFT(MID(E690,3,9),IFERROR(FIND("-",MID(E690,3,9))-2,3)))</f>
        <v>4</v>
      </c>
      <c r="G690" s="9">
        <f>convertNumberStringPointToNumberComma(RIGHT(E690,IF(ISERROR(FIND(".",RIGHT(E690,3))),1,3)))</f>
        <v>4</v>
      </c>
      <c r="H690" t="s">
        <v>56</v>
      </c>
      <c r="I690" s="5" t="str">
        <f>IF(H690="none",0,LEFT(H690,LEN(H690)-2))</f>
        <v>67</v>
      </c>
      <c r="J690" s="5" t="s">
        <v>68</v>
      </c>
      <c r="K690" s="10">
        <f>IF(J690="",0,convertNumberStringPointToNumberComma(LEFT(J690,LEN(J690)-1)))</f>
        <v>0.5</v>
      </c>
      <c r="L690" t="s">
        <v>2777</v>
      </c>
      <c r="M690" t="s">
        <v>2802</v>
      </c>
      <c r="N690" t="s">
        <v>903</v>
      </c>
      <c r="O690" t="s">
        <v>2831</v>
      </c>
      <c r="P690" s="5" t="str">
        <f>LEFT(O690,LEN(O690)-1)</f>
        <v>365</v>
      </c>
      <c r="Q690" t="s">
        <v>3349</v>
      </c>
      <c r="R690" s="52">
        <f>_xlfn.NUMBERVALUE(convertNumberStringPointToNumberComma(LEFT(Q690,FIND("x",Q690)-2)))</f>
        <v>72</v>
      </c>
      <c r="S690" s="52">
        <f>_xlfn.NUMBERVALUE(convertNumberStringPointToNumberComma(LEFT(RIGHT(Q690,LEN(Q690)-FIND("x",Q690)-1),LEN(RIGHT(Q690,LEN(Q690)-FIND("x",Q690)-1))-2)))</f>
        <v>92</v>
      </c>
    </row>
    <row r="691" spans="1:19" x14ac:dyDescent="0.25">
      <c r="A691" t="s">
        <v>1688</v>
      </c>
      <c r="B691" t="s">
        <v>960</v>
      </c>
      <c r="E691" t="s">
        <v>2981</v>
      </c>
      <c r="H691" t="s">
        <v>2668</v>
      </c>
      <c r="M691" t="s">
        <v>8</v>
      </c>
      <c r="N691" t="s">
        <v>903</v>
      </c>
      <c r="O691" t="s">
        <v>278</v>
      </c>
      <c r="Q691" t="s">
        <v>3634</v>
      </c>
      <c r="R691" s="52">
        <f>_xlfn.NUMBERVALUE(convertNumberStringPointToNumberComma(LEFT(Q691,FIND("x",Q691)-2)))</f>
        <v>72</v>
      </c>
      <c r="S691" s="52">
        <f>_xlfn.NUMBERVALUE(convertNumberStringPointToNumberComma(LEFT(RIGHT(Q691,LEN(Q691)-FIND("x",Q691)-1),LEN(RIGHT(Q691,LEN(Q691)-FIND("x",Q691)-1))-2)))</f>
        <v>98</v>
      </c>
    </row>
    <row r="692" spans="1:19" x14ac:dyDescent="0.25">
      <c r="A692" t="s">
        <v>1689</v>
      </c>
      <c r="B692" t="s">
        <v>960</v>
      </c>
      <c r="E692" t="s">
        <v>2632</v>
      </c>
      <c r="H692" t="s">
        <v>2668</v>
      </c>
      <c r="M692" t="s">
        <v>8</v>
      </c>
      <c r="N692" t="s">
        <v>913</v>
      </c>
      <c r="O692" t="s">
        <v>278</v>
      </c>
      <c r="Q692" t="s">
        <v>3634</v>
      </c>
      <c r="R692" s="52">
        <f>_xlfn.NUMBERVALUE(convertNumberStringPointToNumberComma(LEFT(Q692,FIND("x",Q692)-2)))</f>
        <v>72</v>
      </c>
      <c r="S692" s="52">
        <f>_xlfn.NUMBERVALUE(convertNumberStringPointToNumberComma(LEFT(RIGHT(Q692,LEN(Q692)-FIND("x",Q692)-1),LEN(RIGHT(Q692,LEN(Q692)-FIND("x",Q692)-1))-2)))</f>
        <v>98</v>
      </c>
    </row>
    <row r="693" spans="1:19" x14ac:dyDescent="0.25">
      <c r="A693" t="s">
        <v>1861</v>
      </c>
      <c r="B693" t="s">
        <v>61</v>
      </c>
      <c r="E693" t="s">
        <v>2632</v>
      </c>
      <c r="H693" t="s">
        <v>56</v>
      </c>
      <c r="L693" t="s">
        <v>2707</v>
      </c>
      <c r="M693" t="s">
        <v>8</v>
      </c>
      <c r="N693" t="s">
        <v>913</v>
      </c>
      <c r="O693" t="s">
        <v>907</v>
      </c>
      <c r="Q693" t="s">
        <v>3715</v>
      </c>
      <c r="R693" s="52">
        <f>_xlfn.NUMBERVALUE(convertNumberStringPointToNumberComma(LEFT(Q693,FIND("x",Q693)-2)))</f>
        <v>72.5</v>
      </c>
      <c r="S693" s="52">
        <f>_xlfn.NUMBERVALUE(convertNumberStringPointToNumberComma(LEFT(RIGHT(Q693,LEN(Q693)-FIND("x",Q693)-1),LEN(RIGHT(Q693,LEN(Q693)-FIND("x",Q693)-1))-2)))</f>
        <v>120.6</v>
      </c>
    </row>
    <row r="694" spans="1:19" x14ac:dyDescent="0.25">
      <c r="A694" t="s">
        <v>1862</v>
      </c>
      <c r="B694" t="s">
        <v>61</v>
      </c>
      <c r="E694" t="s">
        <v>2632</v>
      </c>
      <c r="H694" t="s">
        <v>56</v>
      </c>
      <c r="L694" t="s">
        <v>2707</v>
      </c>
      <c r="M694" t="s">
        <v>2802</v>
      </c>
      <c r="N694" t="s">
        <v>913</v>
      </c>
      <c r="O694" t="s">
        <v>370</v>
      </c>
      <c r="Q694" t="s">
        <v>3716</v>
      </c>
      <c r="R694" s="52">
        <f>_xlfn.NUMBERVALUE(convertNumberStringPointToNumberComma(LEFT(Q694,FIND("x",Q694)-2)))</f>
        <v>72.5</v>
      </c>
      <c r="S694" s="52">
        <f>_xlfn.NUMBERVALUE(convertNumberStringPointToNumberComma(LEFT(RIGHT(Q694,LEN(Q694)-FIND("x",Q694)-1),LEN(RIGHT(Q694,LEN(Q694)-FIND("x",Q694)-1))-2)))</f>
        <v>121.6</v>
      </c>
    </row>
    <row r="695" spans="1:19" x14ac:dyDescent="0.25">
      <c r="A695" t="s">
        <v>1863</v>
      </c>
      <c r="B695" t="s">
        <v>61</v>
      </c>
      <c r="E695" t="s">
        <v>2632</v>
      </c>
      <c r="H695" t="s">
        <v>56</v>
      </c>
      <c r="L695" t="s">
        <v>2707</v>
      </c>
      <c r="M695" t="s">
        <v>2757</v>
      </c>
      <c r="N695" t="s">
        <v>913</v>
      </c>
      <c r="O695" t="s">
        <v>3033</v>
      </c>
      <c r="Q695" t="s">
        <v>3717</v>
      </c>
      <c r="R695" s="52">
        <f>_xlfn.NUMBERVALUE(convertNumberStringPointToNumberComma(LEFT(Q695,FIND("x",Q695)-2)))</f>
        <v>72.5</v>
      </c>
      <c r="S695" s="52">
        <f>_xlfn.NUMBERVALUE(convertNumberStringPointToNumberComma(LEFT(RIGHT(Q695,LEN(Q695)-FIND("x",Q695)-1),LEN(RIGHT(Q695,LEN(Q695)-FIND("x",Q695)-1))-2)))</f>
        <v>122.6</v>
      </c>
    </row>
    <row r="696" spans="1:19" x14ac:dyDescent="0.25">
      <c r="A696" t="s">
        <v>1856</v>
      </c>
      <c r="B696" t="s">
        <v>61</v>
      </c>
      <c r="E696" t="s">
        <v>2632</v>
      </c>
      <c r="H696" t="s">
        <v>56</v>
      </c>
      <c r="L696" t="s">
        <v>2707</v>
      </c>
      <c r="M696" t="s">
        <v>2682</v>
      </c>
      <c r="N696" t="s">
        <v>913</v>
      </c>
      <c r="O696" t="s">
        <v>2836</v>
      </c>
      <c r="Q696" t="s">
        <v>3711</v>
      </c>
      <c r="R696" s="52">
        <f>_xlfn.NUMBERVALUE(convertNumberStringPointToNumberComma(LEFT(Q696,FIND("x",Q696)-2)))</f>
        <v>72.5</v>
      </c>
      <c r="S696" s="52">
        <f>_xlfn.NUMBERVALUE(convertNumberStringPointToNumberComma(LEFT(RIGHT(Q696,LEN(Q696)-FIND("x",Q696)-1),LEN(RIGHT(Q696,LEN(Q696)-FIND("x",Q696)-1))-2)))</f>
        <v>123.1</v>
      </c>
    </row>
    <row r="697" spans="1:19" x14ac:dyDescent="0.25">
      <c r="A697" t="s">
        <v>1866</v>
      </c>
      <c r="B697" t="s">
        <v>61</v>
      </c>
      <c r="E697" t="s">
        <v>2632</v>
      </c>
      <c r="H697" t="s">
        <v>56</v>
      </c>
      <c r="L697" t="s">
        <v>2707</v>
      </c>
      <c r="M697" t="s">
        <v>2681</v>
      </c>
      <c r="N697" t="s">
        <v>2681</v>
      </c>
      <c r="O697" t="s">
        <v>462</v>
      </c>
      <c r="Q697" t="s">
        <v>3719</v>
      </c>
      <c r="R697" s="52">
        <f>_xlfn.NUMBERVALUE(convertNumberStringPointToNumberComma(LEFT(Q697,FIND("x",Q697)-2)))</f>
        <v>72.5</v>
      </c>
      <c r="S697" s="52">
        <f>_xlfn.NUMBERVALUE(convertNumberStringPointToNumberComma(LEFT(RIGHT(Q697,LEN(Q697)-FIND("x",Q697)-1),LEN(RIGHT(Q697,LEN(Q697)-FIND("x",Q697)-1))-2)))</f>
        <v>128.4</v>
      </c>
    </row>
    <row r="698" spans="1:19" x14ac:dyDescent="0.25">
      <c r="A698" t="s">
        <v>1855</v>
      </c>
      <c r="B698" t="s">
        <v>61</v>
      </c>
      <c r="E698" t="s">
        <v>2632</v>
      </c>
      <c r="H698" t="s">
        <v>56</v>
      </c>
      <c r="L698" t="s">
        <v>2707</v>
      </c>
      <c r="M698" t="s">
        <v>2804</v>
      </c>
      <c r="N698" t="s">
        <v>903</v>
      </c>
      <c r="O698" t="s">
        <v>2836</v>
      </c>
      <c r="Q698" t="s">
        <v>3710</v>
      </c>
      <c r="R698" s="52">
        <f>_xlfn.NUMBERVALUE(convertNumberStringPointToNumberComma(LEFT(Q698,FIND("x",Q698)-2)))</f>
        <v>72.5</v>
      </c>
      <c r="S698" s="52">
        <f>_xlfn.NUMBERVALUE(convertNumberStringPointToNumberComma(LEFT(RIGHT(Q698,LEN(Q698)-FIND("x",Q698)-1),LEN(RIGHT(Q698,LEN(Q698)-FIND("x",Q698)-1))-2)))</f>
        <v>141.6</v>
      </c>
    </row>
    <row r="699" spans="1:19" x14ac:dyDescent="0.25">
      <c r="A699" t="s">
        <v>1867</v>
      </c>
      <c r="B699" t="s">
        <v>61</v>
      </c>
      <c r="E699" t="s">
        <v>2632</v>
      </c>
      <c r="H699" t="s">
        <v>56</v>
      </c>
      <c r="L699" t="s">
        <v>2707</v>
      </c>
      <c r="M699" t="s">
        <v>2680</v>
      </c>
      <c r="N699" t="s">
        <v>2681</v>
      </c>
      <c r="O699" t="s">
        <v>88</v>
      </c>
      <c r="Q699" t="s">
        <v>3720</v>
      </c>
      <c r="R699" s="52">
        <f>_xlfn.NUMBERVALUE(convertNumberStringPointToNumberComma(LEFT(Q699,FIND("x",Q699)-2)))</f>
        <v>72.5</v>
      </c>
      <c r="S699" s="52">
        <f>_xlfn.NUMBERVALUE(convertNumberStringPointToNumberComma(LEFT(RIGHT(Q699,LEN(Q699)-FIND("x",Q699)-1),LEN(RIGHT(Q699,LEN(Q699)-FIND("x",Q699)-1))-2)))</f>
        <v>147.9</v>
      </c>
    </row>
    <row r="700" spans="1:19" x14ac:dyDescent="0.25">
      <c r="A700" t="s">
        <v>1865</v>
      </c>
      <c r="B700" t="s">
        <v>61</v>
      </c>
      <c r="E700" t="s">
        <v>2632</v>
      </c>
      <c r="H700" t="s">
        <v>56</v>
      </c>
      <c r="L700" t="s">
        <v>2707</v>
      </c>
      <c r="M700" t="s">
        <v>2674</v>
      </c>
      <c r="N700" t="s">
        <v>913</v>
      </c>
      <c r="O700" t="s">
        <v>513</v>
      </c>
      <c r="Q700" t="s">
        <v>3718</v>
      </c>
      <c r="R700" s="52">
        <f>_xlfn.NUMBERVALUE(convertNumberStringPointToNumberComma(LEFT(Q700,FIND("x",Q700)-2)))</f>
        <v>72.5</v>
      </c>
      <c r="S700" s="52">
        <f>_xlfn.NUMBERVALUE(convertNumberStringPointToNumberComma(LEFT(RIGHT(Q700,LEN(Q700)-FIND("x",Q700)-1),LEN(RIGHT(Q700,LEN(Q700)-FIND("x",Q700)-1))-2)))</f>
        <v>149.1</v>
      </c>
    </row>
    <row r="701" spans="1:19" x14ac:dyDescent="0.25">
      <c r="A701" t="s">
        <v>1860</v>
      </c>
      <c r="B701" t="s">
        <v>61</v>
      </c>
      <c r="E701" t="s">
        <v>2632</v>
      </c>
      <c r="H701" t="s">
        <v>56</v>
      </c>
      <c r="L701" t="s">
        <v>2707</v>
      </c>
      <c r="M701" t="s">
        <v>2748</v>
      </c>
      <c r="N701" t="s">
        <v>903</v>
      </c>
      <c r="O701" t="s">
        <v>3032</v>
      </c>
      <c r="Q701" t="s">
        <v>3714</v>
      </c>
      <c r="R701" s="52">
        <f>_xlfn.NUMBERVALUE(convertNumberStringPointToNumberComma(LEFT(Q701,FIND("x",Q701)-2)))</f>
        <v>72.5</v>
      </c>
      <c r="S701" s="52">
        <f>_xlfn.NUMBERVALUE(convertNumberStringPointToNumberComma(LEFT(RIGHT(Q701,LEN(Q701)-FIND("x",Q701)-1),LEN(RIGHT(Q701,LEN(Q701)-FIND("x",Q701)-1))-2)))</f>
        <v>149.4</v>
      </c>
    </row>
    <row r="702" spans="1:19" x14ac:dyDescent="0.25">
      <c r="A702" t="s">
        <v>1857</v>
      </c>
      <c r="B702" t="s">
        <v>61</v>
      </c>
      <c r="E702" t="s">
        <v>2632</v>
      </c>
      <c r="H702" t="s">
        <v>56</v>
      </c>
      <c r="L702" t="s">
        <v>2707</v>
      </c>
      <c r="M702" t="s">
        <v>2763</v>
      </c>
      <c r="N702" t="s">
        <v>903</v>
      </c>
      <c r="O702" t="s">
        <v>513</v>
      </c>
      <c r="Q702" t="s">
        <v>3712</v>
      </c>
      <c r="R702" s="52">
        <f>_xlfn.NUMBERVALUE(convertNumberStringPointToNumberComma(LEFT(Q702,FIND("x",Q702)-2)))</f>
        <v>72.5</v>
      </c>
      <c r="S702" s="52">
        <f>_xlfn.NUMBERVALUE(convertNumberStringPointToNumberComma(LEFT(RIGHT(Q702,LEN(Q702)-FIND("x",Q702)-1),LEN(RIGHT(Q702,LEN(Q702)-FIND("x",Q702)-1))-2)))</f>
        <v>149</v>
      </c>
    </row>
    <row r="703" spans="1:19" x14ac:dyDescent="0.25">
      <c r="A703" t="s">
        <v>2235</v>
      </c>
      <c r="B703" t="s">
        <v>61</v>
      </c>
      <c r="E703" t="s">
        <v>2632</v>
      </c>
      <c r="H703" t="s">
        <v>56</v>
      </c>
      <c r="L703" t="s">
        <v>2707</v>
      </c>
      <c r="M703" t="s">
        <v>2680</v>
      </c>
      <c r="N703" t="s">
        <v>2681</v>
      </c>
      <c r="O703" t="s">
        <v>3032</v>
      </c>
      <c r="Q703" t="s">
        <v>3712</v>
      </c>
      <c r="R703" s="52">
        <f>_xlfn.NUMBERVALUE(convertNumberStringPointToNumberComma(LEFT(Q703,FIND("x",Q703)-2)))</f>
        <v>72.5</v>
      </c>
      <c r="S703" s="52">
        <f>_xlfn.NUMBERVALUE(convertNumberStringPointToNumberComma(LEFT(RIGHT(Q703,LEN(Q703)-FIND("x",Q703)-1),LEN(RIGHT(Q703,LEN(Q703)-FIND("x",Q703)-1))-2)))</f>
        <v>149</v>
      </c>
    </row>
    <row r="704" spans="1:19" x14ac:dyDescent="0.25">
      <c r="A704" t="s">
        <v>2238</v>
      </c>
      <c r="B704" t="s">
        <v>61</v>
      </c>
      <c r="E704" t="s">
        <v>2632</v>
      </c>
      <c r="H704" t="s">
        <v>56</v>
      </c>
      <c r="L704" t="s">
        <v>2707</v>
      </c>
      <c r="M704" t="s">
        <v>8</v>
      </c>
      <c r="N704" t="s">
        <v>913</v>
      </c>
      <c r="O704" t="s">
        <v>3032</v>
      </c>
      <c r="Q704" t="s">
        <v>3712</v>
      </c>
      <c r="R704" s="52">
        <f>_xlfn.NUMBERVALUE(convertNumberStringPointToNumberComma(LEFT(Q704,FIND("x",Q704)-2)))</f>
        <v>72.5</v>
      </c>
      <c r="S704" s="52">
        <f>_xlfn.NUMBERVALUE(convertNumberStringPointToNumberComma(LEFT(RIGHT(Q704,LEN(Q704)-FIND("x",Q704)-1),LEN(RIGHT(Q704,LEN(Q704)-FIND("x",Q704)-1))-2)))</f>
        <v>149</v>
      </c>
    </row>
    <row r="705" spans="1:19" x14ac:dyDescent="0.25">
      <c r="A705" t="s">
        <v>1430</v>
      </c>
      <c r="B705" t="s">
        <v>960</v>
      </c>
      <c r="E705" t="s">
        <v>2638</v>
      </c>
      <c r="H705" t="s">
        <v>56</v>
      </c>
      <c r="M705" t="s">
        <v>2674</v>
      </c>
      <c r="N705" t="s">
        <v>903</v>
      </c>
      <c r="O705" t="s">
        <v>2787</v>
      </c>
      <c r="Q705" t="s">
        <v>3497</v>
      </c>
      <c r="R705" s="52">
        <f>_xlfn.NUMBERVALUE(convertNumberStringPointToNumberComma(LEFT(Q705,FIND("x",Q705)-2)))</f>
        <v>72.5</v>
      </c>
      <c r="S705" s="52">
        <f>_xlfn.NUMBERVALUE(convertNumberStringPointToNumberComma(LEFT(RIGHT(Q705,LEN(Q705)-FIND("x",Q705)-1),LEN(RIGHT(Q705,LEN(Q705)-FIND("x",Q705)-1))-2)))</f>
        <v>59</v>
      </c>
    </row>
    <row r="706" spans="1:19" x14ac:dyDescent="0.25">
      <c r="A706" t="s">
        <v>1612</v>
      </c>
      <c r="B706" t="s">
        <v>960</v>
      </c>
      <c r="E706" t="s">
        <v>2638</v>
      </c>
      <c r="H706" t="s">
        <v>56</v>
      </c>
      <c r="M706" t="s">
        <v>2674</v>
      </c>
      <c r="N706" t="s">
        <v>903</v>
      </c>
      <c r="O706" t="s">
        <v>2787</v>
      </c>
      <c r="Q706" t="s">
        <v>3497</v>
      </c>
      <c r="R706" s="52">
        <f>_xlfn.NUMBERVALUE(convertNumberStringPointToNumberComma(LEFT(Q706,FIND("x",Q706)-2)))</f>
        <v>72.5</v>
      </c>
      <c r="S706" s="52">
        <f>_xlfn.NUMBERVALUE(convertNumberStringPointToNumberComma(LEFT(RIGHT(Q706,LEN(Q706)-FIND("x",Q706)-1),LEN(RIGHT(Q706,LEN(Q706)-FIND("x",Q706)-1))-2)))</f>
        <v>59</v>
      </c>
    </row>
    <row r="707" spans="1:19" x14ac:dyDescent="0.25">
      <c r="A707" t="s">
        <v>1061</v>
      </c>
      <c r="B707" t="s">
        <v>1062</v>
      </c>
      <c r="C707" s="5">
        <f>convertNumberStringPointToNumberComma(IFERROR(LEFT(B707,(FIND("-",B707)-1)),LEFT(B707,FIND("mm",B707)-1)))</f>
        <v>28</v>
      </c>
      <c r="D707" s="5">
        <f>convertNumberStringPointToNumberComma(IFERROR(RIGHT(LEFT(B707,FIND("m",B707)-1),LEN(LEFT(B707,FIND("m",B707)-1))-FIND("-",LEFT(B707,FIND("m",B707)-1))-1),C707))</f>
        <v>0</v>
      </c>
      <c r="E707" t="s">
        <v>2639</v>
      </c>
      <c r="F707" s="9">
        <f>convertNumberStringPointToNumberComma(LEFT(MID(E707,3,9),IFERROR(FIND("-",MID(E707,3,9))-2,3)))</f>
        <v>3</v>
      </c>
      <c r="G707" s="9">
        <f>convertNumberStringPointToNumberComma(RIGHT(E707,IF(ISERROR(FIND(".",RIGHT(E707,3))),1,3)))</f>
        <v>5.6</v>
      </c>
      <c r="H707" t="s">
        <v>62</v>
      </c>
      <c r="I707" s="5" t="str">
        <f>IF(H707="none",0,LEFT(H707,LEN(H707)-2))</f>
        <v>55</v>
      </c>
      <c r="J707" s="5" t="s">
        <v>68</v>
      </c>
      <c r="K707" s="10">
        <f>IF(J707="",0,convertNumberStringPointToNumberComma(LEFT(J707,LEN(J707)-1)))</f>
        <v>0.5</v>
      </c>
      <c r="L707" t="s">
        <v>2673</v>
      </c>
      <c r="M707" t="s">
        <v>2674</v>
      </c>
      <c r="N707" t="s">
        <v>913</v>
      </c>
      <c r="O707" t="s">
        <v>722</v>
      </c>
      <c r="P707" s="5" t="str">
        <f>LEFT(O707,LEN(O707)-1)</f>
        <v>295</v>
      </c>
      <c r="Q707" t="s">
        <v>3289</v>
      </c>
      <c r="R707" s="52">
        <f>_xlfn.NUMBERVALUE(convertNumberStringPointToNumberComma(LEFT(Q707,FIND("x",Q707)-2)))</f>
        <v>72.5</v>
      </c>
      <c r="S707" s="52">
        <f>_xlfn.NUMBERVALUE(convertNumberStringPointToNumberComma(LEFT(RIGHT(Q707,LEN(Q707)-FIND("x",Q707)-1),LEN(RIGHT(Q707,LEN(Q707)-FIND("x",Q707)-1))-2)))</f>
        <v>83</v>
      </c>
    </row>
    <row r="708" spans="1:19" x14ac:dyDescent="0.25">
      <c r="A708" t="s">
        <v>2330</v>
      </c>
      <c r="B708" t="s">
        <v>592</v>
      </c>
      <c r="E708" t="s">
        <v>2643</v>
      </c>
      <c r="H708" t="s">
        <v>15</v>
      </c>
      <c r="L708" t="s">
        <v>2698</v>
      </c>
      <c r="M708" t="s">
        <v>8</v>
      </c>
      <c r="N708" t="s">
        <v>913</v>
      </c>
      <c r="O708" t="s">
        <v>153</v>
      </c>
      <c r="Q708" t="s">
        <v>3912</v>
      </c>
      <c r="R708" s="52">
        <f>_xlfn.NUMBERVALUE(convertNumberStringPointToNumberComma(LEFT(Q708,FIND("x",Q708)-2)))</f>
        <v>72.7</v>
      </c>
      <c r="S708" s="52">
        <f>_xlfn.NUMBERVALUE(convertNumberStringPointToNumberComma(LEFT(RIGHT(Q708,LEN(Q708)-FIND("x",Q708)-1),LEN(RIGHT(Q708,LEN(Q708)-FIND("x",Q708)-1))-2)))</f>
        <v>120</v>
      </c>
    </row>
    <row r="709" spans="1:19" x14ac:dyDescent="0.25">
      <c r="A709" t="s">
        <v>2591</v>
      </c>
      <c r="B709" t="s">
        <v>921</v>
      </c>
      <c r="E709" t="s">
        <v>2634</v>
      </c>
      <c r="H709" t="s">
        <v>56</v>
      </c>
      <c r="L709" t="s">
        <v>2679</v>
      </c>
      <c r="M709" t="s">
        <v>2680</v>
      </c>
      <c r="N709" t="s">
        <v>2681</v>
      </c>
      <c r="O709" t="s">
        <v>23</v>
      </c>
      <c r="Q709" t="s">
        <v>4059</v>
      </c>
      <c r="R709" s="52">
        <f>_xlfn.NUMBERVALUE(convertNumberStringPointToNumberComma(LEFT(Q709,FIND("x",Q709)-2)))</f>
        <v>73</v>
      </c>
      <c r="S709" s="52">
        <f>_xlfn.NUMBERVALUE(convertNumberStringPointToNumberComma(LEFT(RIGHT(Q709,LEN(Q709)-FIND("x",Q709)-1),LEN(RIGHT(Q709,LEN(Q709)-FIND("x",Q709)-1))-2)))</f>
        <v>126</v>
      </c>
    </row>
    <row r="710" spans="1:19" x14ac:dyDescent="0.25">
      <c r="A710" t="s">
        <v>1317</v>
      </c>
      <c r="B710" t="s">
        <v>678</v>
      </c>
      <c r="E710" t="s">
        <v>2635</v>
      </c>
      <c r="H710" t="s">
        <v>91</v>
      </c>
      <c r="L710" t="s">
        <v>2687</v>
      </c>
      <c r="M710" t="s">
        <v>8</v>
      </c>
      <c r="N710" t="s">
        <v>913</v>
      </c>
      <c r="O710" t="s">
        <v>689</v>
      </c>
      <c r="Q710" t="s">
        <v>3428</v>
      </c>
      <c r="R710" s="52">
        <f>_xlfn.NUMBERVALUE(convertNumberStringPointToNumberComma(LEFT(Q710,FIND("x",Q710)-2)))</f>
        <v>73</v>
      </c>
      <c r="S710" s="52">
        <f>_xlfn.NUMBERVALUE(convertNumberStringPointToNumberComma(LEFT(RIGHT(Q710,LEN(Q710)-FIND("x",Q710)-1),LEN(RIGHT(Q710,LEN(Q710)-FIND("x",Q710)-1))-2)))</f>
        <v>52.5</v>
      </c>
    </row>
    <row r="711" spans="1:19" x14ac:dyDescent="0.25">
      <c r="A711" t="s">
        <v>1459</v>
      </c>
      <c r="B711" t="s">
        <v>960</v>
      </c>
      <c r="E711" t="s">
        <v>2638</v>
      </c>
      <c r="H711" t="s">
        <v>56</v>
      </c>
      <c r="M711" t="s">
        <v>2804</v>
      </c>
      <c r="N711" t="s">
        <v>903</v>
      </c>
      <c r="O711" t="s">
        <v>2908</v>
      </c>
      <c r="Q711" t="s">
        <v>3505</v>
      </c>
      <c r="R711" s="52">
        <f>_xlfn.NUMBERVALUE(convertNumberStringPointToNumberComma(LEFT(Q711,FIND("x",Q711)-2)))</f>
        <v>73</v>
      </c>
      <c r="S711" s="52">
        <f>_xlfn.NUMBERVALUE(convertNumberStringPointToNumberComma(LEFT(RIGHT(Q711,LEN(Q711)-FIND("x",Q711)-1),LEN(RIGHT(Q711,LEN(Q711)-FIND("x",Q711)-1))-2)))</f>
        <v>52</v>
      </c>
    </row>
    <row r="712" spans="1:19" x14ac:dyDescent="0.25">
      <c r="A712" t="s">
        <v>1646</v>
      </c>
      <c r="B712" t="s">
        <v>960</v>
      </c>
      <c r="E712" t="s">
        <v>2638</v>
      </c>
      <c r="H712" t="s">
        <v>56</v>
      </c>
      <c r="M712" t="s">
        <v>2804</v>
      </c>
      <c r="N712" t="s">
        <v>903</v>
      </c>
      <c r="O712" t="s">
        <v>2908</v>
      </c>
      <c r="Q712" t="s">
        <v>3505</v>
      </c>
      <c r="R712" s="52">
        <f>_xlfn.NUMBERVALUE(convertNumberStringPointToNumberComma(LEFT(Q712,FIND("x",Q712)-2)))</f>
        <v>73</v>
      </c>
      <c r="S712" s="52">
        <f>_xlfn.NUMBERVALUE(convertNumberStringPointToNumberComma(LEFT(RIGHT(Q712,LEN(Q712)-FIND("x",Q712)-1),LEN(RIGHT(Q712,LEN(Q712)-FIND("x",Q712)-1))-2)))</f>
        <v>52</v>
      </c>
    </row>
    <row r="713" spans="1:19" x14ac:dyDescent="0.25">
      <c r="A713" t="s">
        <v>1460</v>
      </c>
      <c r="B713" t="s">
        <v>960</v>
      </c>
      <c r="E713" t="s">
        <v>2638</v>
      </c>
      <c r="H713" t="s">
        <v>56</v>
      </c>
      <c r="M713" t="s">
        <v>2680</v>
      </c>
      <c r="N713" t="s">
        <v>2681</v>
      </c>
      <c r="O713" t="s">
        <v>712</v>
      </c>
      <c r="Q713" t="s">
        <v>3506</v>
      </c>
      <c r="R713" s="52">
        <f>_xlfn.NUMBERVALUE(convertNumberStringPointToNumberComma(LEFT(Q713,FIND("x",Q713)-2)))</f>
        <v>73</v>
      </c>
      <c r="S713" s="52">
        <f>_xlfn.NUMBERVALUE(convertNumberStringPointToNumberComma(LEFT(RIGHT(Q713,LEN(Q713)-FIND("x",Q713)-1),LEN(RIGHT(Q713,LEN(Q713)-FIND("x",Q713)-1))-2)))</f>
        <v>58</v>
      </c>
    </row>
    <row r="714" spans="1:19" x14ac:dyDescent="0.25">
      <c r="A714" t="s">
        <v>1647</v>
      </c>
      <c r="B714" t="s">
        <v>960</v>
      </c>
      <c r="E714" t="s">
        <v>2638</v>
      </c>
      <c r="H714" t="s">
        <v>56</v>
      </c>
      <c r="M714" t="s">
        <v>2680</v>
      </c>
      <c r="N714" t="s">
        <v>2681</v>
      </c>
      <c r="O714" t="s">
        <v>712</v>
      </c>
      <c r="Q714" t="s">
        <v>3506</v>
      </c>
      <c r="R714" s="52">
        <f>_xlfn.NUMBERVALUE(convertNumberStringPointToNumberComma(LEFT(Q714,FIND("x",Q714)-2)))</f>
        <v>73</v>
      </c>
      <c r="S714" s="52">
        <f>_xlfn.NUMBERVALUE(convertNumberStringPointToNumberComma(LEFT(RIGHT(Q714,LEN(Q714)-FIND("x",Q714)-1),LEN(RIGHT(Q714,LEN(Q714)-FIND("x",Q714)-1))-2)))</f>
        <v>58</v>
      </c>
    </row>
    <row r="715" spans="1:19" x14ac:dyDescent="0.25">
      <c r="A715" t="s">
        <v>959</v>
      </c>
      <c r="B715" t="s">
        <v>960</v>
      </c>
      <c r="C715" s="5">
        <f>convertNumberStringPointToNumberComma(IFERROR(LEFT(B715,(FIND("-",B715)-1)),LEFT(B715,FIND("mm",B715)-1)))</f>
        <v>12</v>
      </c>
      <c r="D715" s="5">
        <f>convertNumberStringPointToNumberComma(IFERROR(RIGHT(LEFT(B715,FIND("m",B715)-1),LEN(LEFT(B715,FIND("m",B715)-1))-FIND("-",LEFT(B715,FIND("m",B715)-1))-1),C715))</f>
        <v>12</v>
      </c>
      <c r="E715" t="s">
        <v>2638</v>
      </c>
      <c r="F715" s="9">
        <f>convertNumberStringPointToNumberComma(LEFT(MID(E715,3,9),IFERROR(FIND("-",MID(E715,3,9))-2,3)))</f>
        <v>2</v>
      </c>
      <c r="G715" s="9">
        <f>convertNumberStringPointToNumberComma(RIGHT(E715,IF(ISERROR(FIND(".",RIGHT(E715,3))),1,3)))</f>
        <v>2</v>
      </c>
      <c r="H715" t="s">
        <v>56</v>
      </c>
      <c r="I715" s="5" t="str">
        <f>IF(H715="none",0,LEFT(H715,LEN(H715)-2))</f>
        <v>67</v>
      </c>
      <c r="J715" s="5"/>
      <c r="K715" s="10">
        <f>IF(J715="",0,convertNumberStringPointToNumberComma(LEFT(J715,LEN(J715)-1)))</f>
        <v>0</v>
      </c>
      <c r="M715" t="s">
        <v>2674</v>
      </c>
      <c r="N715" t="s">
        <v>903</v>
      </c>
      <c r="O715" t="s">
        <v>2715</v>
      </c>
      <c r="P715" s="5" t="str">
        <f>LEFT(O715,LEN(O715)-1)</f>
        <v>245</v>
      </c>
      <c r="Q715" t="s">
        <v>3225</v>
      </c>
      <c r="R715" s="52">
        <f>_xlfn.NUMBERVALUE(convertNumberStringPointToNumberComma(LEFT(Q715,FIND("x",Q715)-2)))</f>
        <v>73</v>
      </c>
      <c r="S715" s="52">
        <f>_xlfn.NUMBERVALUE(convertNumberStringPointToNumberComma(LEFT(RIGHT(Q715,LEN(Q715)-FIND("x",Q715)-1),LEN(RIGHT(Q715,LEN(Q715)-FIND("x",Q715)-1))-2)))</f>
        <v>59</v>
      </c>
    </row>
    <row r="716" spans="1:19" x14ac:dyDescent="0.25">
      <c r="A716" t="s">
        <v>1458</v>
      </c>
      <c r="B716" t="s">
        <v>960</v>
      </c>
      <c r="E716" t="s">
        <v>2638</v>
      </c>
      <c r="H716" t="s">
        <v>56</v>
      </c>
      <c r="M716" t="s">
        <v>2674</v>
      </c>
      <c r="N716" t="s">
        <v>903</v>
      </c>
      <c r="O716" t="s">
        <v>2715</v>
      </c>
      <c r="Q716" t="s">
        <v>3225</v>
      </c>
      <c r="R716" s="52">
        <f>_xlfn.NUMBERVALUE(convertNumberStringPointToNumberComma(LEFT(Q716,FIND("x",Q716)-2)))</f>
        <v>73</v>
      </c>
      <c r="S716" s="52">
        <f>_xlfn.NUMBERVALUE(convertNumberStringPointToNumberComma(LEFT(RIGHT(Q716,LEN(Q716)-FIND("x",Q716)-1),LEN(RIGHT(Q716,LEN(Q716)-FIND("x",Q716)-1))-2)))</f>
        <v>59</v>
      </c>
    </row>
    <row r="717" spans="1:19" x14ac:dyDescent="0.25">
      <c r="A717" t="s">
        <v>1461</v>
      </c>
      <c r="B717" t="s">
        <v>960</v>
      </c>
      <c r="E717" t="s">
        <v>2638</v>
      </c>
      <c r="H717" t="s">
        <v>56</v>
      </c>
      <c r="M717" t="s">
        <v>2748</v>
      </c>
      <c r="N717" t="s">
        <v>903</v>
      </c>
      <c r="O717" t="s">
        <v>2787</v>
      </c>
      <c r="Q717" t="s">
        <v>3225</v>
      </c>
      <c r="R717" s="52">
        <f>_xlfn.NUMBERVALUE(convertNumberStringPointToNumberComma(LEFT(Q717,FIND("x",Q717)-2)))</f>
        <v>73</v>
      </c>
      <c r="S717" s="52">
        <f>_xlfn.NUMBERVALUE(convertNumberStringPointToNumberComma(LEFT(RIGHT(Q717,LEN(Q717)-FIND("x",Q717)-1),LEN(RIGHT(Q717,LEN(Q717)-FIND("x",Q717)-1))-2)))</f>
        <v>59</v>
      </c>
    </row>
    <row r="718" spans="1:19" x14ac:dyDescent="0.25">
      <c r="A718" t="s">
        <v>1462</v>
      </c>
      <c r="B718" t="s">
        <v>960</v>
      </c>
      <c r="E718" t="s">
        <v>2638</v>
      </c>
      <c r="H718" t="s">
        <v>56</v>
      </c>
      <c r="M718" t="s">
        <v>2763</v>
      </c>
      <c r="N718" t="s">
        <v>903</v>
      </c>
      <c r="O718" t="s">
        <v>2715</v>
      </c>
      <c r="Q718" t="s">
        <v>3225</v>
      </c>
      <c r="R718" s="52">
        <f>_xlfn.NUMBERVALUE(convertNumberStringPointToNumberComma(LEFT(Q718,FIND("x",Q718)-2)))</f>
        <v>73</v>
      </c>
      <c r="S718" s="52">
        <f>_xlfn.NUMBERVALUE(convertNumberStringPointToNumberComma(LEFT(RIGHT(Q718,LEN(Q718)-FIND("x",Q718)-1),LEN(RIGHT(Q718,LEN(Q718)-FIND("x",Q718)-1))-2)))</f>
        <v>59</v>
      </c>
    </row>
    <row r="719" spans="1:19" x14ac:dyDescent="0.25">
      <c r="A719" t="s">
        <v>1645</v>
      </c>
      <c r="B719" t="s">
        <v>960</v>
      </c>
      <c r="E719" t="s">
        <v>2638</v>
      </c>
      <c r="H719" t="s">
        <v>56</v>
      </c>
      <c r="M719" t="s">
        <v>2763</v>
      </c>
      <c r="N719" t="s">
        <v>903</v>
      </c>
      <c r="O719" t="s">
        <v>2715</v>
      </c>
      <c r="Q719" t="s">
        <v>3225</v>
      </c>
      <c r="R719" s="52">
        <f>_xlfn.NUMBERVALUE(convertNumberStringPointToNumberComma(LEFT(Q719,FIND("x",Q719)-2)))</f>
        <v>73</v>
      </c>
      <c r="S719" s="52">
        <f>_xlfn.NUMBERVALUE(convertNumberStringPointToNumberComma(LEFT(RIGHT(Q719,LEN(Q719)-FIND("x",Q719)-1),LEN(RIGHT(Q719,LEN(Q719)-FIND("x",Q719)-1))-2)))</f>
        <v>59</v>
      </c>
    </row>
    <row r="720" spans="1:19" x14ac:dyDescent="0.25">
      <c r="A720" t="s">
        <v>2153</v>
      </c>
      <c r="B720" t="s">
        <v>592</v>
      </c>
      <c r="E720" t="s">
        <v>2638</v>
      </c>
      <c r="H720" t="s">
        <v>318</v>
      </c>
      <c r="L720" t="s">
        <v>2675</v>
      </c>
      <c r="M720" t="s">
        <v>2682</v>
      </c>
      <c r="N720" t="s">
        <v>903</v>
      </c>
      <c r="O720" t="s">
        <v>681</v>
      </c>
      <c r="Q720" t="s">
        <v>3225</v>
      </c>
      <c r="R720" s="52">
        <f>_xlfn.NUMBERVALUE(convertNumberStringPointToNumberComma(LEFT(Q720,FIND("x",Q720)-2)))</f>
        <v>73</v>
      </c>
      <c r="S720" s="52">
        <f>_xlfn.NUMBERVALUE(convertNumberStringPointToNumberComma(LEFT(RIGHT(Q720,LEN(Q720)-FIND("x",Q720)-1),LEN(RIGHT(Q720,LEN(Q720)-FIND("x",Q720)-1))-2)))</f>
        <v>59</v>
      </c>
    </row>
    <row r="721" spans="1:19" x14ac:dyDescent="0.25">
      <c r="A721" t="s">
        <v>2601</v>
      </c>
      <c r="B721" t="s">
        <v>960</v>
      </c>
      <c r="E721" t="s">
        <v>2638</v>
      </c>
      <c r="H721" t="s">
        <v>56</v>
      </c>
      <c r="M721" t="s">
        <v>2748</v>
      </c>
      <c r="N721" t="s">
        <v>903</v>
      </c>
      <c r="O721" t="s">
        <v>2787</v>
      </c>
      <c r="Q721" t="s">
        <v>3225</v>
      </c>
      <c r="R721" s="52">
        <f>_xlfn.NUMBERVALUE(convertNumberStringPointToNumberComma(LEFT(Q721,FIND("x",Q721)-2)))</f>
        <v>73</v>
      </c>
      <c r="S721" s="52">
        <f>_xlfn.NUMBERVALUE(convertNumberStringPointToNumberComma(LEFT(RIGHT(Q721,LEN(Q721)-FIND("x",Q721)-1),LEN(RIGHT(Q721,LEN(Q721)-FIND("x",Q721)-1))-2)))</f>
        <v>59</v>
      </c>
    </row>
    <row r="722" spans="1:19" x14ac:dyDescent="0.25">
      <c r="A722" t="s">
        <v>2585</v>
      </c>
      <c r="B722" t="s">
        <v>741</v>
      </c>
      <c r="E722" t="s">
        <v>2632</v>
      </c>
      <c r="H722" t="s">
        <v>318</v>
      </c>
      <c r="L722" t="s">
        <v>2707</v>
      </c>
      <c r="M722" t="s">
        <v>2708</v>
      </c>
      <c r="N722" t="s">
        <v>903</v>
      </c>
      <c r="O722" t="s">
        <v>719</v>
      </c>
      <c r="Q722" t="s">
        <v>4055</v>
      </c>
      <c r="R722" s="52">
        <f>_xlfn.NUMBERVALUE(convertNumberStringPointToNumberComma(LEFT(Q722,FIND("x",Q722)-2)))</f>
        <v>73</v>
      </c>
      <c r="S722" s="52">
        <f>_xlfn.NUMBERVALUE(convertNumberStringPointToNumberComma(LEFT(RIGHT(Q722,LEN(Q722)-FIND("x",Q722)-1),LEN(RIGHT(Q722,LEN(Q722)-FIND("x",Q722)-1))-2)))</f>
        <v>69.8</v>
      </c>
    </row>
    <row r="723" spans="1:19" x14ac:dyDescent="0.25">
      <c r="A723" t="s">
        <v>1984</v>
      </c>
      <c r="B723" t="s">
        <v>1560</v>
      </c>
      <c r="E723" t="s">
        <v>2648</v>
      </c>
      <c r="H723" t="s">
        <v>84</v>
      </c>
      <c r="L723" t="s">
        <v>2822</v>
      </c>
      <c r="M723" t="s">
        <v>2748</v>
      </c>
      <c r="N723" t="s">
        <v>903</v>
      </c>
      <c r="O723" t="s">
        <v>321</v>
      </c>
      <c r="Q723" t="s">
        <v>389</v>
      </c>
      <c r="R723" s="52">
        <f>_xlfn.NUMBERVALUE(convertNumberStringPointToNumberComma(LEFT(Q723,FIND("x",Q723)-2)))</f>
        <v>73</v>
      </c>
      <c r="S723" s="52">
        <f>_xlfn.NUMBERVALUE(convertNumberStringPointToNumberComma(LEFT(RIGHT(Q723,LEN(Q723)-FIND("x",Q723)-1),LEN(RIGHT(Q723,LEN(Q723)-FIND("x",Q723)-1))-2)))</f>
        <v>70</v>
      </c>
    </row>
    <row r="724" spans="1:19" x14ac:dyDescent="0.25">
      <c r="A724" t="s">
        <v>2549</v>
      </c>
      <c r="B724" t="s">
        <v>1560</v>
      </c>
      <c r="E724" t="s">
        <v>2648</v>
      </c>
      <c r="H724" t="s">
        <v>84</v>
      </c>
      <c r="L724" t="s">
        <v>2822</v>
      </c>
      <c r="M724" t="s">
        <v>2748</v>
      </c>
      <c r="N724" t="s">
        <v>903</v>
      </c>
      <c r="O724" t="s">
        <v>321</v>
      </c>
      <c r="Q724" t="s">
        <v>389</v>
      </c>
      <c r="R724" s="52">
        <f>_xlfn.NUMBERVALUE(convertNumberStringPointToNumberComma(LEFT(Q724,FIND("x",Q724)-2)))</f>
        <v>73</v>
      </c>
      <c r="S724" s="52">
        <f>_xlfn.NUMBERVALUE(convertNumberStringPointToNumberComma(LEFT(RIGHT(Q724,LEN(Q724)-FIND("x",Q724)-1),LEN(RIGHT(Q724,LEN(Q724)-FIND("x",Q724)-1))-2)))</f>
        <v>70</v>
      </c>
    </row>
    <row r="725" spans="1:19" x14ac:dyDescent="0.25">
      <c r="B725" t="s">
        <v>678</v>
      </c>
      <c r="E725" t="s">
        <v>2663</v>
      </c>
      <c r="H725" t="s">
        <v>741</v>
      </c>
      <c r="L725" t="s">
        <v>2967</v>
      </c>
      <c r="M725" t="s">
        <v>2818</v>
      </c>
      <c r="N725" t="s">
        <v>913</v>
      </c>
      <c r="O725" t="s">
        <v>486</v>
      </c>
      <c r="Q725" t="s">
        <v>3609</v>
      </c>
      <c r="R725" s="52">
        <f>_xlfn.NUMBERVALUE(convertNumberStringPointToNumberComma(LEFT(Q725,FIND("x",Q725)-2)))</f>
        <v>73</v>
      </c>
      <c r="S725" s="52">
        <f>_xlfn.NUMBERVALUE(convertNumberStringPointToNumberComma(LEFT(RIGHT(Q725,LEN(Q725)-FIND("x",Q725)-1),LEN(RIGHT(Q725,LEN(Q725)-FIND("x",Q725)-1))-2)))</f>
        <v>75.099999999999994</v>
      </c>
    </row>
    <row r="726" spans="1:19" x14ac:dyDescent="0.25">
      <c r="B726" t="s">
        <v>678</v>
      </c>
      <c r="E726" t="s">
        <v>2663</v>
      </c>
      <c r="H726" t="s">
        <v>741</v>
      </c>
      <c r="L726" t="s">
        <v>2967</v>
      </c>
      <c r="M726" t="s">
        <v>2818</v>
      </c>
      <c r="N726" t="s">
        <v>913</v>
      </c>
      <c r="O726" t="s">
        <v>486</v>
      </c>
      <c r="Q726" t="s">
        <v>3609</v>
      </c>
      <c r="R726" s="52">
        <f>_xlfn.NUMBERVALUE(convertNumberStringPointToNumberComma(LEFT(Q726,FIND("x",Q726)-2)))</f>
        <v>73</v>
      </c>
      <c r="S726" s="52">
        <f>_xlfn.NUMBERVALUE(convertNumberStringPointToNumberComma(LEFT(RIGHT(Q726,LEN(Q726)-FIND("x",Q726)-1),LEN(RIGHT(Q726,LEN(Q726)-FIND("x",Q726)-1))-2)))</f>
        <v>75.099999999999994</v>
      </c>
    </row>
    <row r="727" spans="1:19" x14ac:dyDescent="0.25">
      <c r="A727" t="s">
        <v>2318</v>
      </c>
      <c r="B727" t="s">
        <v>2319</v>
      </c>
      <c r="E727" t="s">
        <v>2645</v>
      </c>
      <c r="H727" t="s">
        <v>56</v>
      </c>
      <c r="L727" t="s">
        <v>3118</v>
      </c>
      <c r="M727" t="s">
        <v>3066</v>
      </c>
      <c r="N727" t="s">
        <v>903</v>
      </c>
      <c r="O727" t="s">
        <v>3119</v>
      </c>
      <c r="Q727" t="s">
        <v>3909</v>
      </c>
      <c r="R727" s="52">
        <f>_xlfn.NUMBERVALUE(convertNumberStringPointToNumberComma(LEFT(Q727,FIND("x",Q727)-2)))</f>
        <v>73</v>
      </c>
      <c r="S727" s="52">
        <f>_xlfn.NUMBERVALUE(convertNumberStringPointToNumberComma(LEFT(RIGHT(Q727,LEN(Q727)-FIND("x",Q727)-1),LEN(RIGHT(Q727,LEN(Q727)-FIND("x",Q727)-1))-2)))</f>
        <v>77</v>
      </c>
    </row>
    <row r="728" spans="1:19" x14ac:dyDescent="0.25">
      <c r="A728" t="s">
        <v>1231</v>
      </c>
      <c r="B728" t="s">
        <v>1232</v>
      </c>
      <c r="C728" s="5">
        <f>convertNumberStringPointToNumberComma(IFERROR(LEFT(B728,(FIND("-",B728)-1)),LEFT(B728,FIND("mm",B728)-1)))</f>
        <v>9</v>
      </c>
      <c r="D728" s="5">
        <f>convertNumberStringPointToNumberComma(IFERROR(RIGHT(LEFT(B728,FIND("m",B728)-1),LEN(LEFT(B728,FIND("m",B728)-1))-FIND("-",LEFT(B728,FIND("m",B728)-1))-1),C728))</f>
        <v>8</v>
      </c>
      <c r="E728" t="s">
        <v>2634</v>
      </c>
      <c r="F728" s="9">
        <f>convertNumberStringPointToNumberComma(LEFT(MID(E728,3,9),IFERROR(FIND("-",MID(E728,3,9))-2,3)))</f>
        <v>4</v>
      </c>
      <c r="G728" s="9">
        <f>convertNumberStringPointToNumberComma(RIGHT(E728,IF(ISERROR(FIND(".",RIGHT(E728,3))),1,3)))</f>
        <v>5.6</v>
      </c>
      <c r="H728" t="s">
        <v>15</v>
      </c>
      <c r="I728" s="5" t="str">
        <f>IF(H728="none",0,LEFT(H728,LEN(H728)-2))</f>
        <v>72</v>
      </c>
      <c r="J728" s="5" t="s">
        <v>251</v>
      </c>
      <c r="K728" s="10">
        <f>IF(J728="",0,convertNumberStringPointToNumberComma(LEFT(J728,LEN(J728)-1)))</f>
        <v>0.22</v>
      </c>
      <c r="L728" t="s">
        <v>2753</v>
      </c>
      <c r="M728" t="s">
        <v>2681</v>
      </c>
      <c r="N728" t="s">
        <v>2681</v>
      </c>
      <c r="O728" t="s">
        <v>632</v>
      </c>
      <c r="P728" s="5" t="str">
        <f>LEFT(O728,LEN(O728)-1)</f>
        <v>280</v>
      </c>
      <c r="Q728" t="s">
        <v>3378</v>
      </c>
      <c r="R728" s="52">
        <f>_xlfn.NUMBERVALUE(convertNumberStringPointToNumberComma(LEFT(Q728,FIND("x",Q728)-2)))</f>
        <v>73</v>
      </c>
      <c r="S728" s="52">
        <f>_xlfn.NUMBERVALUE(convertNumberStringPointToNumberComma(LEFT(RIGHT(Q728,LEN(Q728)-FIND("x",Q728)-1),LEN(RIGHT(Q728,LEN(Q728)-FIND("x",Q728)-1))-2)))</f>
        <v>79.5</v>
      </c>
    </row>
    <row r="729" spans="1:19" x14ac:dyDescent="0.25">
      <c r="A729" t="s">
        <v>1297</v>
      </c>
      <c r="B729" t="s">
        <v>552</v>
      </c>
      <c r="E729" t="s">
        <v>2635</v>
      </c>
      <c r="H729" t="s">
        <v>56</v>
      </c>
      <c r="L729" t="s">
        <v>2832</v>
      </c>
      <c r="M729" t="s">
        <v>8</v>
      </c>
      <c r="N729" t="s">
        <v>913</v>
      </c>
      <c r="O729" t="s">
        <v>223</v>
      </c>
      <c r="Q729" t="s">
        <v>3417</v>
      </c>
      <c r="R729" s="52">
        <f>_xlfn.NUMBERVALUE(convertNumberStringPointToNumberComma(LEFT(Q729,FIND("x",Q729)-2)))</f>
        <v>73</v>
      </c>
      <c r="S729" s="52">
        <f>_xlfn.NUMBERVALUE(convertNumberStringPointToNumberComma(LEFT(RIGHT(Q729,LEN(Q729)-FIND("x",Q729)-1),LEN(RIGHT(Q729,LEN(Q729)-FIND("x",Q729)-1))-2)))</f>
        <v>80.5</v>
      </c>
    </row>
    <row r="730" spans="1:19" x14ac:dyDescent="0.25">
      <c r="A730" t="s">
        <v>1274</v>
      </c>
      <c r="B730" t="s">
        <v>741</v>
      </c>
      <c r="E730" t="s">
        <v>2638</v>
      </c>
      <c r="H730" t="s">
        <v>62</v>
      </c>
      <c r="L730" t="s">
        <v>2707</v>
      </c>
      <c r="M730" t="s">
        <v>2708</v>
      </c>
      <c r="N730" t="s">
        <v>903</v>
      </c>
      <c r="O730" t="s">
        <v>330</v>
      </c>
      <c r="Q730" t="s">
        <v>747</v>
      </c>
      <c r="R730" s="52">
        <f>_xlfn.NUMBERVALUE(convertNumberStringPointToNumberComma(LEFT(Q730,FIND("x",Q730)-2)))</f>
        <v>73</v>
      </c>
      <c r="S730" s="52">
        <f>_xlfn.NUMBERVALUE(convertNumberStringPointToNumberComma(LEFT(RIGHT(Q730,LEN(Q730)-FIND("x",Q730)-1),LEN(RIGHT(Q730,LEN(Q730)-FIND("x",Q730)-1))-2)))</f>
        <v>80</v>
      </c>
    </row>
    <row r="731" spans="1:19" x14ac:dyDescent="0.25">
      <c r="A731" t="s">
        <v>1275</v>
      </c>
      <c r="B731" t="s">
        <v>741</v>
      </c>
      <c r="E731" t="s">
        <v>2638</v>
      </c>
      <c r="H731" t="s">
        <v>62</v>
      </c>
      <c r="L731" t="s">
        <v>2707</v>
      </c>
      <c r="M731" t="s">
        <v>2757</v>
      </c>
      <c r="N731" t="s">
        <v>903</v>
      </c>
      <c r="O731" t="s">
        <v>330</v>
      </c>
      <c r="Q731" t="s">
        <v>747</v>
      </c>
      <c r="R731" s="52">
        <f>_xlfn.NUMBERVALUE(convertNumberStringPointToNumberComma(LEFT(Q731,FIND("x",Q731)-2)))</f>
        <v>73</v>
      </c>
      <c r="S731" s="52">
        <f>_xlfn.NUMBERVALUE(convertNumberStringPointToNumberComma(LEFT(RIGHT(Q731,LEN(Q731)-FIND("x",Q731)-1),LEN(RIGHT(Q731,LEN(Q731)-FIND("x",Q731)-1))-2)))</f>
        <v>80</v>
      </c>
    </row>
    <row r="732" spans="1:19" x14ac:dyDescent="0.25">
      <c r="A732" t="s">
        <v>2569</v>
      </c>
      <c r="B732" t="s">
        <v>741</v>
      </c>
      <c r="E732" t="s">
        <v>2638</v>
      </c>
      <c r="H732" t="s">
        <v>62</v>
      </c>
      <c r="L732" t="s">
        <v>2707</v>
      </c>
      <c r="M732" t="s">
        <v>8</v>
      </c>
      <c r="N732" t="s">
        <v>903</v>
      </c>
      <c r="O732" t="s">
        <v>330</v>
      </c>
      <c r="Q732" t="s">
        <v>747</v>
      </c>
      <c r="R732" s="52">
        <f>_xlfn.NUMBERVALUE(convertNumberStringPointToNumberComma(LEFT(Q732,FIND("x",Q732)-2)))</f>
        <v>73</v>
      </c>
      <c r="S732" s="52">
        <f>_xlfn.NUMBERVALUE(convertNumberStringPointToNumberComma(LEFT(RIGHT(Q732,LEN(Q732)-FIND("x",Q732)-1),LEN(RIGHT(Q732,LEN(Q732)-FIND("x",Q732)-1))-2)))</f>
        <v>80</v>
      </c>
    </row>
    <row r="733" spans="1:19" x14ac:dyDescent="0.25">
      <c r="A733" t="s">
        <v>1323</v>
      </c>
      <c r="B733" t="s">
        <v>1044</v>
      </c>
      <c r="E733" t="s">
        <v>2644</v>
      </c>
      <c r="H733" t="s">
        <v>84</v>
      </c>
      <c r="L733" t="s">
        <v>2816</v>
      </c>
      <c r="M733" t="s">
        <v>2682</v>
      </c>
      <c r="N733" t="s">
        <v>913</v>
      </c>
      <c r="O733" t="s">
        <v>303</v>
      </c>
      <c r="Q733" t="s">
        <v>3433</v>
      </c>
      <c r="R733" s="52">
        <f>_xlfn.NUMBERVALUE(convertNumberStringPointToNumberComma(LEFT(Q733,FIND("x",Q733)-2)))</f>
        <v>73</v>
      </c>
      <c r="S733" s="52">
        <f>_xlfn.NUMBERVALUE(convertNumberStringPointToNumberComma(LEFT(RIGHT(Q733,LEN(Q733)-FIND("x",Q733)-1),LEN(RIGHT(Q733,LEN(Q733)-FIND("x",Q733)-1))-2)))</f>
        <v>83.7</v>
      </c>
    </row>
    <row r="734" spans="1:19" x14ac:dyDescent="0.25">
      <c r="A734" t="s">
        <v>1613</v>
      </c>
      <c r="B734" t="s">
        <v>1044</v>
      </c>
      <c r="E734" t="s">
        <v>2644</v>
      </c>
      <c r="H734" t="s">
        <v>84</v>
      </c>
      <c r="L734" t="s">
        <v>2816</v>
      </c>
      <c r="M734" t="s">
        <v>2757</v>
      </c>
      <c r="N734" t="s">
        <v>913</v>
      </c>
      <c r="O734" t="s">
        <v>303</v>
      </c>
      <c r="Q734" t="s">
        <v>3433</v>
      </c>
      <c r="R734" s="52">
        <f>_xlfn.NUMBERVALUE(convertNumberStringPointToNumberComma(LEFT(Q734,FIND("x",Q734)-2)))</f>
        <v>73</v>
      </c>
      <c r="S734" s="52">
        <f>_xlfn.NUMBERVALUE(convertNumberStringPointToNumberComma(LEFT(RIGHT(Q734,LEN(Q734)-FIND("x",Q734)-1),LEN(RIGHT(Q734,LEN(Q734)-FIND("x",Q734)-1))-2)))</f>
        <v>83.7</v>
      </c>
    </row>
    <row r="735" spans="1:19" x14ac:dyDescent="0.25">
      <c r="A735" t="s">
        <v>2625</v>
      </c>
      <c r="B735" t="s">
        <v>2093</v>
      </c>
      <c r="E735" t="s">
        <v>2639</v>
      </c>
      <c r="H735" t="s">
        <v>84</v>
      </c>
      <c r="L735" t="s">
        <v>2832</v>
      </c>
      <c r="M735" t="s">
        <v>2802</v>
      </c>
      <c r="N735" t="s">
        <v>913</v>
      </c>
      <c r="O735" t="s">
        <v>37</v>
      </c>
      <c r="Q735" t="s">
        <v>4074</v>
      </c>
      <c r="R735" s="52">
        <f>_xlfn.NUMBERVALUE(convertNumberStringPointToNumberComma(LEFT(Q735,FIND("x",Q735)-2)))</f>
        <v>73</v>
      </c>
      <c r="S735" s="52">
        <f>_xlfn.NUMBERVALUE(convertNumberStringPointToNumberComma(LEFT(RIGHT(Q735,LEN(Q735)-FIND("x",Q735)-1),LEN(RIGHT(Q735,LEN(Q735)-FIND("x",Q735)-1))-2)))</f>
        <v>86.5</v>
      </c>
    </row>
    <row r="736" spans="1:19" x14ac:dyDescent="0.25">
      <c r="A736" t="s">
        <v>1541</v>
      </c>
      <c r="B736" t="s">
        <v>1001</v>
      </c>
      <c r="E736" t="s">
        <v>2644</v>
      </c>
      <c r="H736" t="s">
        <v>84</v>
      </c>
      <c r="L736" t="s">
        <v>2725</v>
      </c>
      <c r="M736" t="s">
        <v>2757</v>
      </c>
      <c r="N736" t="s">
        <v>903</v>
      </c>
      <c r="O736" t="s">
        <v>321</v>
      </c>
      <c r="Q736" t="s">
        <v>3543</v>
      </c>
      <c r="R736" s="52">
        <f>_xlfn.NUMBERVALUE(convertNumberStringPointToNumberComma(LEFT(Q736,FIND("x",Q736)-2)))</f>
        <v>73</v>
      </c>
      <c r="S736" s="52">
        <f>_xlfn.NUMBERVALUE(convertNumberStringPointToNumberComma(LEFT(RIGHT(Q736,LEN(Q736)-FIND("x",Q736)-1),LEN(RIGHT(Q736,LEN(Q736)-FIND("x",Q736)-1))-2)))</f>
        <v>86</v>
      </c>
    </row>
    <row r="737" spans="1:19" x14ac:dyDescent="0.25">
      <c r="A737" t="s">
        <v>2546</v>
      </c>
      <c r="B737" t="s">
        <v>741</v>
      </c>
      <c r="E737" t="s">
        <v>2632</v>
      </c>
      <c r="H737" t="s">
        <v>84</v>
      </c>
      <c r="L737" t="s">
        <v>2707</v>
      </c>
      <c r="M737" t="s">
        <v>8</v>
      </c>
      <c r="N737" t="s">
        <v>913</v>
      </c>
      <c r="O737" t="s">
        <v>744</v>
      </c>
      <c r="Q737" t="s">
        <v>745</v>
      </c>
      <c r="R737" s="52">
        <f>_xlfn.NUMBERVALUE(convertNumberStringPointToNumberComma(LEFT(Q737,FIND("x",Q737)-2)))</f>
        <v>73</v>
      </c>
      <c r="S737" s="52">
        <f>_xlfn.NUMBERVALUE(convertNumberStringPointToNumberComma(LEFT(RIGHT(Q737,LEN(Q737)-FIND("x",Q737)-1),LEN(RIGHT(Q737,LEN(Q737)-FIND("x",Q737)-1))-2)))</f>
        <v>89</v>
      </c>
    </row>
    <row r="738" spans="1:19" x14ac:dyDescent="0.25">
      <c r="A738" t="s">
        <v>1141</v>
      </c>
      <c r="B738" t="s">
        <v>1142</v>
      </c>
      <c r="C738" s="5">
        <f>convertNumberStringPointToNumberComma(IFERROR(LEFT(B738,(FIND("-",B738)-1)),LEFT(B738,FIND("mm",B738)-1)))</f>
        <v>28</v>
      </c>
      <c r="D738" s="5">
        <f>convertNumberStringPointToNumberComma(IFERROR(RIGHT(LEFT(B738,FIND("m",B738)-1),LEN(LEFT(B738,FIND("m",B738)-1))-FIND("-",LEFT(B738,FIND("m",B738)-1))-1),C738))</f>
        <v>5</v>
      </c>
      <c r="E738" t="s">
        <v>2632</v>
      </c>
      <c r="F738" s="9">
        <f>convertNumberStringPointToNumberComma(LEFT(MID(E738,3,9),IFERROR(FIND("-",MID(E738,3,9))-2,3)))</f>
        <v>2.8</v>
      </c>
      <c r="G738" s="9">
        <f>convertNumberStringPointToNumberComma(RIGHT(E738,IF(ISERROR(FIND(".",RIGHT(E738,3))),1,3)))</f>
        <v>2.8</v>
      </c>
      <c r="H738" t="s">
        <v>56</v>
      </c>
      <c r="I738" s="5" t="str">
        <f>IF(H738="none",0,LEFT(H738,LEN(H738)-2))</f>
        <v>67</v>
      </c>
      <c r="J738" s="5" t="s">
        <v>251</v>
      </c>
      <c r="K738" s="10">
        <f>IF(J738="",0,convertNumberStringPointToNumberComma(LEFT(J738,LEN(J738)-1)))</f>
        <v>0.22</v>
      </c>
      <c r="L738" t="s">
        <v>2806</v>
      </c>
      <c r="M738" t="s">
        <v>8</v>
      </c>
      <c r="N738" t="s">
        <v>913</v>
      </c>
      <c r="O738" t="s">
        <v>549</v>
      </c>
      <c r="P738" s="5" t="str">
        <f>LEFT(O738,LEN(O738)-1)</f>
        <v>510</v>
      </c>
      <c r="Q738" t="s">
        <v>550</v>
      </c>
      <c r="R738" s="52">
        <f>_xlfn.NUMBERVALUE(convertNumberStringPointToNumberComma(LEFT(Q738,FIND("x",Q738)-2)))</f>
        <v>73</v>
      </c>
      <c r="S738" s="52">
        <f>_xlfn.NUMBERVALUE(convertNumberStringPointToNumberComma(LEFT(RIGHT(Q738,LEN(Q738)-FIND("x",Q738)-1),LEN(RIGHT(Q738,LEN(Q738)-FIND("x",Q738)-1))-2)))</f>
        <v>92</v>
      </c>
    </row>
    <row r="739" spans="1:19" x14ac:dyDescent="0.25">
      <c r="A739" t="s">
        <v>1172</v>
      </c>
      <c r="B739" t="s">
        <v>1142</v>
      </c>
      <c r="C739" s="5">
        <f>convertNumberStringPointToNumberComma(IFERROR(LEFT(B739,(FIND("-",B739)-1)),LEFT(B739,FIND("mm",B739)-1)))</f>
        <v>28</v>
      </c>
      <c r="D739" s="5">
        <f>convertNumberStringPointToNumberComma(IFERROR(RIGHT(LEFT(B739,FIND("m",B739)-1),LEN(LEFT(B739,FIND("m",B739)-1))-FIND("-",LEFT(B739,FIND("m",B739)-1))-1),C739))</f>
        <v>5</v>
      </c>
      <c r="E739" t="s">
        <v>2632</v>
      </c>
      <c r="F739" s="9">
        <f>convertNumberStringPointToNumberComma(LEFT(MID(E739,3,9),IFERROR(FIND("-",MID(E739,3,9))-2,3)))</f>
        <v>2.8</v>
      </c>
      <c r="G739" s="9">
        <f>convertNumberStringPointToNumberComma(RIGHT(E739,IF(ISERROR(FIND(".",RIGHT(E739,3))),1,3)))</f>
        <v>2.8</v>
      </c>
      <c r="H739" t="s">
        <v>56</v>
      </c>
      <c r="I739" s="5" t="str">
        <f>IF(H739="none",0,LEFT(H739,LEN(H739)-2))</f>
        <v>67</v>
      </c>
      <c r="J739" s="5" t="s">
        <v>144</v>
      </c>
      <c r="K739" s="10">
        <f>IF(J739="",0,convertNumberStringPointToNumberComma(LEFT(J739,LEN(J739)-1)))</f>
        <v>0.24</v>
      </c>
      <c r="L739" t="s">
        <v>2806</v>
      </c>
      <c r="M739" t="s">
        <v>2757</v>
      </c>
      <c r="N739" t="s">
        <v>913</v>
      </c>
      <c r="O739" t="s">
        <v>549</v>
      </c>
      <c r="P739" s="5" t="str">
        <f>LEFT(O739,LEN(O739)-1)</f>
        <v>510</v>
      </c>
      <c r="Q739" t="s">
        <v>550</v>
      </c>
      <c r="R739" s="52">
        <f>_xlfn.NUMBERVALUE(convertNumberStringPointToNumberComma(LEFT(Q739,FIND("x",Q739)-2)))</f>
        <v>73</v>
      </c>
      <c r="S739" s="52">
        <f>_xlfn.NUMBERVALUE(convertNumberStringPointToNumberComma(LEFT(RIGHT(Q739,LEN(Q739)-FIND("x",Q739)-1),LEN(RIGHT(Q739,LEN(Q739)-FIND("x",Q739)-1))-2)))</f>
        <v>92</v>
      </c>
    </row>
    <row r="740" spans="1:19" x14ac:dyDescent="0.25">
      <c r="A740" t="s">
        <v>1173</v>
      </c>
      <c r="B740" t="s">
        <v>1142</v>
      </c>
      <c r="C740" s="5">
        <f>convertNumberStringPointToNumberComma(IFERROR(LEFT(B740,(FIND("-",B740)-1)),LEFT(B740,FIND("mm",B740)-1)))</f>
        <v>28</v>
      </c>
      <c r="D740" s="5">
        <f>convertNumberStringPointToNumberComma(IFERROR(RIGHT(LEFT(B740,FIND("m",B740)-1),LEN(LEFT(B740,FIND("m",B740)-1))-FIND("-",LEFT(B740,FIND("m",B740)-1))-1),C740))</f>
        <v>5</v>
      </c>
      <c r="E740" t="s">
        <v>2632</v>
      </c>
      <c r="F740" s="9">
        <f>convertNumberStringPointToNumberComma(LEFT(MID(E740,3,9),IFERROR(FIND("-",MID(E740,3,9))-2,3)))</f>
        <v>2.8</v>
      </c>
      <c r="G740" s="9">
        <f>convertNumberStringPointToNumberComma(RIGHT(E740,IF(ISERROR(FIND(".",RIGHT(E740,3))),1,3)))</f>
        <v>2.8</v>
      </c>
      <c r="H740" t="s">
        <v>56</v>
      </c>
      <c r="I740" s="5" t="str">
        <f>IF(H740="none",0,LEFT(H740,LEN(H740)-2))</f>
        <v>67</v>
      </c>
      <c r="J740" s="5" t="s">
        <v>40</v>
      </c>
      <c r="K740" s="10">
        <f>IF(J740="",0,convertNumberStringPointToNumberComma(LEFT(J740,LEN(J740)-1)))</f>
        <v>0.2</v>
      </c>
      <c r="L740" t="s">
        <v>2806</v>
      </c>
      <c r="M740" t="s">
        <v>2802</v>
      </c>
      <c r="N740" t="s">
        <v>913</v>
      </c>
      <c r="O740" t="s">
        <v>549</v>
      </c>
      <c r="P740" s="5" t="str">
        <f>LEFT(O740,LEN(O740)-1)</f>
        <v>510</v>
      </c>
      <c r="Q740" t="s">
        <v>550</v>
      </c>
      <c r="R740" s="52">
        <f>_xlfn.NUMBERVALUE(convertNumberStringPointToNumberComma(LEFT(Q740,FIND("x",Q740)-2)))</f>
        <v>73</v>
      </c>
      <c r="S740" s="52">
        <f>_xlfn.NUMBERVALUE(convertNumberStringPointToNumberComma(LEFT(RIGHT(Q740,LEN(Q740)-FIND("x",Q740)-1),LEN(RIGHT(Q740,LEN(Q740)-FIND("x",Q740)-1))-2)))</f>
        <v>92</v>
      </c>
    </row>
    <row r="741" spans="1:19" x14ac:dyDescent="0.25">
      <c r="A741" t="s">
        <v>2540</v>
      </c>
      <c r="B741" t="s">
        <v>1142</v>
      </c>
      <c r="E741" t="s">
        <v>2632</v>
      </c>
      <c r="H741" t="s">
        <v>56</v>
      </c>
      <c r="L741" t="s">
        <v>2806</v>
      </c>
      <c r="M741" t="s">
        <v>2682</v>
      </c>
      <c r="N741" t="s">
        <v>913</v>
      </c>
      <c r="O741" t="s">
        <v>549</v>
      </c>
      <c r="Q741" t="s">
        <v>550</v>
      </c>
      <c r="R741" s="52">
        <f>_xlfn.NUMBERVALUE(convertNumberStringPointToNumberComma(LEFT(Q741,FIND("x",Q741)-2)))</f>
        <v>73</v>
      </c>
      <c r="S741" s="52">
        <f>_xlfn.NUMBERVALUE(convertNumberStringPointToNumberComma(LEFT(RIGHT(Q741,LEN(Q741)-FIND("x",Q741)-1),LEN(RIGHT(Q741,LEN(Q741)-FIND("x",Q741)-1))-2)))</f>
        <v>92</v>
      </c>
    </row>
    <row r="742" spans="1:19" x14ac:dyDescent="0.25">
      <c r="A742" t="s">
        <v>937</v>
      </c>
      <c r="B742" t="s">
        <v>919</v>
      </c>
      <c r="C742" s="5">
        <f>convertNumberStringPointToNumberComma(IFERROR(LEFT(B742,(FIND("-",B742)-1)),LEFT(B742,FIND("mm",B742)-1)))</f>
        <v>24</v>
      </c>
      <c r="D742" s="5">
        <f>convertNumberStringPointToNumberComma(IFERROR(RIGHT(LEFT(B742,FIND("m",B742)-1),LEN(LEFT(B742,FIND("m",B742)-1))-FIND("-",LEFT(B742,FIND("m",B742)-1))-1),C742))</f>
        <v>0</v>
      </c>
      <c r="E742" t="s">
        <v>2633</v>
      </c>
      <c r="F742" s="9">
        <f>convertNumberStringPointToNumberComma(LEFT(MID(E742,3,9),IFERROR(FIND("-",MID(E742,3,9))-2,3)))</f>
        <v>4</v>
      </c>
      <c r="G742" s="9">
        <f>convertNumberStringPointToNumberComma(RIGHT(E742,IF(ISERROR(FIND(".",RIGHT(E742,3))),1,3)))</f>
        <v>4</v>
      </c>
      <c r="H742" t="s">
        <v>56</v>
      </c>
      <c r="I742" s="5" t="str">
        <f>IF(H742="none",0,LEFT(H742,LEN(H742)-2))</f>
        <v>67</v>
      </c>
      <c r="J742" s="5" t="s">
        <v>40</v>
      </c>
      <c r="K742" s="10">
        <f>IF(J742="",0,convertNumberStringPointToNumberComma(LEFT(J742,LEN(J742)-1)))</f>
        <v>0.2</v>
      </c>
      <c r="L742" t="s">
        <v>2698</v>
      </c>
      <c r="M742" t="s">
        <v>2674</v>
      </c>
      <c r="N742" t="s">
        <v>913</v>
      </c>
      <c r="O742" t="s">
        <v>2699</v>
      </c>
      <c r="P742" s="5" t="str">
        <f>LEFT(O742,LEN(O742)-1)</f>
        <v>426</v>
      </c>
      <c r="Q742" t="s">
        <v>3211</v>
      </c>
      <c r="R742" s="52">
        <f>_xlfn.NUMBERVALUE(convertNumberStringPointToNumberComma(LEFT(Q742,FIND("x",Q742)-2)))</f>
        <v>73</v>
      </c>
      <c r="S742" s="52">
        <f>_xlfn.NUMBERVALUE(convertNumberStringPointToNumberComma(LEFT(RIGHT(Q742,LEN(Q742)-FIND("x",Q742)-1),LEN(RIGHT(Q742,LEN(Q742)-FIND("x",Q742)-1))-2)))</f>
        <v>94.5</v>
      </c>
    </row>
    <row r="743" spans="1:19" x14ac:dyDescent="0.25">
      <c r="A743" t="s">
        <v>1283</v>
      </c>
      <c r="B743" t="s">
        <v>61</v>
      </c>
      <c r="E743" t="s">
        <v>2632</v>
      </c>
      <c r="H743" t="s">
        <v>62</v>
      </c>
      <c r="L743" t="s">
        <v>2707</v>
      </c>
      <c r="M743" t="s">
        <v>2682</v>
      </c>
      <c r="N743" t="s">
        <v>913</v>
      </c>
      <c r="O743" t="s">
        <v>64</v>
      </c>
      <c r="Q743" t="s">
        <v>3410</v>
      </c>
      <c r="R743" s="52">
        <f>_xlfn.NUMBERVALUE(convertNumberStringPointToNumberComma(LEFT(Q743,FIND("x",Q743)-2)))</f>
        <v>73</v>
      </c>
      <c r="S743" s="52">
        <f>_xlfn.NUMBERVALUE(convertNumberStringPointToNumberComma(LEFT(RIGHT(Q743,LEN(Q743)-FIND("x",Q743)-1),LEN(RIGHT(Q743,LEN(Q743)-FIND("x",Q743)-1))-2)))</f>
        <v>95.1</v>
      </c>
    </row>
    <row r="744" spans="1:19" x14ac:dyDescent="0.25">
      <c r="A744" t="s">
        <v>2571</v>
      </c>
      <c r="B744" t="s">
        <v>61</v>
      </c>
      <c r="E744" t="s">
        <v>2632</v>
      </c>
      <c r="H744" t="s">
        <v>62</v>
      </c>
      <c r="L744" t="s">
        <v>2707</v>
      </c>
      <c r="M744" t="s">
        <v>8</v>
      </c>
      <c r="N744" t="s">
        <v>913</v>
      </c>
      <c r="O744" t="s">
        <v>64</v>
      </c>
      <c r="Q744" t="s">
        <v>3410</v>
      </c>
      <c r="R744" s="52">
        <f>_xlfn.NUMBERVALUE(convertNumberStringPointToNumberComma(LEFT(Q744,FIND("x",Q744)-2)))</f>
        <v>73</v>
      </c>
      <c r="S744" s="52">
        <f>_xlfn.NUMBERVALUE(convertNumberStringPointToNumberComma(LEFT(RIGHT(Q744,LEN(Q744)-FIND("x",Q744)-1),LEN(RIGHT(Q744,LEN(Q744)-FIND("x",Q744)-1))-2)))</f>
        <v>95.1</v>
      </c>
    </row>
    <row r="745" spans="1:19" x14ac:dyDescent="0.25">
      <c r="A745" t="s">
        <v>1204</v>
      </c>
      <c r="B745" t="s">
        <v>822</v>
      </c>
      <c r="C745" s="5">
        <f>convertNumberStringPointToNumberComma(IFERROR(LEFT(B745,(FIND("-",B745)-1)),LEFT(B745,FIND("mm",B745)-1)))</f>
        <v>85</v>
      </c>
      <c r="D745" s="5">
        <f>convertNumberStringPointToNumberComma(IFERROR(RIGHT(LEFT(B745,FIND("m",B745)-1),LEN(LEFT(B745,FIND("m",B745)-1))-FIND("-",LEFT(B745,FIND("m",B745)-1))-1),C745))</f>
        <v>85</v>
      </c>
      <c r="E745" t="s">
        <v>2649</v>
      </c>
      <c r="F745" s="9">
        <f>convertNumberStringPointToNumberComma(LEFT(MID(E745,3,9),IFERROR(FIND("-",MID(E745,3,9))-2,3)))</f>
        <v>3.5</v>
      </c>
      <c r="G745" s="9">
        <f>convertNumberStringPointToNumberComma(RIGHT(E745,IF(ISERROR(FIND(".",RIGHT(E745,3))),1,3)))</f>
        <v>3.5</v>
      </c>
      <c r="H745" t="s">
        <v>318</v>
      </c>
      <c r="I745" s="5" t="str">
        <f>IF(H745="none",0,LEFT(H745,LEN(H745)-2))</f>
        <v>52</v>
      </c>
      <c r="J745" s="5" t="s">
        <v>76</v>
      </c>
      <c r="K745" s="10">
        <f>IF(J745="",0,convertNumberStringPointToNumberComma(LEFT(J745,LEN(J745)-1)))</f>
        <v>0.13</v>
      </c>
      <c r="L745" t="s">
        <v>2707</v>
      </c>
      <c r="M745" t="s">
        <v>8</v>
      </c>
      <c r="N745" t="s">
        <v>903</v>
      </c>
      <c r="O745" t="s">
        <v>445</v>
      </c>
      <c r="P745" s="5" t="str">
        <f>LEFT(O745,LEN(O745)-1)</f>
        <v>355</v>
      </c>
      <c r="Q745" t="s">
        <v>3363</v>
      </c>
      <c r="R745" s="52">
        <f>_xlfn.NUMBERVALUE(convertNumberStringPointToNumberComma(LEFT(Q745,FIND("x",Q745)-2)))</f>
        <v>73</v>
      </c>
      <c r="S745" s="52">
        <f>_xlfn.NUMBERVALUE(convertNumberStringPointToNumberComma(LEFT(RIGHT(Q745,LEN(Q745)-FIND("x",Q745)-1),LEN(RIGHT(Q745,LEN(Q745)-FIND("x",Q745)-1))-2)))</f>
        <v>98.5</v>
      </c>
    </row>
    <row r="746" spans="1:19" x14ac:dyDescent="0.25">
      <c r="A746" t="s">
        <v>1199</v>
      </c>
      <c r="B746" t="s">
        <v>1200</v>
      </c>
      <c r="C746" s="5">
        <f>convertNumberStringPointToNumberComma(IFERROR(LEFT(B746,(FIND("-",B746)-1)),LEFT(B746,FIND("mm",B746)-1)))</f>
        <v>18</v>
      </c>
      <c r="D746" s="5">
        <f>convertNumberStringPointToNumberComma(IFERROR(RIGHT(LEFT(B746,FIND("m",B746)-1),LEN(LEFT(B746,FIND("m",B746)-1))-FIND("-",LEFT(B746,FIND("m",B746)-1))-1),C746))</f>
        <v>0</v>
      </c>
      <c r="E746" t="s">
        <v>2645</v>
      </c>
      <c r="F746" s="9">
        <f>convertNumberStringPointToNumberComma(LEFT(MID(E746,3,9),IFERROR(FIND("-",MID(E746,3,9))-2,3)))</f>
        <v>3</v>
      </c>
      <c r="G746" s="9">
        <f>convertNumberStringPointToNumberComma(RIGHT(E746,IF(ISERROR(FIND(".",RIGHT(E746,3))),1,3)))</f>
        <v>4.5</v>
      </c>
      <c r="H746" t="s">
        <v>56</v>
      </c>
      <c r="I746" s="5" t="str">
        <f>IF(H746="none",0,LEFT(H746,LEN(H746)-2))</f>
        <v>67</v>
      </c>
      <c r="J746" s="5" t="s">
        <v>63</v>
      </c>
      <c r="K746" s="10">
        <f>IF(J746="",0,convertNumberStringPointToNumberComma(LEFT(J746,LEN(J746)-1)))</f>
        <v>1</v>
      </c>
      <c r="L746" t="s">
        <v>2704</v>
      </c>
      <c r="N746" t="s">
        <v>903</v>
      </c>
      <c r="O746" t="s">
        <v>303</v>
      </c>
      <c r="P746" s="5" t="str">
        <f>LEFT(O746,LEN(O746)-1)</f>
        <v>420</v>
      </c>
      <c r="Q746" t="s">
        <v>3361</v>
      </c>
      <c r="R746" s="52">
        <f>_xlfn.NUMBERVALUE(convertNumberStringPointToNumberComma(LEFT(Q746,FIND("x",Q746)-2)))</f>
        <v>73</v>
      </c>
      <c r="S746" s="52">
        <f>_xlfn.NUMBERVALUE(convertNumberStringPointToNumberComma(LEFT(RIGHT(Q746,LEN(Q746)-FIND("x",Q746)-1),LEN(RIGHT(Q746,LEN(Q746)-FIND("x",Q746)-1))-2)))</f>
        <v>75.5</v>
      </c>
    </row>
    <row r="747" spans="1:19" x14ac:dyDescent="0.25">
      <c r="A747" t="s">
        <v>2522</v>
      </c>
      <c r="B747" t="s">
        <v>263</v>
      </c>
      <c r="E747" t="s">
        <v>2643</v>
      </c>
      <c r="H747" t="s">
        <v>56</v>
      </c>
      <c r="L747" t="s">
        <v>2679</v>
      </c>
      <c r="M747" t="s">
        <v>2748</v>
      </c>
      <c r="N747" t="s">
        <v>903</v>
      </c>
      <c r="O747" t="s">
        <v>2747</v>
      </c>
      <c r="Q747" t="s">
        <v>4033</v>
      </c>
      <c r="R747" s="52">
        <f>_xlfn.NUMBERVALUE(convertNumberStringPointToNumberComma(LEFT(Q747,FIND("x",Q747)-2)))</f>
        <v>73.400000000000006</v>
      </c>
      <c r="S747" s="52">
        <f>_xlfn.NUMBERVALUE(convertNumberStringPointToNumberComma(LEFT(RIGHT(Q747,LEN(Q747)-FIND("x",Q747)-1),LEN(RIGHT(Q747,LEN(Q747)-FIND("x",Q747)-1))-2)))</f>
        <v>73</v>
      </c>
    </row>
    <row r="748" spans="1:19" x14ac:dyDescent="0.25">
      <c r="A748" t="s">
        <v>1041</v>
      </c>
      <c r="B748" t="s">
        <v>1042</v>
      </c>
      <c r="C748" s="5">
        <f>convertNumberStringPointToNumberComma(IFERROR(LEFT(B748,(FIND("-",B748)-1)),LEFT(B748,FIND("mm",B748)-1)))</f>
        <v>8</v>
      </c>
      <c r="D748" s="5">
        <f>convertNumberStringPointToNumberComma(IFERROR(RIGHT(LEFT(B748,FIND("m",B748)-1),LEN(LEFT(B748,FIND("m",B748)-1))-FIND("-",LEFT(B748,FIND("m",B748)-1))-1),C748))</f>
        <v>8</v>
      </c>
      <c r="E748" t="s">
        <v>2637</v>
      </c>
      <c r="F748" s="9">
        <f>convertNumberStringPointToNumberComma(LEFT(MID(E748,3,9),IFERROR(FIND("-",MID(E748,3,9))-2,3)))</f>
        <v>2</v>
      </c>
      <c r="G748" s="9">
        <f>convertNumberStringPointToNumberComma(RIGHT(E748,IF(ISERROR(FIND(".",RIGHT(E748,3))),1,3)))</f>
        <v>4</v>
      </c>
      <c r="H748" t="s">
        <v>56</v>
      </c>
      <c r="I748" s="5" t="str">
        <f>IF(H748="none",0,LEFT(H748,LEN(H748)-2))</f>
        <v>67</v>
      </c>
      <c r="J748" s="5" t="s">
        <v>122</v>
      </c>
      <c r="K748" s="10">
        <f>IF(J748="",0,convertNumberStringPointToNumberComma(LEFT(J748,LEN(J748)-1)))</f>
        <v>0.14000000000000001</v>
      </c>
      <c r="L748" t="s">
        <v>2759</v>
      </c>
      <c r="M748" t="s">
        <v>2680</v>
      </c>
      <c r="N748" t="s">
        <v>2681</v>
      </c>
      <c r="O748" t="s">
        <v>2760</v>
      </c>
      <c r="P748" s="5" t="str">
        <f>LEFT(O748,LEN(O748)-1)</f>
        <v>315</v>
      </c>
      <c r="Q748" t="s">
        <v>3280</v>
      </c>
      <c r="R748" s="52">
        <f>_xlfn.NUMBERVALUE(convertNumberStringPointToNumberComma(LEFT(Q748,FIND("x",Q748)-2)))</f>
        <v>73.400000000000006</v>
      </c>
      <c r="S748" s="52">
        <f>_xlfn.NUMBERVALUE(convertNumberStringPointToNumberComma(LEFT(RIGHT(Q748,LEN(Q748)-FIND("x",Q748)-1),LEN(RIGHT(Q748,LEN(Q748)-FIND("x",Q748)-1))-2)))</f>
        <v>88</v>
      </c>
    </row>
    <row r="749" spans="1:19" x14ac:dyDescent="0.25">
      <c r="A749" t="s">
        <v>2583</v>
      </c>
      <c r="B749" t="s">
        <v>678</v>
      </c>
      <c r="E749" t="s">
        <v>2643</v>
      </c>
      <c r="H749" t="s">
        <v>91</v>
      </c>
      <c r="L749" t="s">
        <v>2879</v>
      </c>
      <c r="M749" t="s">
        <v>8</v>
      </c>
      <c r="N749" t="s">
        <v>913</v>
      </c>
      <c r="O749" t="s">
        <v>632</v>
      </c>
      <c r="Q749" t="s">
        <v>4054</v>
      </c>
      <c r="R749" s="52">
        <f>_xlfn.NUMBERVALUE(convertNumberStringPointToNumberComma(LEFT(Q749,FIND("x",Q749)-2)))</f>
        <v>73.5</v>
      </c>
      <c r="S749" s="52">
        <f>_xlfn.NUMBERVALUE(convertNumberStringPointToNumberComma(LEFT(RIGHT(Q749,LEN(Q749)-FIND("x",Q749)-1),LEN(RIGHT(Q749,LEN(Q749)-FIND("x",Q749)-1))-2)))</f>
        <v>54</v>
      </c>
    </row>
    <row r="750" spans="1:19" x14ac:dyDescent="0.25">
      <c r="A750" t="s">
        <v>1387</v>
      </c>
      <c r="B750" t="s">
        <v>222</v>
      </c>
      <c r="E750" t="s">
        <v>2632</v>
      </c>
      <c r="H750" t="s">
        <v>2891</v>
      </c>
      <c r="L750" t="s">
        <v>2797</v>
      </c>
      <c r="M750" t="s">
        <v>2802</v>
      </c>
      <c r="N750" t="s">
        <v>913</v>
      </c>
      <c r="O750" t="s">
        <v>360</v>
      </c>
      <c r="Q750" t="s">
        <v>3466</v>
      </c>
      <c r="R750" s="52">
        <f>_xlfn.NUMBERVALUE(convertNumberStringPointToNumberComma(LEFT(Q750,FIND("x",Q750)-2)))</f>
        <v>73.5</v>
      </c>
      <c r="S750" s="52">
        <f>_xlfn.NUMBERVALUE(convertNumberStringPointToNumberComma(LEFT(RIGHT(Q750,LEN(Q750)-FIND("x",Q750)-1),LEN(RIGHT(Q750,LEN(Q750)-FIND("x",Q750)-1))-2)))</f>
        <v>65</v>
      </c>
    </row>
    <row r="751" spans="1:19" x14ac:dyDescent="0.25">
      <c r="A751" t="s">
        <v>1641</v>
      </c>
      <c r="B751" t="s">
        <v>222</v>
      </c>
      <c r="E751" t="s">
        <v>2632</v>
      </c>
      <c r="H751" t="s">
        <v>2891</v>
      </c>
      <c r="L751" t="s">
        <v>2797</v>
      </c>
      <c r="M751" t="s">
        <v>2682</v>
      </c>
      <c r="N751" t="s">
        <v>913</v>
      </c>
      <c r="O751" t="s">
        <v>360</v>
      </c>
      <c r="Q751" t="s">
        <v>3466</v>
      </c>
      <c r="R751" s="52">
        <f>_xlfn.NUMBERVALUE(convertNumberStringPointToNumberComma(LEFT(Q751,FIND("x",Q751)-2)))</f>
        <v>73.5</v>
      </c>
      <c r="S751" s="52">
        <f>_xlfn.NUMBERVALUE(convertNumberStringPointToNumberComma(LEFT(RIGHT(Q751,LEN(Q751)-FIND("x",Q751)-1),LEN(RIGHT(Q751,LEN(Q751)-FIND("x",Q751)-1))-2)))</f>
        <v>65</v>
      </c>
    </row>
    <row r="752" spans="1:19" x14ac:dyDescent="0.25">
      <c r="A752" t="s">
        <v>1642</v>
      </c>
      <c r="B752" t="s">
        <v>222</v>
      </c>
      <c r="E752" t="s">
        <v>2632</v>
      </c>
      <c r="H752" t="s">
        <v>2891</v>
      </c>
      <c r="L752" t="s">
        <v>2797</v>
      </c>
      <c r="M752" t="s">
        <v>8</v>
      </c>
      <c r="N752" t="s">
        <v>913</v>
      </c>
      <c r="O752" t="s">
        <v>360</v>
      </c>
      <c r="Q752" t="s">
        <v>3466</v>
      </c>
      <c r="R752" s="52">
        <f>_xlfn.NUMBERVALUE(convertNumberStringPointToNumberComma(LEFT(Q752,FIND("x",Q752)-2)))</f>
        <v>73.5</v>
      </c>
      <c r="S752" s="52">
        <f>_xlfn.NUMBERVALUE(convertNumberStringPointToNumberComma(LEFT(RIGHT(Q752,LEN(Q752)-FIND("x",Q752)-1),LEN(RIGHT(Q752,LEN(Q752)-FIND("x",Q752)-1))-2)))</f>
        <v>65</v>
      </c>
    </row>
    <row r="753" spans="1:19" x14ac:dyDescent="0.25">
      <c r="A753" t="s">
        <v>2371</v>
      </c>
      <c r="B753" t="s">
        <v>222</v>
      </c>
      <c r="E753" t="s">
        <v>2632</v>
      </c>
      <c r="H753" t="s">
        <v>2891</v>
      </c>
      <c r="L753" t="s">
        <v>2797</v>
      </c>
      <c r="M753" t="s">
        <v>2793</v>
      </c>
      <c r="N753" t="s">
        <v>903</v>
      </c>
      <c r="O753" t="s">
        <v>360</v>
      </c>
      <c r="Q753" t="s">
        <v>3466</v>
      </c>
      <c r="R753" s="52">
        <f>_xlfn.NUMBERVALUE(convertNumberStringPointToNumberComma(LEFT(Q753,FIND("x",Q753)-2)))</f>
        <v>73.5</v>
      </c>
      <c r="S753" s="52">
        <f>_xlfn.NUMBERVALUE(convertNumberStringPointToNumberComma(LEFT(RIGHT(Q753,LEN(Q753)-FIND("x",Q753)-1),LEN(RIGHT(Q753,LEN(Q753)-FIND("x",Q753)-1))-2)))</f>
        <v>65</v>
      </c>
    </row>
    <row r="754" spans="1:19" x14ac:dyDescent="0.25">
      <c r="A754" t="s">
        <v>2372</v>
      </c>
      <c r="B754" t="s">
        <v>222</v>
      </c>
      <c r="E754" t="s">
        <v>2632</v>
      </c>
      <c r="H754" t="s">
        <v>2891</v>
      </c>
      <c r="L754" t="s">
        <v>2797</v>
      </c>
      <c r="M754" t="s">
        <v>2757</v>
      </c>
      <c r="N754" t="s">
        <v>913</v>
      </c>
      <c r="O754" t="s">
        <v>360</v>
      </c>
      <c r="Q754" t="s">
        <v>3466</v>
      </c>
      <c r="R754" s="52">
        <f>_xlfn.NUMBERVALUE(convertNumberStringPointToNumberComma(LEFT(Q754,FIND("x",Q754)-2)))</f>
        <v>73.5</v>
      </c>
      <c r="S754" s="52">
        <f>_xlfn.NUMBERVALUE(convertNumberStringPointToNumberComma(LEFT(RIGHT(Q754,LEN(Q754)-FIND("x",Q754)-1),LEN(RIGHT(Q754,LEN(Q754)-FIND("x",Q754)-1))-2)))</f>
        <v>65</v>
      </c>
    </row>
    <row r="755" spans="1:19" x14ac:dyDescent="0.25">
      <c r="A755" t="s">
        <v>1308</v>
      </c>
      <c r="B755" t="s">
        <v>856</v>
      </c>
      <c r="E755" t="s">
        <v>2649</v>
      </c>
      <c r="H755" t="s">
        <v>2860</v>
      </c>
      <c r="L755" t="s">
        <v>2868</v>
      </c>
      <c r="M755" t="s">
        <v>2682</v>
      </c>
      <c r="N755" t="s">
        <v>913</v>
      </c>
      <c r="O755" t="s">
        <v>330</v>
      </c>
      <c r="Q755" t="s">
        <v>3423</v>
      </c>
      <c r="R755" s="52">
        <f>_xlfn.NUMBERVALUE(convertNumberStringPointToNumberComma(LEFT(Q755,FIND("x",Q755)-2)))</f>
        <v>73.5</v>
      </c>
      <c r="S755" s="52">
        <f>_xlfn.NUMBERVALUE(convertNumberStringPointToNumberComma(LEFT(RIGHT(Q755,LEN(Q755)-FIND("x",Q755)-1),LEN(RIGHT(Q755,LEN(Q755)-FIND("x",Q755)-1))-2)))</f>
        <v>68.599999999999994</v>
      </c>
    </row>
    <row r="756" spans="1:19" x14ac:dyDescent="0.25">
      <c r="A756" t="s">
        <v>2205</v>
      </c>
      <c r="B756" t="s">
        <v>856</v>
      </c>
      <c r="E756" t="s">
        <v>2649</v>
      </c>
      <c r="H756" t="s">
        <v>2860</v>
      </c>
      <c r="L756" t="s">
        <v>2868</v>
      </c>
      <c r="M756" t="s">
        <v>8</v>
      </c>
      <c r="N756" t="s">
        <v>913</v>
      </c>
      <c r="O756" t="s">
        <v>330</v>
      </c>
      <c r="Q756" t="s">
        <v>3423</v>
      </c>
      <c r="R756" s="52">
        <f>_xlfn.NUMBERVALUE(convertNumberStringPointToNumberComma(LEFT(Q756,FIND("x",Q756)-2)))</f>
        <v>73.5</v>
      </c>
      <c r="S756" s="52">
        <f>_xlfn.NUMBERVALUE(convertNumberStringPointToNumberComma(LEFT(RIGHT(Q756,LEN(Q756)-FIND("x",Q756)-1),LEN(RIGHT(Q756,LEN(Q756)-FIND("x",Q756)-1))-2)))</f>
        <v>68.599999999999994</v>
      </c>
    </row>
    <row r="757" spans="1:19" x14ac:dyDescent="0.25">
      <c r="A757" t="s">
        <v>2328</v>
      </c>
      <c r="B757" t="s">
        <v>856</v>
      </c>
      <c r="E757" t="s">
        <v>2649</v>
      </c>
      <c r="H757" t="s">
        <v>2860</v>
      </c>
      <c r="L757" t="s">
        <v>2868</v>
      </c>
      <c r="M757" t="s">
        <v>2793</v>
      </c>
      <c r="N757" t="s">
        <v>903</v>
      </c>
      <c r="O757" t="s">
        <v>330</v>
      </c>
      <c r="Q757" t="s">
        <v>3423</v>
      </c>
      <c r="R757" s="52">
        <f>_xlfn.NUMBERVALUE(convertNumberStringPointToNumberComma(LEFT(Q757,FIND("x",Q757)-2)))</f>
        <v>73.5</v>
      </c>
      <c r="S757" s="52">
        <f>_xlfn.NUMBERVALUE(convertNumberStringPointToNumberComma(LEFT(RIGHT(Q757,LEN(Q757)-FIND("x",Q757)-1),LEN(RIGHT(Q757,LEN(Q757)-FIND("x",Q757)-1))-2)))</f>
        <v>68.599999999999994</v>
      </c>
    </row>
    <row r="758" spans="1:19" x14ac:dyDescent="0.25">
      <c r="A758" t="s">
        <v>1197</v>
      </c>
      <c r="B758" t="s">
        <v>952</v>
      </c>
      <c r="C758" s="5">
        <f>convertNumberStringPointToNumberComma(IFERROR(LEFT(B758,(FIND("-",B758)-1)),LEFT(B758,FIND("mm",B758)-1)))</f>
        <v>18</v>
      </c>
      <c r="D758" s="5">
        <f>convertNumberStringPointToNumberComma(IFERROR(RIGHT(LEFT(B758,FIND("m",B758)-1),LEN(LEFT(B758,FIND("m",B758)-1))-FIND("-",LEFT(B758,FIND("m",B758)-1))-1),C758))</f>
        <v>35</v>
      </c>
      <c r="E758" t="s">
        <v>2639</v>
      </c>
      <c r="F758" s="9">
        <f>convertNumberStringPointToNumberComma(LEFT(MID(E758,3,9),IFERROR(FIND("-",MID(E758,3,9))-2,3)))</f>
        <v>3</v>
      </c>
      <c r="G758" s="9">
        <f>convertNumberStringPointToNumberComma(RIGHT(E758,IF(ISERROR(FIND(".",RIGHT(E758,3))),1,3)))</f>
        <v>5.6</v>
      </c>
      <c r="H758" t="s">
        <v>56</v>
      </c>
      <c r="I758" s="5" t="str">
        <f>IF(H758="none",0,LEFT(H758,LEN(H758)-2))</f>
        <v>67</v>
      </c>
      <c r="J758" s="5" t="s">
        <v>40</v>
      </c>
      <c r="K758" s="10">
        <f>IF(J758="",0,convertNumberStringPointToNumberComma(LEFT(J758,LEN(J758)-1)))</f>
        <v>0.2</v>
      </c>
      <c r="L758" t="s">
        <v>2677</v>
      </c>
      <c r="M758" t="s">
        <v>8</v>
      </c>
      <c r="N758" t="s">
        <v>903</v>
      </c>
      <c r="O758" t="s">
        <v>363</v>
      </c>
      <c r="P758" s="5" t="str">
        <f>LEFT(O758,LEN(O758)-1)</f>
        <v>385</v>
      </c>
      <c r="Q758" t="s">
        <v>3359</v>
      </c>
      <c r="R758" s="52">
        <f>_xlfn.NUMBERVALUE(convertNumberStringPointToNumberComma(LEFT(Q758,FIND("x",Q758)-2)))</f>
        <v>73.5</v>
      </c>
      <c r="S758" s="52">
        <f>_xlfn.NUMBERVALUE(convertNumberStringPointToNumberComma(LEFT(RIGHT(Q758,LEN(Q758)-FIND("x",Q758)-1),LEN(RIGHT(Q758,LEN(Q758)-FIND("x",Q758)-1))-2)))</f>
        <v>86.5</v>
      </c>
    </row>
    <row r="759" spans="1:19" x14ac:dyDescent="0.25">
      <c r="A759" t="s">
        <v>1358</v>
      </c>
      <c r="B759" t="s">
        <v>1350</v>
      </c>
      <c r="E759" t="s">
        <v>2644</v>
      </c>
      <c r="H759" t="s">
        <v>84</v>
      </c>
      <c r="L759" t="s">
        <v>2816</v>
      </c>
      <c r="M759" t="s">
        <v>8</v>
      </c>
      <c r="N759" t="s">
        <v>903</v>
      </c>
      <c r="O759" t="s">
        <v>28</v>
      </c>
      <c r="Q759" t="s">
        <v>3450</v>
      </c>
      <c r="R759" s="52">
        <f>_xlfn.NUMBERVALUE(convertNumberStringPointToNumberComma(LEFT(Q759,FIND("x",Q759)-2)))</f>
        <v>73.5</v>
      </c>
      <c r="S759" s="52">
        <f>_xlfn.NUMBERVALUE(convertNumberStringPointToNumberComma(LEFT(RIGHT(Q759,LEN(Q759)-FIND("x",Q759)-1),LEN(RIGHT(Q759,LEN(Q759)-FIND("x",Q759)-1))-2)))</f>
        <v>88.6</v>
      </c>
    </row>
    <row r="760" spans="1:19" x14ac:dyDescent="0.25">
      <c r="A760" t="s">
        <v>1359</v>
      </c>
      <c r="B760" t="s">
        <v>1350</v>
      </c>
      <c r="E760" t="s">
        <v>2644</v>
      </c>
      <c r="H760" t="s">
        <v>84</v>
      </c>
      <c r="L760" t="s">
        <v>2816</v>
      </c>
      <c r="M760" t="s">
        <v>2802</v>
      </c>
      <c r="N760" t="s">
        <v>903</v>
      </c>
      <c r="O760" t="s">
        <v>28</v>
      </c>
      <c r="Q760" t="s">
        <v>3450</v>
      </c>
      <c r="R760" s="52">
        <f>_xlfn.NUMBERVALUE(convertNumberStringPointToNumberComma(LEFT(Q760,FIND("x",Q760)-2)))</f>
        <v>73.5</v>
      </c>
      <c r="S760" s="52">
        <f>_xlfn.NUMBERVALUE(convertNumberStringPointToNumberComma(LEFT(RIGHT(Q760,LEN(Q760)-FIND("x",Q760)-1),LEN(RIGHT(Q760,LEN(Q760)-FIND("x",Q760)-1))-2)))</f>
        <v>88.6</v>
      </c>
    </row>
    <row r="761" spans="1:19" x14ac:dyDescent="0.25">
      <c r="A761" t="s">
        <v>1361</v>
      </c>
      <c r="B761" t="s">
        <v>1350</v>
      </c>
      <c r="E761" t="s">
        <v>2644</v>
      </c>
      <c r="H761" t="s">
        <v>84</v>
      </c>
      <c r="L761" t="s">
        <v>2816</v>
      </c>
      <c r="M761" t="s">
        <v>2793</v>
      </c>
      <c r="N761" t="s">
        <v>903</v>
      </c>
      <c r="O761" t="s">
        <v>28</v>
      </c>
      <c r="Q761" t="s">
        <v>3450</v>
      </c>
      <c r="R761" s="52">
        <f>_xlfn.NUMBERVALUE(convertNumberStringPointToNumberComma(LEFT(Q761,FIND("x",Q761)-2)))</f>
        <v>73.5</v>
      </c>
      <c r="S761" s="52">
        <f>_xlfn.NUMBERVALUE(convertNumberStringPointToNumberComma(LEFT(RIGHT(Q761,LEN(Q761)-FIND("x",Q761)-1),LEN(RIGHT(Q761,LEN(Q761)-FIND("x",Q761)-1))-2)))</f>
        <v>88.6</v>
      </c>
    </row>
    <row r="762" spans="1:19" x14ac:dyDescent="0.25">
      <c r="A762" t="s">
        <v>2579</v>
      </c>
      <c r="B762" t="s">
        <v>1350</v>
      </c>
      <c r="E762" t="s">
        <v>2644</v>
      </c>
      <c r="H762" t="s">
        <v>84</v>
      </c>
      <c r="L762" t="s">
        <v>2816</v>
      </c>
      <c r="M762" t="s">
        <v>2708</v>
      </c>
      <c r="N762" t="s">
        <v>903</v>
      </c>
      <c r="O762" t="s">
        <v>28</v>
      </c>
      <c r="Q762" t="s">
        <v>3450</v>
      </c>
      <c r="R762" s="52">
        <f>_xlfn.NUMBERVALUE(convertNumberStringPointToNumberComma(LEFT(Q762,FIND("x",Q762)-2)))</f>
        <v>73.5</v>
      </c>
      <c r="S762" s="52">
        <f>_xlfn.NUMBERVALUE(convertNumberStringPointToNumberComma(LEFT(RIGHT(Q762,LEN(Q762)-FIND("x",Q762)-1),LEN(RIGHT(Q762,LEN(Q762)-FIND("x",Q762)-1))-2)))</f>
        <v>88.6</v>
      </c>
    </row>
    <row r="763" spans="1:19" x14ac:dyDescent="0.25">
      <c r="A763" t="s">
        <v>2517</v>
      </c>
      <c r="B763" t="s">
        <v>678</v>
      </c>
      <c r="E763" t="s">
        <v>2643</v>
      </c>
      <c r="H763" t="s">
        <v>56</v>
      </c>
      <c r="L763" t="s">
        <v>2686</v>
      </c>
      <c r="M763" t="s">
        <v>2674</v>
      </c>
      <c r="N763" t="s">
        <v>913</v>
      </c>
      <c r="O763" t="s">
        <v>356</v>
      </c>
      <c r="Q763" t="s">
        <v>4030</v>
      </c>
      <c r="R763" s="52">
        <f>_xlfn.NUMBERVALUE(convertNumberStringPointToNumberComma(LEFT(Q763,FIND("x",Q763)-2)))</f>
        <v>73.5</v>
      </c>
      <c r="S763" s="52">
        <f>_xlfn.NUMBERVALUE(convertNumberStringPointToNumberComma(LEFT(RIGHT(Q763,LEN(Q763)-FIND("x",Q763)-1),LEN(RIGHT(Q763,LEN(Q763)-FIND("x",Q763)-1))-2)))</f>
        <v>97.7</v>
      </c>
    </row>
    <row r="764" spans="1:19" x14ac:dyDescent="0.25">
      <c r="A764" t="s">
        <v>920</v>
      </c>
      <c r="B764" t="s">
        <v>921</v>
      </c>
      <c r="C764" s="5">
        <f>convertNumberStringPointToNumberComma(IFERROR(LEFT(B764,(FIND("-",B764)-1)),LEFT(B764,FIND("mm",B764)-1)))</f>
        <v>100</v>
      </c>
      <c r="D764" s="5">
        <f>convertNumberStringPointToNumberComma(IFERROR(RIGHT(LEFT(B764,FIND("m",B764)-1),LEN(LEFT(B764,FIND("m",B764)-1))-FIND("-",LEFT(B764,FIND("m",B764)-1))-1),C764))</f>
        <v>0</v>
      </c>
      <c r="E764" t="s">
        <v>2634</v>
      </c>
      <c r="F764" s="9">
        <f>convertNumberStringPointToNumberComma(LEFT(MID(E764,3,9),IFERROR(FIND("-",MID(E764,3,9))-2,3)))</f>
        <v>4</v>
      </c>
      <c r="G764" s="9">
        <f>convertNumberStringPointToNumberComma(RIGHT(E764,IF(ISERROR(FIND(".",RIGHT(E764,3))),1,3)))</f>
        <v>5.6</v>
      </c>
      <c r="H764" t="s">
        <v>56</v>
      </c>
      <c r="I764" s="5" t="str">
        <f>IF(H764="none",0,LEFT(H764,LEN(H764)-2))</f>
        <v>67</v>
      </c>
      <c r="J764" s="5" t="s">
        <v>466</v>
      </c>
      <c r="K764" s="10">
        <f>IF(J764="",0,convertNumberStringPointToNumberComma(LEFT(J764,LEN(J764)-1)))</f>
        <v>0.21</v>
      </c>
      <c r="L764" t="s">
        <v>2679</v>
      </c>
      <c r="M764" t="s">
        <v>2680</v>
      </c>
      <c r="N764" t="s">
        <v>2681</v>
      </c>
      <c r="O764" t="s">
        <v>23</v>
      </c>
      <c r="P764" s="5" t="str">
        <f>LEFT(O764,LEN(O764)-1)</f>
        <v>520</v>
      </c>
      <c r="Q764" t="s">
        <v>3200</v>
      </c>
      <c r="R764" s="52">
        <f>_xlfn.NUMBERVALUE(convertNumberStringPointToNumberComma(LEFT(Q764,FIND("x",Q764)-2)))</f>
        <v>73.599999999999994</v>
      </c>
      <c r="S764" s="52">
        <f>_xlfn.NUMBERVALUE(convertNumberStringPointToNumberComma(LEFT(RIGHT(Q764,LEN(Q764)-FIND("x",Q764)-1),LEN(RIGHT(Q764,LEN(Q764)-FIND("x",Q764)-1))-2)))</f>
        <v>126</v>
      </c>
    </row>
    <row r="765" spans="1:19" x14ac:dyDescent="0.25">
      <c r="A765" t="s">
        <v>2270</v>
      </c>
      <c r="B765" t="s">
        <v>960</v>
      </c>
      <c r="E765" t="s">
        <v>3014</v>
      </c>
      <c r="H765" t="s">
        <v>56</v>
      </c>
      <c r="M765" t="s">
        <v>2804</v>
      </c>
      <c r="N765" t="s">
        <v>903</v>
      </c>
      <c r="O765" t="s">
        <v>2740</v>
      </c>
      <c r="Q765" t="s">
        <v>3892</v>
      </c>
      <c r="R765" s="52">
        <f>_xlfn.NUMBERVALUE(convertNumberStringPointToNumberComma(LEFT(Q765,FIND("x",Q765)-2)))</f>
        <v>73.599999999999994</v>
      </c>
      <c r="S765" s="52">
        <f>_xlfn.NUMBERVALUE(convertNumberStringPointToNumberComma(LEFT(RIGHT(Q765,LEN(Q765)-FIND("x",Q765)-1),LEN(RIGHT(Q765,LEN(Q765)-FIND("x",Q765)-1))-2)))</f>
        <v>51.6</v>
      </c>
    </row>
    <row r="766" spans="1:19" x14ac:dyDescent="0.25">
      <c r="A766" t="s">
        <v>1246</v>
      </c>
      <c r="B766" t="s">
        <v>552</v>
      </c>
      <c r="C766" s="5">
        <f>convertNumberStringPointToNumberComma(IFERROR(LEFT(B766,(FIND("-",B766)-1)),LEFT(B766,FIND("mm",B766)-1)))</f>
        <v>28</v>
      </c>
      <c r="D766" s="5">
        <f>convertNumberStringPointToNumberComma(IFERROR(RIGHT(LEFT(B766,FIND("m",B766)-1),LEN(LEFT(B766,FIND("m",B766)-1))-FIND("-",LEFT(B766,FIND("m",B766)-1))-1),C766))</f>
        <v>28</v>
      </c>
      <c r="E766" t="s">
        <v>2635</v>
      </c>
      <c r="F766" s="9">
        <f>convertNumberStringPointToNumberComma(LEFT(MID(E766,3,9),IFERROR(FIND("-",MID(E766,3,9))-2,3)))</f>
        <v>1.8</v>
      </c>
      <c r="G766" s="9">
        <f>convertNumberStringPointToNumberComma(RIGHT(E766,IF(ISERROR(FIND(".",RIGHT(E766,3))),1,3)))</f>
        <v>1.8</v>
      </c>
      <c r="H766" t="s">
        <v>91</v>
      </c>
      <c r="I766" s="5" t="str">
        <f>IF(H766="none",0,LEFT(H766,LEN(H766)-2))</f>
        <v>58</v>
      </c>
      <c r="J766" s="5" t="s">
        <v>118</v>
      </c>
      <c r="K766" s="10">
        <f>IF(J766="",0,convertNumberStringPointToNumberComma(LEFT(J766,LEN(J766)-1)))</f>
        <v>0.16</v>
      </c>
      <c r="L766" t="s">
        <v>2750</v>
      </c>
      <c r="M766" t="s">
        <v>2682</v>
      </c>
      <c r="N766" t="s">
        <v>913</v>
      </c>
      <c r="O766" t="s">
        <v>2758</v>
      </c>
      <c r="P766" s="5" t="str">
        <f>LEFT(O766,LEN(O766)-1)</f>
        <v>310</v>
      </c>
      <c r="Q766" t="s">
        <v>3389</v>
      </c>
      <c r="R766" s="52">
        <f>_xlfn.NUMBERVALUE(convertNumberStringPointToNumberComma(LEFT(Q766,FIND("x",Q766)-2)))</f>
        <v>73.599999999999994</v>
      </c>
      <c r="S766" s="52">
        <f>_xlfn.NUMBERVALUE(convertNumberStringPointToNumberComma(LEFT(RIGHT(Q766,LEN(Q766)-FIND("x",Q766)-1),LEN(RIGHT(Q766,LEN(Q766)-FIND("x",Q766)-1))-2)))</f>
        <v>55.6</v>
      </c>
    </row>
    <row r="767" spans="1:19" x14ac:dyDescent="0.25">
      <c r="A767" t="s">
        <v>2266</v>
      </c>
      <c r="B767" t="s">
        <v>960</v>
      </c>
      <c r="E767" t="s">
        <v>3014</v>
      </c>
      <c r="H767" t="s">
        <v>56</v>
      </c>
      <c r="M767" t="s">
        <v>2680</v>
      </c>
      <c r="N767" t="s">
        <v>2681</v>
      </c>
      <c r="O767" t="s">
        <v>2787</v>
      </c>
      <c r="Q767" t="s">
        <v>3889</v>
      </c>
      <c r="R767" s="52">
        <f>_xlfn.NUMBERVALUE(convertNumberStringPointToNumberComma(LEFT(Q767,FIND("x",Q767)-2)))</f>
        <v>73.599999999999994</v>
      </c>
      <c r="S767" s="52">
        <f>_xlfn.NUMBERVALUE(convertNumberStringPointToNumberComma(LEFT(RIGHT(Q767,LEN(Q767)-FIND("x",Q767)-1),LEN(RIGHT(Q767,LEN(Q767)-FIND("x",Q767)-1))-2)))</f>
        <v>57.9</v>
      </c>
    </row>
    <row r="768" spans="1:19" x14ac:dyDescent="0.25">
      <c r="A768" t="s">
        <v>1953</v>
      </c>
      <c r="B768" t="s">
        <v>856</v>
      </c>
      <c r="E768" t="s">
        <v>2981</v>
      </c>
      <c r="H768" t="s">
        <v>2668</v>
      </c>
      <c r="M768" t="s">
        <v>2804</v>
      </c>
      <c r="N768" t="s">
        <v>903</v>
      </c>
      <c r="O768" t="s">
        <v>712</v>
      </c>
      <c r="Q768" t="s">
        <v>3769</v>
      </c>
      <c r="R768" s="52">
        <f>_xlfn.NUMBERVALUE(convertNumberStringPointToNumberComma(LEFT(Q768,FIND("x",Q768)-2)))</f>
        <v>73.599999999999994</v>
      </c>
      <c r="S768" s="52">
        <f>_xlfn.NUMBERVALUE(convertNumberStringPointToNumberComma(LEFT(RIGHT(Q768,LEN(Q768)-FIND("x",Q768)-1),LEN(RIGHT(Q768,LEN(Q768)-FIND("x",Q768)-1))-2)))</f>
        <v>57</v>
      </c>
    </row>
    <row r="769" spans="1:19" x14ac:dyDescent="0.25">
      <c r="A769" t="s">
        <v>2271</v>
      </c>
      <c r="B769" t="s">
        <v>960</v>
      </c>
      <c r="E769" t="s">
        <v>3014</v>
      </c>
      <c r="H769" t="s">
        <v>56</v>
      </c>
      <c r="M769" t="s">
        <v>2674</v>
      </c>
      <c r="N769" t="s">
        <v>903</v>
      </c>
      <c r="O769" t="s">
        <v>2819</v>
      </c>
      <c r="Q769" t="s">
        <v>3893</v>
      </c>
      <c r="R769" s="52">
        <f>_xlfn.NUMBERVALUE(convertNumberStringPointToNumberComma(LEFT(Q769,FIND("x",Q769)-2)))</f>
        <v>73.599999999999994</v>
      </c>
      <c r="S769" s="52">
        <f>_xlfn.NUMBERVALUE(convertNumberStringPointToNumberComma(LEFT(RIGHT(Q769,LEN(Q769)-FIND("x",Q769)-1),LEN(RIGHT(Q769,LEN(Q769)-FIND("x",Q769)-1))-2)))</f>
        <v>59.1</v>
      </c>
    </row>
    <row r="770" spans="1:19" x14ac:dyDescent="0.25">
      <c r="A770" t="s">
        <v>2267</v>
      </c>
      <c r="B770" t="s">
        <v>960</v>
      </c>
      <c r="E770" t="s">
        <v>3014</v>
      </c>
      <c r="H770" t="s">
        <v>56</v>
      </c>
      <c r="M770" t="s">
        <v>2748</v>
      </c>
      <c r="N770" t="s">
        <v>903</v>
      </c>
      <c r="O770" t="s">
        <v>388</v>
      </c>
      <c r="Q770" t="s">
        <v>3890</v>
      </c>
      <c r="R770" s="52">
        <f>_xlfn.NUMBERVALUE(convertNumberStringPointToNumberComma(LEFT(Q770,FIND("x",Q770)-2)))</f>
        <v>73.599999999999994</v>
      </c>
      <c r="S770" s="52">
        <f>_xlfn.NUMBERVALUE(convertNumberStringPointToNumberComma(LEFT(RIGHT(Q770,LEN(Q770)-FIND("x",Q770)-1),LEN(RIGHT(Q770,LEN(Q770)-FIND("x",Q770)-1))-2)))</f>
        <v>59.4</v>
      </c>
    </row>
    <row r="771" spans="1:19" x14ac:dyDescent="0.25">
      <c r="A771" t="s">
        <v>2265</v>
      </c>
      <c r="B771" t="s">
        <v>960</v>
      </c>
      <c r="E771" t="s">
        <v>3014</v>
      </c>
      <c r="H771" t="s">
        <v>56</v>
      </c>
      <c r="M771" t="s">
        <v>2763</v>
      </c>
      <c r="N771" t="s">
        <v>903</v>
      </c>
      <c r="O771" t="s">
        <v>2819</v>
      </c>
      <c r="Q771" t="s">
        <v>3888</v>
      </c>
      <c r="R771" s="52">
        <f>_xlfn.NUMBERVALUE(convertNumberStringPointToNumberComma(LEFT(Q771,FIND("x",Q771)-2)))</f>
        <v>73.599999999999994</v>
      </c>
      <c r="S771" s="52">
        <f>_xlfn.NUMBERVALUE(convertNumberStringPointToNumberComma(LEFT(RIGHT(Q771,LEN(Q771)-FIND("x",Q771)-1),LEN(RIGHT(Q771,LEN(Q771)-FIND("x",Q771)-1))-2)))</f>
        <v>59</v>
      </c>
    </row>
    <row r="772" spans="1:19" x14ac:dyDescent="0.25">
      <c r="A772" t="s">
        <v>1692</v>
      </c>
      <c r="B772" t="s">
        <v>856</v>
      </c>
      <c r="E772" t="s">
        <v>2981</v>
      </c>
      <c r="M772" t="s">
        <v>2763</v>
      </c>
      <c r="N772" t="s">
        <v>903</v>
      </c>
      <c r="O772" t="s">
        <v>388</v>
      </c>
      <c r="Q772" t="s">
        <v>3636</v>
      </c>
      <c r="R772" s="52">
        <f>_xlfn.NUMBERVALUE(convertNumberStringPointToNumberComma(LEFT(Q772,FIND("x",Q772)-2)))</f>
        <v>73.599999999999994</v>
      </c>
      <c r="S772" s="52">
        <f>_xlfn.NUMBERVALUE(convertNumberStringPointToNumberComma(LEFT(RIGHT(Q772,LEN(Q772)-FIND("x",Q772)-1),LEN(RIGHT(Q772,LEN(Q772)-FIND("x",Q772)-1))-2)))</f>
        <v>64.400000000000006</v>
      </c>
    </row>
    <row r="773" spans="1:19" x14ac:dyDescent="0.25">
      <c r="A773" t="s">
        <v>1693</v>
      </c>
      <c r="B773" t="s">
        <v>856</v>
      </c>
      <c r="E773" t="s">
        <v>2981</v>
      </c>
      <c r="M773" t="s">
        <v>2748</v>
      </c>
      <c r="N773" t="s">
        <v>903</v>
      </c>
      <c r="O773" t="s">
        <v>388</v>
      </c>
      <c r="Q773" t="s">
        <v>3636</v>
      </c>
      <c r="R773" s="52">
        <f>_xlfn.NUMBERVALUE(convertNumberStringPointToNumberComma(LEFT(Q773,FIND("x",Q773)-2)))</f>
        <v>73.599999999999994</v>
      </c>
      <c r="S773" s="52">
        <f>_xlfn.NUMBERVALUE(convertNumberStringPointToNumberComma(LEFT(RIGHT(Q773,LEN(Q773)-FIND("x",Q773)-1),LEN(RIGHT(Q773,LEN(Q773)-FIND("x",Q773)-1))-2)))</f>
        <v>64.400000000000006</v>
      </c>
    </row>
    <row r="774" spans="1:19" x14ac:dyDescent="0.25">
      <c r="A774" t="s">
        <v>1694</v>
      </c>
      <c r="B774" t="s">
        <v>856</v>
      </c>
      <c r="E774" t="s">
        <v>2981</v>
      </c>
      <c r="M774" t="s">
        <v>2804</v>
      </c>
      <c r="N774" t="s">
        <v>903</v>
      </c>
      <c r="O774" t="s">
        <v>388</v>
      </c>
      <c r="Q774" t="s">
        <v>3636</v>
      </c>
      <c r="R774" s="52">
        <f>_xlfn.NUMBERVALUE(convertNumberStringPointToNumberComma(LEFT(Q774,FIND("x",Q774)-2)))</f>
        <v>73.599999999999994</v>
      </c>
      <c r="S774" s="52">
        <f>_xlfn.NUMBERVALUE(convertNumberStringPointToNumberComma(LEFT(RIGHT(Q774,LEN(Q774)-FIND("x",Q774)-1),LEN(RIGHT(Q774,LEN(Q774)-FIND("x",Q774)-1))-2)))</f>
        <v>64.400000000000006</v>
      </c>
    </row>
    <row r="775" spans="1:19" x14ac:dyDescent="0.25">
      <c r="A775" t="s">
        <v>1695</v>
      </c>
      <c r="B775" t="s">
        <v>856</v>
      </c>
      <c r="E775" t="s">
        <v>2981</v>
      </c>
      <c r="M775" t="s">
        <v>2674</v>
      </c>
      <c r="N775" t="s">
        <v>903</v>
      </c>
      <c r="O775" t="s">
        <v>388</v>
      </c>
      <c r="Q775" t="s">
        <v>3636</v>
      </c>
      <c r="R775" s="52">
        <f>_xlfn.NUMBERVALUE(convertNumberStringPointToNumberComma(LEFT(Q775,FIND("x",Q775)-2)))</f>
        <v>73.599999999999994</v>
      </c>
      <c r="S775" s="52">
        <f>_xlfn.NUMBERVALUE(convertNumberStringPointToNumberComma(LEFT(RIGHT(Q775,LEN(Q775)-FIND("x",Q775)-1),LEN(RIGHT(Q775,LEN(Q775)-FIND("x",Q775)-1))-2)))</f>
        <v>64.400000000000006</v>
      </c>
    </row>
    <row r="776" spans="1:19" x14ac:dyDescent="0.25">
      <c r="A776" t="s">
        <v>1951</v>
      </c>
      <c r="B776" t="s">
        <v>856</v>
      </c>
      <c r="E776" t="s">
        <v>2981</v>
      </c>
      <c r="H776" t="s">
        <v>2668</v>
      </c>
      <c r="M776" t="s">
        <v>2763</v>
      </c>
      <c r="N776" t="s">
        <v>903</v>
      </c>
      <c r="O776" t="s">
        <v>388</v>
      </c>
      <c r="Q776" t="s">
        <v>3636</v>
      </c>
      <c r="R776" s="52">
        <f>_xlfn.NUMBERVALUE(convertNumberStringPointToNumberComma(LEFT(Q776,FIND("x",Q776)-2)))</f>
        <v>73.599999999999994</v>
      </c>
      <c r="S776" s="52">
        <f>_xlfn.NUMBERVALUE(convertNumberStringPointToNumberComma(LEFT(RIGHT(Q776,LEN(Q776)-FIND("x",Q776)-1),LEN(RIGHT(Q776,LEN(Q776)-FIND("x",Q776)-1))-2)))</f>
        <v>64.400000000000006</v>
      </c>
    </row>
    <row r="777" spans="1:19" x14ac:dyDescent="0.25">
      <c r="A777" t="s">
        <v>1954</v>
      </c>
      <c r="B777" t="s">
        <v>856</v>
      </c>
      <c r="E777" t="s">
        <v>2981</v>
      </c>
      <c r="H777" t="s">
        <v>2668</v>
      </c>
      <c r="M777" t="s">
        <v>2674</v>
      </c>
      <c r="N777" t="s">
        <v>903</v>
      </c>
      <c r="O777" t="s">
        <v>442</v>
      </c>
      <c r="Q777" t="s">
        <v>3770</v>
      </c>
      <c r="R777" s="52">
        <f>_xlfn.NUMBERVALUE(convertNumberStringPointToNumberComma(LEFT(Q777,FIND("x",Q777)-2)))</f>
        <v>73.599999999999994</v>
      </c>
      <c r="S777" s="52">
        <f>_xlfn.NUMBERVALUE(convertNumberStringPointToNumberComma(LEFT(RIGHT(Q777,LEN(Q777)-FIND("x",Q777)-1),LEN(RIGHT(Q777,LEN(Q777)-FIND("x",Q777)-1))-2)))</f>
        <v>64.5</v>
      </c>
    </row>
    <row r="778" spans="1:19" x14ac:dyDescent="0.25">
      <c r="A778" t="s">
        <v>1952</v>
      </c>
      <c r="B778" t="s">
        <v>856</v>
      </c>
      <c r="E778" t="s">
        <v>2981</v>
      </c>
      <c r="H778" t="s">
        <v>2668</v>
      </c>
      <c r="M778" t="s">
        <v>2748</v>
      </c>
      <c r="N778" t="s">
        <v>903</v>
      </c>
      <c r="O778" t="s">
        <v>632</v>
      </c>
      <c r="Q778" t="s">
        <v>3768</v>
      </c>
      <c r="R778" s="52">
        <f>_xlfn.NUMBERVALUE(convertNumberStringPointToNumberComma(LEFT(Q778,FIND("x",Q778)-2)))</f>
        <v>73.599999999999994</v>
      </c>
      <c r="S778" s="52">
        <f>_xlfn.NUMBERVALUE(convertNumberStringPointToNumberComma(LEFT(RIGHT(Q778,LEN(Q778)-FIND("x",Q778)-1),LEN(RIGHT(Q778,LEN(Q778)-FIND("x",Q778)-1))-2)))</f>
        <v>64.8</v>
      </c>
    </row>
    <row r="779" spans="1:19" x14ac:dyDescent="0.25">
      <c r="A779" t="s">
        <v>1704</v>
      </c>
      <c r="B779" t="s">
        <v>459</v>
      </c>
      <c r="E779" t="s">
        <v>2980</v>
      </c>
      <c r="H779" t="s">
        <v>91</v>
      </c>
      <c r="M779" t="s">
        <v>2680</v>
      </c>
      <c r="N779" t="s">
        <v>2681</v>
      </c>
      <c r="O779" t="s">
        <v>716</v>
      </c>
      <c r="Q779" t="s">
        <v>3640</v>
      </c>
      <c r="R779" s="52">
        <f>_xlfn.NUMBERVALUE(convertNumberStringPointToNumberComma(LEFT(Q779,FIND("x",Q779)-2)))</f>
        <v>73.599999999999994</v>
      </c>
      <c r="S779" s="52">
        <f>_xlfn.NUMBERVALUE(convertNumberStringPointToNumberComma(LEFT(RIGHT(Q779,LEN(Q779)-FIND("x",Q779)-1),LEN(RIGHT(Q779,LEN(Q779)-FIND("x",Q779)-1))-2)))</f>
        <v>66.400000000000006</v>
      </c>
    </row>
    <row r="780" spans="1:19" x14ac:dyDescent="0.25">
      <c r="A780" t="s">
        <v>1705</v>
      </c>
      <c r="B780" t="s">
        <v>459</v>
      </c>
      <c r="E780" t="s">
        <v>2980</v>
      </c>
      <c r="H780" t="s">
        <v>91</v>
      </c>
      <c r="M780" t="s">
        <v>2674</v>
      </c>
      <c r="N780" t="s">
        <v>903</v>
      </c>
      <c r="O780" t="s">
        <v>265</v>
      </c>
      <c r="Q780" t="s">
        <v>3641</v>
      </c>
      <c r="R780" s="52">
        <f>_xlfn.NUMBERVALUE(convertNumberStringPointToNumberComma(LEFT(Q780,FIND("x",Q780)-2)))</f>
        <v>73.599999999999994</v>
      </c>
      <c r="S780" s="52">
        <f>_xlfn.NUMBERVALUE(convertNumberStringPointToNumberComma(LEFT(RIGHT(Q780,LEN(Q780)-FIND("x",Q780)-1),LEN(RIGHT(Q780,LEN(Q780)-FIND("x",Q780)-1))-2)))</f>
        <v>67.599999999999994</v>
      </c>
    </row>
    <row r="781" spans="1:19" x14ac:dyDescent="0.25">
      <c r="A781" t="s">
        <v>1703</v>
      </c>
      <c r="B781" t="s">
        <v>459</v>
      </c>
      <c r="E781" t="s">
        <v>2980</v>
      </c>
      <c r="H781" t="s">
        <v>91</v>
      </c>
      <c r="M781" t="s">
        <v>2748</v>
      </c>
      <c r="N781" t="s">
        <v>903</v>
      </c>
      <c r="O781" t="s">
        <v>45</v>
      </c>
      <c r="Q781" t="s">
        <v>3639</v>
      </c>
      <c r="R781" s="52">
        <f>_xlfn.NUMBERVALUE(convertNumberStringPointToNumberComma(LEFT(Q781,FIND("x",Q781)-2)))</f>
        <v>73.599999999999994</v>
      </c>
      <c r="S781" s="52">
        <f>_xlfn.NUMBERVALUE(convertNumberStringPointToNumberComma(LEFT(RIGHT(Q781,LEN(Q781)-FIND("x",Q781)-1),LEN(RIGHT(Q781,LEN(Q781)-FIND("x",Q781)-1))-2)))</f>
        <v>67.900000000000006</v>
      </c>
    </row>
    <row r="782" spans="1:19" x14ac:dyDescent="0.25">
      <c r="A782" t="s">
        <v>1709</v>
      </c>
      <c r="B782" t="s">
        <v>678</v>
      </c>
      <c r="E782" t="s">
        <v>2984</v>
      </c>
      <c r="H782" t="s">
        <v>84</v>
      </c>
      <c r="M782" t="s">
        <v>2680</v>
      </c>
      <c r="N782" t="s">
        <v>2681</v>
      </c>
      <c r="O782" t="s">
        <v>363</v>
      </c>
      <c r="Q782" t="s">
        <v>3645</v>
      </c>
      <c r="R782" s="52">
        <f>_xlfn.NUMBERVALUE(convertNumberStringPointToNumberComma(LEFT(Q782,FIND("x",Q782)-2)))</f>
        <v>73.599999999999994</v>
      </c>
      <c r="S782" s="52">
        <f>_xlfn.NUMBERVALUE(convertNumberStringPointToNumberComma(LEFT(RIGHT(Q782,LEN(Q782)-FIND("x",Q782)-1),LEN(RIGHT(Q782,LEN(Q782)-FIND("x",Q782)-1))-2)))</f>
        <v>73</v>
      </c>
    </row>
    <row r="783" spans="1:19" x14ac:dyDescent="0.25">
      <c r="A783" t="s">
        <v>2113</v>
      </c>
      <c r="B783" t="s">
        <v>592</v>
      </c>
      <c r="E783" t="s">
        <v>2984</v>
      </c>
      <c r="H783" t="s">
        <v>84</v>
      </c>
      <c r="M783" t="s">
        <v>2680</v>
      </c>
      <c r="N783" t="s">
        <v>2681</v>
      </c>
      <c r="O783" t="s">
        <v>3072</v>
      </c>
      <c r="Q783" t="s">
        <v>3645</v>
      </c>
      <c r="R783" s="52">
        <f>_xlfn.NUMBERVALUE(convertNumberStringPointToNumberComma(LEFT(Q783,FIND("x",Q783)-2)))</f>
        <v>73.599999999999994</v>
      </c>
      <c r="S783" s="52">
        <f>_xlfn.NUMBERVALUE(convertNumberStringPointToNumberComma(LEFT(RIGHT(Q783,LEN(Q783)-FIND("x",Q783)-1),LEN(RIGHT(Q783,LEN(Q783)-FIND("x",Q783)-1))-2)))</f>
        <v>73</v>
      </c>
    </row>
    <row r="784" spans="1:19" x14ac:dyDescent="0.25">
      <c r="A784" t="s">
        <v>1706</v>
      </c>
      <c r="B784" t="s">
        <v>678</v>
      </c>
      <c r="E784" t="s">
        <v>2984</v>
      </c>
      <c r="H784" t="s">
        <v>84</v>
      </c>
      <c r="M784" t="s">
        <v>2763</v>
      </c>
      <c r="N784" t="s">
        <v>903</v>
      </c>
      <c r="O784" t="s">
        <v>330</v>
      </c>
      <c r="Q784" t="s">
        <v>3642</v>
      </c>
      <c r="R784" s="52">
        <f>_xlfn.NUMBERVALUE(convertNumberStringPointToNumberComma(LEFT(Q784,FIND("x",Q784)-2)))</f>
        <v>73.599999999999994</v>
      </c>
      <c r="S784" s="52">
        <f>_xlfn.NUMBERVALUE(convertNumberStringPointToNumberComma(LEFT(RIGHT(Q784,LEN(Q784)-FIND("x",Q784)-1),LEN(RIGHT(Q784,LEN(Q784)-FIND("x",Q784)-1))-2)))</f>
        <v>74.099999999999994</v>
      </c>
    </row>
    <row r="785" spans="1:19" x14ac:dyDescent="0.25">
      <c r="A785" t="s">
        <v>1708</v>
      </c>
      <c r="B785" t="s">
        <v>678</v>
      </c>
      <c r="E785" t="s">
        <v>2984</v>
      </c>
      <c r="H785" t="s">
        <v>84</v>
      </c>
      <c r="M785" t="s">
        <v>2674</v>
      </c>
      <c r="N785" t="s">
        <v>903</v>
      </c>
      <c r="O785" t="s">
        <v>330</v>
      </c>
      <c r="Q785" t="s">
        <v>3644</v>
      </c>
      <c r="R785" s="52">
        <f>_xlfn.NUMBERVALUE(convertNumberStringPointToNumberComma(LEFT(Q785,FIND("x",Q785)-2)))</f>
        <v>73.599999999999994</v>
      </c>
      <c r="S785" s="52">
        <f>_xlfn.NUMBERVALUE(convertNumberStringPointToNumberComma(LEFT(RIGHT(Q785,LEN(Q785)-FIND("x",Q785)-1),LEN(RIGHT(Q785,LEN(Q785)-FIND("x",Q785)-1))-2)))</f>
        <v>74.2</v>
      </c>
    </row>
    <row r="786" spans="1:19" x14ac:dyDescent="0.25">
      <c r="A786" t="s">
        <v>2115</v>
      </c>
      <c r="B786" t="s">
        <v>592</v>
      </c>
      <c r="E786" t="s">
        <v>2984</v>
      </c>
      <c r="H786" t="s">
        <v>84</v>
      </c>
      <c r="M786" t="s">
        <v>2674</v>
      </c>
      <c r="N786" t="s">
        <v>903</v>
      </c>
      <c r="O786" t="s">
        <v>327</v>
      </c>
      <c r="Q786" t="s">
        <v>3644</v>
      </c>
      <c r="R786" s="52">
        <f>_xlfn.NUMBERVALUE(convertNumberStringPointToNumberComma(LEFT(Q786,FIND("x",Q786)-2)))</f>
        <v>73.599999999999994</v>
      </c>
      <c r="S786" s="52">
        <f>_xlfn.NUMBERVALUE(convertNumberStringPointToNumberComma(LEFT(RIGHT(Q786,LEN(Q786)-FIND("x",Q786)-1),LEN(RIGHT(Q786,LEN(Q786)-FIND("x",Q786)-1))-2)))</f>
        <v>74.2</v>
      </c>
    </row>
    <row r="787" spans="1:19" x14ac:dyDescent="0.25">
      <c r="A787" t="s">
        <v>1707</v>
      </c>
      <c r="B787" t="s">
        <v>678</v>
      </c>
      <c r="E787" t="s">
        <v>2984</v>
      </c>
      <c r="H787" t="s">
        <v>84</v>
      </c>
      <c r="M787" t="s">
        <v>2748</v>
      </c>
      <c r="N787" t="s">
        <v>903</v>
      </c>
      <c r="O787" t="s">
        <v>395</v>
      </c>
      <c r="Q787" t="s">
        <v>3643</v>
      </c>
      <c r="R787" s="52">
        <f>_xlfn.NUMBERVALUE(convertNumberStringPointToNumberComma(LEFT(Q787,FIND("x",Q787)-2)))</f>
        <v>73.599999999999994</v>
      </c>
      <c r="S787" s="52">
        <f>_xlfn.NUMBERVALUE(convertNumberStringPointToNumberComma(LEFT(RIGHT(Q787,LEN(Q787)-FIND("x",Q787)-1),LEN(RIGHT(Q787,LEN(Q787)-FIND("x",Q787)-1))-2)))</f>
        <v>74.5</v>
      </c>
    </row>
    <row r="788" spans="1:19" x14ac:dyDescent="0.25">
      <c r="A788" t="s">
        <v>2112</v>
      </c>
      <c r="B788" t="s">
        <v>592</v>
      </c>
      <c r="E788" t="s">
        <v>2984</v>
      </c>
      <c r="H788" t="s">
        <v>84</v>
      </c>
      <c r="M788" t="s">
        <v>2748</v>
      </c>
      <c r="N788" t="s">
        <v>903</v>
      </c>
      <c r="O788" t="s">
        <v>3071</v>
      </c>
      <c r="Q788" t="s">
        <v>3643</v>
      </c>
      <c r="R788" s="52">
        <f>_xlfn.NUMBERVALUE(convertNumberStringPointToNumberComma(LEFT(Q788,FIND("x",Q788)-2)))</f>
        <v>73.599999999999994</v>
      </c>
      <c r="S788" s="52">
        <f>_xlfn.NUMBERVALUE(convertNumberStringPointToNumberComma(LEFT(RIGHT(Q788,LEN(Q788)-FIND("x",Q788)-1),LEN(RIGHT(Q788,LEN(Q788)-FIND("x",Q788)-1))-2)))</f>
        <v>74.5</v>
      </c>
    </row>
    <row r="789" spans="1:19" x14ac:dyDescent="0.25">
      <c r="A789" t="s">
        <v>1547</v>
      </c>
      <c r="B789" t="s">
        <v>863</v>
      </c>
      <c r="E789" t="s">
        <v>2632</v>
      </c>
      <c r="H789" t="s">
        <v>91</v>
      </c>
      <c r="L789" t="s">
        <v>2704</v>
      </c>
      <c r="M789" t="s">
        <v>2682</v>
      </c>
      <c r="N789" t="s">
        <v>913</v>
      </c>
      <c r="O789" t="s">
        <v>278</v>
      </c>
      <c r="Q789" t="s">
        <v>3549</v>
      </c>
      <c r="R789" s="52">
        <f>_xlfn.NUMBERVALUE(convertNumberStringPointToNumberComma(LEFT(Q789,FIND("x",Q789)-2)))</f>
        <v>73.599999999999994</v>
      </c>
      <c r="S789" s="52">
        <f>_xlfn.NUMBERVALUE(convertNumberStringPointToNumberComma(LEFT(RIGHT(Q789,LEN(Q789)-FIND("x",Q789)-1),LEN(RIGHT(Q789,LEN(Q789)-FIND("x",Q789)-1))-2)))</f>
        <v>88</v>
      </c>
    </row>
    <row r="790" spans="1:19" x14ac:dyDescent="0.25">
      <c r="A790" t="s">
        <v>1013</v>
      </c>
      <c r="B790" t="s">
        <v>678</v>
      </c>
      <c r="C790" s="5">
        <f>convertNumberStringPointToNumberComma(IFERROR(LEFT(B790,(FIND("-",B790)-1)),LEFT(B790,FIND("mm",B790)-1)))</f>
        <v>50</v>
      </c>
      <c r="D790" s="5">
        <f>convertNumberStringPointToNumberComma(IFERROR(RIGHT(LEFT(B790,FIND("m",B790)-1),LEN(LEFT(B790,FIND("m",B790)-1))-FIND("-",LEFT(B790,FIND("m",B790)-1))-1),C790))</f>
        <v>50</v>
      </c>
      <c r="E790" t="s">
        <v>2643</v>
      </c>
      <c r="F790" s="9">
        <f>convertNumberStringPointToNumberComma(LEFT(MID(E790,3,9),IFERROR(FIND("-",MID(E790,3,9))-2,3)))</f>
        <v>1.4</v>
      </c>
      <c r="G790" s="9">
        <f>convertNumberStringPointToNumberComma(RIGHT(E790,IF(ISERROR(FIND(".",RIGHT(E790,3))),1,3)))</f>
        <v>1.4</v>
      </c>
      <c r="H790" t="s">
        <v>91</v>
      </c>
      <c r="I790" s="5" t="str">
        <f>IF(H790="none",0,LEFT(H790,LEN(H790)-2))</f>
        <v>58</v>
      </c>
      <c r="J790" s="5" t="s">
        <v>353</v>
      </c>
      <c r="K790" s="10">
        <f>IF(J790="",0,convertNumberStringPointToNumberComma(LEFT(J790,LEN(J790)-1)))</f>
        <v>0.28999999999999998</v>
      </c>
      <c r="L790" t="s">
        <v>2686</v>
      </c>
      <c r="M790" t="s">
        <v>2682</v>
      </c>
      <c r="N790" t="s">
        <v>913</v>
      </c>
      <c r="O790" t="s">
        <v>265</v>
      </c>
      <c r="P790" s="5" t="str">
        <f>LEFT(O790,LEN(O790)-1)</f>
        <v>290</v>
      </c>
      <c r="Q790" t="s">
        <v>3262</v>
      </c>
      <c r="R790" s="52">
        <f>_xlfn.NUMBERVALUE(convertNumberStringPointToNumberComma(LEFT(Q790,FIND("x",Q790)-2)))</f>
        <v>73.8</v>
      </c>
      <c r="S790" s="52">
        <f>_xlfn.NUMBERVALUE(convertNumberStringPointToNumberComma(LEFT(RIGHT(Q790,LEN(Q790)-FIND("x",Q790)-1),LEN(RIGHT(Q790,LEN(Q790)-FIND("x",Q790)-1))-2)))</f>
        <v>50.5</v>
      </c>
    </row>
    <row r="791" spans="1:19" x14ac:dyDescent="0.25">
      <c r="A791" t="s">
        <v>1344</v>
      </c>
      <c r="B791" t="s">
        <v>1079</v>
      </c>
      <c r="E791" t="s">
        <v>2632</v>
      </c>
      <c r="H791" t="s">
        <v>56</v>
      </c>
      <c r="L791" t="s">
        <v>2717</v>
      </c>
      <c r="M791" t="s">
        <v>2708</v>
      </c>
      <c r="N791" t="s">
        <v>903</v>
      </c>
      <c r="O791" t="s">
        <v>327</v>
      </c>
      <c r="Q791" t="s">
        <v>3443</v>
      </c>
      <c r="R791" s="52">
        <f>_xlfn.NUMBERVALUE(convertNumberStringPointToNumberComma(LEFT(Q791,FIND("x",Q791)-2)))</f>
        <v>73.8</v>
      </c>
      <c r="S791" s="52">
        <f>_xlfn.NUMBERVALUE(convertNumberStringPointToNumberComma(LEFT(RIGHT(Q791,LEN(Q791)-FIND("x",Q791)-1),LEN(RIGHT(Q791,LEN(Q791)-FIND("x",Q791)-1))-2)))</f>
        <v>83.2</v>
      </c>
    </row>
    <row r="792" spans="1:19" x14ac:dyDescent="0.25">
      <c r="A792" t="s">
        <v>1345</v>
      </c>
      <c r="B792" t="s">
        <v>1079</v>
      </c>
      <c r="E792" t="s">
        <v>2632</v>
      </c>
      <c r="H792" t="s">
        <v>56</v>
      </c>
      <c r="L792" t="s">
        <v>2717</v>
      </c>
      <c r="M792" t="s">
        <v>2757</v>
      </c>
      <c r="N792" t="s">
        <v>903</v>
      </c>
      <c r="O792" t="s">
        <v>327</v>
      </c>
      <c r="Q792" t="s">
        <v>3443</v>
      </c>
      <c r="R792" s="52">
        <f>_xlfn.NUMBERVALUE(convertNumberStringPointToNumberComma(LEFT(Q792,FIND("x",Q792)-2)))</f>
        <v>73.8</v>
      </c>
      <c r="S792" s="52">
        <f>_xlfn.NUMBERVALUE(convertNumberStringPointToNumberComma(LEFT(RIGHT(Q792,LEN(Q792)-FIND("x",Q792)-1),LEN(RIGHT(Q792,LEN(Q792)-FIND("x",Q792)-1))-2)))</f>
        <v>83.2</v>
      </c>
    </row>
    <row r="793" spans="1:19" x14ac:dyDescent="0.25">
      <c r="A793" t="s">
        <v>1346</v>
      </c>
      <c r="B793" t="s">
        <v>1079</v>
      </c>
      <c r="E793" t="s">
        <v>2632</v>
      </c>
      <c r="H793" t="s">
        <v>56</v>
      </c>
      <c r="L793" t="s">
        <v>2717</v>
      </c>
      <c r="M793" t="s">
        <v>8</v>
      </c>
      <c r="N793" t="s">
        <v>903</v>
      </c>
      <c r="O793" t="s">
        <v>327</v>
      </c>
      <c r="Q793" t="s">
        <v>3443</v>
      </c>
      <c r="R793" s="52">
        <f>_xlfn.NUMBERVALUE(convertNumberStringPointToNumberComma(LEFT(Q793,FIND("x",Q793)-2)))</f>
        <v>73.8</v>
      </c>
      <c r="S793" s="52">
        <f>_xlfn.NUMBERVALUE(convertNumberStringPointToNumberComma(LEFT(RIGHT(Q793,LEN(Q793)-FIND("x",Q793)-1),LEN(RIGHT(Q793,LEN(Q793)-FIND("x",Q793)-1))-2)))</f>
        <v>83.2</v>
      </c>
    </row>
    <row r="794" spans="1:19" x14ac:dyDescent="0.25">
      <c r="A794" t="s">
        <v>2553</v>
      </c>
      <c r="B794" t="s">
        <v>1079</v>
      </c>
      <c r="E794" t="s">
        <v>2632</v>
      </c>
      <c r="H794" t="s">
        <v>56</v>
      </c>
      <c r="L794" t="s">
        <v>2717</v>
      </c>
      <c r="M794" t="s">
        <v>8</v>
      </c>
      <c r="N794" t="s">
        <v>903</v>
      </c>
      <c r="O794" t="s">
        <v>327</v>
      </c>
      <c r="Q794" t="s">
        <v>3443</v>
      </c>
      <c r="R794" s="52">
        <f>_xlfn.NUMBERVALUE(convertNumberStringPointToNumberComma(LEFT(Q794,FIND("x",Q794)-2)))</f>
        <v>73.8</v>
      </c>
      <c r="S794" s="52">
        <f>_xlfn.NUMBERVALUE(convertNumberStringPointToNumberComma(LEFT(RIGHT(Q794,LEN(Q794)-FIND("x",Q794)-1),LEN(RIGHT(Q794,LEN(Q794)-FIND("x",Q794)-1))-2)))</f>
        <v>83.2</v>
      </c>
    </row>
    <row r="795" spans="1:19" x14ac:dyDescent="0.25">
      <c r="A795" t="s">
        <v>1125</v>
      </c>
      <c r="B795" t="s">
        <v>1001</v>
      </c>
      <c r="C795" s="5">
        <f>convertNumberStringPointToNumberComma(IFERROR(LEFT(B795,(FIND("-",B795)-1)),LEFT(B795,FIND("mm",B795)-1)))</f>
        <v>18</v>
      </c>
      <c r="D795" s="5">
        <f>convertNumberStringPointToNumberComma(IFERROR(RIGHT(LEFT(B795,FIND("m",B795)-1),LEN(LEFT(B795,FIND("m",B795)-1))-FIND("-",LEFT(B795,FIND("m",B795)-1))-1),C795))</f>
        <v>0</v>
      </c>
      <c r="E795" t="s">
        <v>2644</v>
      </c>
      <c r="F795" s="9">
        <f>convertNumberStringPointToNumberComma(LEFT(MID(E795,3,9),IFERROR(FIND("-",MID(E795,3,9))-2,3)))</f>
        <v>3</v>
      </c>
      <c r="G795" s="9">
        <f>convertNumberStringPointToNumberComma(RIGHT(E795,IF(ISERROR(FIND(".",RIGHT(E795,3))),1,3)))</f>
        <v>6.3</v>
      </c>
      <c r="H795" t="s">
        <v>84</v>
      </c>
      <c r="I795" s="5" t="str">
        <f>IF(H795="none",0,LEFT(H795,LEN(H795)-2))</f>
        <v>62</v>
      </c>
      <c r="J795" s="5" t="s">
        <v>349</v>
      </c>
      <c r="K795" s="10">
        <f>IF(J795="",0,convertNumberStringPointToNumberComma(LEFT(J795,LEN(J795)-1)))</f>
        <v>0.32</v>
      </c>
      <c r="L795" t="s">
        <v>2725</v>
      </c>
      <c r="M795" t="s">
        <v>2708</v>
      </c>
      <c r="N795" t="s">
        <v>903</v>
      </c>
      <c r="O795" t="s">
        <v>334</v>
      </c>
      <c r="P795" s="5" t="str">
        <f>LEFT(O795,LEN(O795)-1)</f>
        <v>398</v>
      </c>
      <c r="Q795" t="s">
        <v>3322</v>
      </c>
      <c r="R795" s="52">
        <f>_xlfn.NUMBERVALUE(convertNumberStringPointToNumberComma(LEFT(Q795,FIND("x",Q795)-2)))</f>
        <v>73.8</v>
      </c>
      <c r="S795" s="52">
        <f>_xlfn.NUMBERVALUE(convertNumberStringPointToNumberComma(LEFT(RIGHT(Q795,LEN(Q795)-FIND("x",Q795)-1),LEN(RIGHT(Q795,LEN(Q795)-FIND("x",Q795)-1))-2)))</f>
        <v>83.7</v>
      </c>
    </row>
    <row r="796" spans="1:19" x14ac:dyDescent="0.25">
      <c r="A796" t="s">
        <v>1126</v>
      </c>
      <c r="B796" t="s">
        <v>1001</v>
      </c>
      <c r="C796" s="5">
        <f>convertNumberStringPointToNumberComma(IFERROR(LEFT(B796,(FIND("-",B796)-1)),LEFT(B796,FIND("mm",B796)-1)))</f>
        <v>18</v>
      </c>
      <c r="D796" s="5">
        <f>convertNumberStringPointToNumberComma(IFERROR(RIGHT(LEFT(B796,FIND("m",B796)-1),LEN(LEFT(B796,FIND("m",B796)-1))-FIND("-",LEFT(B796,FIND("m",B796)-1))-1),C796))</f>
        <v>0</v>
      </c>
      <c r="E796" t="s">
        <v>2644</v>
      </c>
      <c r="F796" s="9">
        <f>convertNumberStringPointToNumberComma(LEFT(MID(E796,3,9),IFERROR(FIND("-",MID(E796,3,9))-2,3)))</f>
        <v>3</v>
      </c>
      <c r="G796" s="9">
        <f>convertNumberStringPointToNumberComma(RIGHT(E796,IF(ISERROR(FIND(".",RIGHT(E796,3))),1,3)))</f>
        <v>6.3</v>
      </c>
      <c r="H796" t="s">
        <v>84</v>
      </c>
      <c r="I796" s="5" t="str">
        <f>IF(H796="none",0,LEFT(H796,LEN(H796)-2))</f>
        <v>62</v>
      </c>
      <c r="J796" s="5" t="s">
        <v>22</v>
      </c>
      <c r="K796" s="10">
        <f>IF(J796="",0,convertNumberStringPointToNumberComma(LEFT(J796,LEN(J796)-1)))</f>
        <v>0.15</v>
      </c>
      <c r="L796" t="s">
        <v>2725</v>
      </c>
      <c r="M796" t="s">
        <v>2757</v>
      </c>
      <c r="N796" t="s">
        <v>903</v>
      </c>
      <c r="O796" t="s">
        <v>334</v>
      </c>
      <c r="P796" s="5" t="str">
        <f>LEFT(O796,LEN(O796)-1)</f>
        <v>398</v>
      </c>
      <c r="Q796" t="s">
        <v>3322</v>
      </c>
      <c r="R796" s="52">
        <f>_xlfn.NUMBERVALUE(convertNumberStringPointToNumberComma(LEFT(Q796,FIND("x",Q796)-2)))</f>
        <v>73.8</v>
      </c>
      <c r="S796" s="52">
        <f>_xlfn.NUMBERVALUE(convertNumberStringPointToNumberComma(LEFT(RIGHT(Q796,LEN(Q796)-FIND("x",Q796)-1),LEN(RIGHT(Q796,LEN(Q796)-FIND("x",Q796)-1))-2)))</f>
        <v>83.7</v>
      </c>
    </row>
    <row r="797" spans="1:19" x14ac:dyDescent="0.25">
      <c r="A797" t="s">
        <v>1127</v>
      </c>
      <c r="B797" t="s">
        <v>1001</v>
      </c>
      <c r="C797" s="5">
        <f>convertNumberStringPointToNumberComma(IFERROR(LEFT(B797,(FIND("-",B797)-1)),LEFT(B797,FIND("mm",B797)-1)))</f>
        <v>18</v>
      </c>
      <c r="D797" s="5">
        <f>convertNumberStringPointToNumberComma(IFERROR(RIGHT(LEFT(B797,FIND("m",B797)-1),LEN(LEFT(B797,FIND("m",B797)-1))-FIND("-",LEFT(B797,FIND("m",B797)-1))-1),C797))</f>
        <v>0</v>
      </c>
      <c r="E797" t="s">
        <v>2644</v>
      </c>
      <c r="F797" s="9">
        <f>convertNumberStringPointToNumberComma(LEFT(MID(E797,3,9),IFERROR(FIND("-",MID(E797,3,9))-2,3)))</f>
        <v>3</v>
      </c>
      <c r="G797" s="9">
        <f>convertNumberStringPointToNumberComma(RIGHT(E797,IF(ISERROR(FIND(".",RIGHT(E797,3))),1,3)))</f>
        <v>6.3</v>
      </c>
      <c r="H797" t="s">
        <v>84</v>
      </c>
      <c r="I797" s="5" t="str">
        <f>IF(H797="none",0,LEFT(H797,LEN(H797)-2))</f>
        <v>62</v>
      </c>
      <c r="J797" s="5" t="s">
        <v>22</v>
      </c>
      <c r="K797" s="10">
        <f>IF(J797="",0,convertNumberStringPointToNumberComma(LEFT(J797,LEN(J797)-1)))</f>
        <v>0.15</v>
      </c>
      <c r="L797" t="s">
        <v>2725</v>
      </c>
      <c r="M797" t="s">
        <v>2802</v>
      </c>
      <c r="N797" t="s">
        <v>903</v>
      </c>
      <c r="O797" t="s">
        <v>334</v>
      </c>
      <c r="P797" s="5" t="str">
        <f>LEFT(O797,LEN(O797)-1)</f>
        <v>398</v>
      </c>
      <c r="Q797" t="s">
        <v>3322</v>
      </c>
      <c r="R797" s="52">
        <f>_xlfn.NUMBERVALUE(convertNumberStringPointToNumberComma(LEFT(Q797,FIND("x",Q797)-2)))</f>
        <v>73.8</v>
      </c>
      <c r="S797" s="52">
        <f>_xlfn.NUMBERVALUE(convertNumberStringPointToNumberComma(LEFT(RIGHT(Q797,LEN(Q797)-FIND("x",Q797)-1),LEN(RIGHT(Q797,LEN(Q797)-FIND("x",Q797)-1))-2)))</f>
        <v>83.7</v>
      </c>
    </row>
    <row r="798" spans="1:19" x14ac:dyDescent="0.25">
      <c r="A798" t="s">
        <v>1189</v>
      </c>
      <c r="B798" t="s">
        <v>1001</v>
      </c>
      <c r="C798" s="5">
        <f>convertNumberStringPointToNumberComma(IFERROR(LEFT(B798,(FIND("-",B798)-1)),LEFT(B798,FIND("mm",B798)-1)))</f>
        <v>18</v>
      </c>
      <c r="D798" s="5">
        <f>convertNumberStringPointToNumberComma(IFERROR(RIGHT(LEFT(B798,FIND("m",B798)-1),LEN(LEFT(B798,FIND("m",B798)-1))-FIND("-",LEFT(B798,FIND("m",B798)-1))-1),C798))</f>
        <v>0</v>
      </c>
      <c r="E798" t="s">
        <v>2644</v>
      </c>
      <c r="F798" s="9">
        <f>convertNumberStringPointToNumberComma(LEFT(MID(E798,3,9),IFERROR(FIND("-",MID(E798,3,9))-2,3)))</f>
        <v>3</v>
      </c>
      <c r="G798" s="9">
        <f>convertNumberStringPointToNumberComma(RIGHT(E798,IF(ISERROR(FIND(".",RIGHT(E798,3))),1,3)))</f>
        <v>6.3</v>
      </c>
      <c r="H798" t="s">
        <v>84</v>
      </c>
      <c r="I798" s="5" t="str">
        <f>IF(H798="none",0,LEFT(H798,LEN(H798)-2))</f>
        <v>62</v>
      </c>
      <c r="J798" s="5" t="s">
        <v>32</v>
      </c>
      <c r="K798" s="10">
        <f>IF(J798="",0,convertNumberStringPointToNumberComma(LEFT(J798,LEN(J798)-1)))</f>
        <v>0.12</v>
      </c>
      <c r="L798" t="s">
        <v>2725</v>
      </c>
      <c r="M798" t="s">
        <v>8</v>
      </c>
      <c r="N798" t="s">
        <v>903</v>
      </c>
      <c r="O798" t="s">
        <v>334</v>
      </c>
      <c r="P798" s="5" t="str">
        <f>LEFT(O798,LEN(O798)-1)</f>
        <v>398</v>
      </c>
      <c r="Q798" t="s">
        <v>3322</v>
      </c>
      <c r="R798" s="52">
        <f>_xlfn.NUMBERVALUE(convertNumberStringPointToNumberComma(LEFT(Q798,FIND("x",Q798)-2)))</f>
        <v>73.8</v>
      </c>
      <c r="S798" s="52">
        <f>_xlfn.NUMBERVALUE(convertNumberStringPointToNumberComma(LEFT(RIGHT(Q798,LEN(Q798)-FIND("x",Q798)-1),LEN(RIGHT(Q798,LEN(Q798)-FIND("x",Q798)-1))-2)))</f>
        <v>83.7</v>
      </c>
    </row>
    <row r="799" spans="1:19" x14ac:dyDescent="0.25">
      <c r="A799" t="s">
        <v>1420</v>
      </c>
      <c r="B799" t="s">
        <v>1322</v>
      </c>
      <c r="E799" t="s">
        <v>2634</v>
      </c>
      <c r="H799" t="s">
        <v>62</v>
      </c>
      <c r="L799" t="s">
        <v>2717</v>
      </c>
      <c r="M799" t="s">
        <v>8</v>
      </c>
      <c r="N799" t="s">
        <v>903</v>
      </c>
      <c r="O799" t="s">
        <v>303</v>
      </c>
      <c r="Q799" t="s">
        <v>3491</v>
      </c>
      <c r="R799" s="52">
        <f>_xlfn.NUMBERVALUE(convertNumberStringPointToNumberComma(LEFT(Q799,FIND("x",Q799)-2)))</f>
        <v>74</v>
      </c>
      <c r="S799" s="52">
        <f>_xlfn.NUMBERVALUE(convertNumberStringPointToNumberComma(LEFT(RIGHT(Q799,LEN(Q799)-FIND("x",Q799)-1),LEN(RIGHT(Q799,LEN(Q799)-FIND("x",Q799)-1))-2)))</f>
        <v>101.9</v>
      </c>
    </row>
    <row r="800" spans="1:19" x14ac:dyDescent="0.25">
      <c r="A800" t="s">
        <v>1724</v>
      </c>
      <c r="B800" t="s">
        <v>1322</v>
      </c>
      <c r="E800" t="s">
        <v>2634</v>
      </c>
      <c r="H800" t="s">
        <v>62</v>
      </c>
      <c r="L800" t="s">
        <v>2717</v>
      </c>
      <c r="M800" t="s">
        <v>2802</v>
      </c>
      <c r="N800" t="s">
        <v>903</v>
      </c>
      <c r="O800" t="s">
        <v>303</v>
      </c>
      <c r="Q800" t="s">
        <v>3491</v>
      </c>
      <c r="R800" s="52">
        <f>_xlfn.NUMBERVALUE(convertNumberStringPointToNumberComma(LEFT(Q800,FIND("x",Q800)-2)))</f>
        <v>74</v>
      </c>
      <c r="S800" s="52">
        <f>_xlfn.NUMBERVALUE(convertNumberStringPointToNumberComma(LEFT(RIGHT(Q800,LEN(Q800)-FIND("x",Q800)-1),LEN(RIGHT(Q800,LEN(Q800)-FIND("x",Q800)-1))-2)))</f>
        <v>101.9</v>
      </c>
    </row>
    <row r="801" spans="1:19" x14ac:dyDescent="0.25">
      <c r="A801" t="s">
        <v>1725</v>
      </c>
      <c r="B801" t="s">
        <v>1322</v>
      </c>
      <c r="E801" t="s">
        <v>2634</v>
      </c>
      <c r="H801" t="s">
        <v>62</v>
      </c>
      <c r="L801" t="s">
        <v>2717</v>
      </c>
      <c r="M801" t="s">
        <v>2757</v>
      </c>
      <c r="N801" t="s">
        <v>903</v>
      </c>
      <c r="O801" t="s">
        <v>303</v>
      </c>
      <c r="Q801" t="s">
        <v>3491</v>
      </c>
      <c r="R801" s="52">
        <f>_xlfn.NUMBERVALUE(convertNumberStringPointToNumberComma(LEFT(Q801,FIND("x",Q801)-2)))</f>
        <v>74</v>
      </c>
      <c r="S801" s="52">
        <f>_xlfn.NUMBERVALUE(convertNumberStringPointToNumberComma(LEFT(RIGHT(Q801,LEN(Q801)-FIND("x",Q801)-1),LEN(RIGHT(Q801,LEN(Q801)-FIND("x",Q801)-1))-2)))</f>
        <v>101.9</v>
      </c>
    </row>
    <row r="802" spans="1:19" x14ac:dyDescent="0.25">
      <c r="A802" t="s">
        <v>2284</v>
      </c>
      <c r="B802" t="s">
        <v>664</v>
      </c>
      <c r="E802" t="s">
        <v>2651</v>
      </c>
      <c r="H802" t="s">
        <v>3107</v>
      </c>
      <c r="M802" t="s">
        <v>3106</v>
      </c>
      <c r="O802" t="s">
        <v>10</v>
      </c>
      <c r="Q802" t="s">
        <v>3897</v>
      </c>
      <c r="R802" s="52">
        <f>_xlfn.NUMBERVALUE(convertNumberStringPointToNumberComma(LEFT(Q802,FIND("x",Q802)-2)))</f>
        <v>74</v>
      </c>
      <c r="S802" s="52">
        <f>_xlfn.NUMBERVALUE(convertNumberStringPointToNumberComma(LEFT(RIGHT(Q802,LEN(Q802)-FIND("x",Q802)-1),LEN(RIGHT(Q802,LEN(Q802)-FIND("x",Q802)-1))-2)))</f>
        <v>105</v>
      </c>
    </row>
    <row r="803" spans="1:19" x14ac:dyDescent="0.25">
      <c r="A803" t="s">
        <v>1103</v>
      </c>
      <c r="B803" t="s">
        <v>927</v>
      </c>
      <c r="C803" s="5">
        <f>convertNumberStringPointToNumberComma(IFERROR(LEFT(B803,(FIND("-",B803)-1)),LEFT(B803,FIND("mm",B803)-1)))</f>
        <v>70</v>
      </c>
      <c r="D803" s="5">
        <f>convertNumberStringPointToNumberComma(IFERROR(RIGHT(LEFT(B803,FIND("m",B803)-1),LEN(LEFT(B803,FIND("m",B803)-1))-FIND("-",LEFT(B803,FIND("m",B803)-1))-1),C803))</f>
        <v>0</v>
      </c>
      <c r="E803" t="s">
        <v>2634</v>
      </c>
      <c r="F803" s="9">
        <f>convertNumberStringPointToNumberComma(LEFT(MID(E803,3,9),IFERROR(FIND("-",MID(E803,3,9))-2,3)))</f>
        <v>4</v>
      </c>
      <c r="G803" s="9">
        <f>convertNumberStringPointToNumberComma(RIGHT(E803,IF(ISERROR(FIND(".",RIGHT(E803,3))),1,3)))</f>
        <v>5.6</v>
      </c>
      <c r="H803" t="s">
        <v>84</v>
      </c>
      <c r="I803" s="5" t="str">
        <f>IF(H803="none",0,LEFT(H803,LEN(H803)-2))</f>
        <v>62</v>
      </c>
      <c r="J803" s="5" t="s">
        <v>118</v>
      </c>
      <c r="K803" s="10">
        <f>IF(J803="",0,convertNumberStringPointToNumberComma(LEFT(J803,LEN(J803)-1)))</f>
        <v>0.16</v>
      </c>
      <c r="L803" t="s">
        <v>2728</v>
      </c>
      <c r="M803" t="s">
        <v>8</v>
      </c>
      <c r="N803" t="s">
        <v>913</v>
      </c>
      <c r="O803" t="s">
        <v>28</v>
      </c>
      <c r="P803" s="5" t="str">
        <f>LEFT(O803,LEN(O803)-1)</f>
        <v>470</v>
      </c>
      <c r="Q803" t="s">
        <v>3310</v>
      </c>
      <c r="R803" s="52">
        <f>_xlfn.NUMBERVALUE(convertNumberStringPointToNumberComma(LEFT(Q803,FIND("x",Q803)-2)))</f>
        <v>74</v>
      </c>
      <c r="S803" s="52">
        <f>_xlfn.NUMBERVALUE(convertNumberStringPointToNumberComma(LEFT(RIGHT(Q803,LEN(Q803)-FIND("x",Q803)-1),LEN(RIGHT(Q803,LEN(Q803)-FIND("x",Q803)-1))-2)))</f>
        <v>116.5</v>
      </c>
    </row>
    <row r="804" spans="1:19" x14ac:dyDescent="0.25">
      <c r="A804" t="s">
        <v>2139</v>
      </c>
      <c r="B804" t="s">
        <v>631</v>
      </c>
      <c r="E804" t="s">
        <v>3079</v>
      </c>
      <c r="H804" t="s">
        <v>56</v>
      </c>
      <c r="L804" t="s">
        <v>3080</v>
      </c>
      <c r="M804" t="s">
        <v>2748</v>
      </c>
      <c r="N804" t="s">
        <v>903</v>
      </c>
      <c r="O804" t="s">
        <v>2811</v>
      </c>
      <c r="Q804" t="s">
        <v>3845</v>
      </c>
      <c r="R804" s="52">
        <f>_xlfn.NUMBERVALUE(convertNumberStringPointToNumberComma(LEFT(Q804,FIND("x",Q804)-2)))</f>
        <v>74</v>
      </c>
      <c r="S804" s="52">
        <f>_xlfn.NUMBERVALUE(convertNumberStringPointToNumberComma(LEFT(RIGHT(Q804,LEN(Q804)-FIND("x",Q804)-1),LEN(RIGHT(Q804,LEN(Q804)-FIND("x",Q804)-1))-2)))</f>
        <v>128</v>
      </c>
    </row>
    <row r="805" spans="1:19" x14ac:dyDescent="0.25">
      <c r="A805" t="s">
        <v>2140</v>
      </c>
      <c r="B805" t="s">
        <v>631</v>
      </c>
      <c r="E805" t="s">
        <v>3079</v>
      </c>
      <c r="H805" t="s">
        <v>56</v>
      </c>
      <c r="L805" t="s">
        <v>3080</v>
      </c>
      <c r="M805" t="s">
        <v>2674</v>
      </c>
      <c r="N805" t="s">
        <v>903</v>
      </c>
      <c r="O805" t="s">
        <v>2811</v>
      </c>
      <c r="Q805" t="s">
        <v>3845</v>
      </c>
      <c r="R805" s="52">
        <f>_xlfn.NUMBERVALUE(convertNumberStringPointToNumberComma(LEFT(Q805,FIND("x",Q805)-2)))</f>
        <v>74</v>
      </c>
      <c r="S805" s="52">
        <f>_xlfn.NUMBERVALUE(convertNumberStringPointToNumberComma(LEFT(RIGHT(Q805,LEN(Q805)-FIND("x",Q805)-1),LEN(RIGHT(Q805,LEN(Q805)-FIND("x",Q805)-1))-2)))</f>
        <v>128</v>
      </c>
    </row>
    <row r="806" spans="1:19" x14ac:dyDescent="0.25">
      <c r="A806" t="s">
        <v>2141</v>
      </c>
      <c r="B806" t="s">
        <v>631</v>
      </c>
      <c r="E806" t="s">
        <v>3079</v>
      </c>
      <c r="H806" t="s">
        <v>56</v>
      </c>
      <c r="L806" t="s">
        <v>3080</v>
      </c>
      <c r="M806" t="s">
        <v>2680</v>
      </c>
      <c r="N806" t="s">
        <v>2681</v>
      </c>
      <c r="O806" t="s">
        <v>2811</v>
      </c>
      <c r="Q806" t="s">
        <v>3845</v>
      </c>
      <c r="R806" s="52">
        <f>_xlfn.NUMBERVALUE(convertNumberStringPointToNumberComma(LEFT(Q806,FIND("x",Q806)-2)))</f>
        <v>74</v>
      </c>
      <c r="S806" s="52">
        <f>_xlfn.NUMBERVALUE(convertNumberStringPointToNumberComma(LEFT(RIGHT(Q806,LEN(Q806)-FIND("x",Q806)-1),LEN(RIGHT(Q806,LEN(Q806)-FIND("x",Q806)-1))-2)))</f>
        <v>128</v>
      </c>
    </row>
    <row r="807" spans="1:19" x14ac:dyDescent="0.25">
      <c r="A807" t="s">
        <v>2142</v>
      </c>
      <c r="B807" t="s">
        <v>631</v>
      </c>
      <c r="E807" t="s">
        <v>3079</v>
      </c>
      <c r="H807" t="s">
        <v>56</v>
      </c>
      <c r="L807" t="s">
        <v>3080</v>
      </c>
      <c r="M807" t="s">
        <v>2763</v>
      </c>
      <c r="N807" t="s">
        <v>903</v>
      </c>
      <c r="O807" t="s">
        <v>2811</v>
      </c>
      <c r="Q807" t="s">
        <v>3845</v>
      </c>
      <c r="R807" s="52">
        <f>_xlfn.NUMBERVALUE(convertNumberStringPointToNumberComma(LEFT(Q807,FIND("x",Q807)-2)))</f>
        <v>74</v>
      </c>
      <c r="S807" s="52">
        <f>_xlfn.NUMBERVALUE(convertNumberStringPointToNumberComma(LEFT(RIGHT(Q807,LEN(Q807)-FIND("x",Q807)-1),LEN(RIGHT(Q807,LEN(Q807)-FIND("x",Q807)-1))-2)))</f>
        <v>128</v>
      </c>
    </row>
    <row r="808" spans="1:19" x14ac:dyDescent="0.25">
      <c r="A808" t="s">
        <v>2154</v>
      </c>
      <c r="B808" t="s">
        <v>678</v>
      </c>
      <c r="E808" t="s">
        <v>2635</v>
      </c>
      <c r="H808" t="s">
        <v>318</v>
      </c>
      <c r="L808" t="s">
        <v>2686</v>
      </c>
      <c r="M808" t="s">
        <v>2682</v>
      </c>
      <c r="N808" t="s">
        <v>903</v>
      </c>
      <c r="O808" t="s">
        <v>2771</v>
      </c>
      <c r="Q808" t="s">
        <v>3850</v>
      </c>
      <c r="R808" s="52">
        <f>_xlfn.NUMBERVALUE(convertNumberStringPointToNumberComma(LEFT(Q808,FIND("x",Q808)-2)))</f>
        <v>74</v>
      </c>
      <c r="S808" s="52">
        <f>_xlfn.NUMBERVALUE(convertNumberStringPointToNumberComma(LEFT(RIGHT(Q808,LEN(Q808)-FIND("x",Q808)-1),LEN(RIGHT(Q808,LEN(Q808)-FIND("x",Q808)-1))-2)))</f>
        <v>60</v>
      </c>
    </row>
    <row r="809" spans="1:19" x14ac:dyDescent="0.25">
      <c r="A809" t="s">
        <v>2586</v>
      </c>
      <c r="B809" t="s">
        <v>1082</v>
      </c>
      <c r="E809" t="s">
        <v>2648</v>
      </c>
      <c r="H809" t="s">
        <v>56</v>
      </c>
      <c r="L809" t="s">
        <v>2698</v>
      </c>
      <c r="M809" t="s">
        <v>2680</v>
      </c>
      <c r="N809" t="s">
        <v>2681</v>
      </c>
      <c r="O809" t="s">
        <v>744</v>
      </c>
      <c r="Q809" t="s">
        <v>4056</v>
      </c>
      <c r="R809" s="52">
        <f>_xlfn.NUMBERVALUE(convertNumberStringPointToNumberComma(LEFT(Q809,FIND("x",Q809)-2)))</f>
        <v>74</v>
      </c>
      <c r="S809" s="52">
        <f>_xlfn.NUMBERVALUE(convertNumberStringPointToNumberComma(LEFT(RIGHT(Q809,LEN(Q809)-FIND("x",Q809)-1),LEN(RIGHT(Q809,LEN(Q809)-FIND("x",Q809)-1))-2)))</f>
        <v>77</v>
      </c>
    </row>
    <row r="810" spans="1:19" x14ac:dyDescent="0.25">
      <c r="A810" t="s">
        <v>1502</v>
      </c>
      <c r="B810" t="s">
        <v>1330</v>
      </c>
      <c r="E810" t="s">
        <v>2655</v>
      </c>
      <c r="H810" t="s">
        <v>56</v>
      </c>
      <c r="L810" t="s">
        <v>2797</v>
      </c>
      <c r="M810" t="s">
        <v>8</v>
      </c>
      <c r="N810" t="s">
        <v>903</v>
      </c>
      <c r="O810" t="s">
        <v>308</v>
      </c>
      <c r="Q810" t="s">
        <v>3527</v>
      </c>
      <c r="R810" s="52">
        <f>_xlfn.NUMBERVALUE(convertNumberStringPointToNumberComma(LEFT(Q810,FIND("x",Q810)-2)))</f>
        <v>74</v>
      </c>
      <c r="S810" s="52">
        <f>_xlfn.NUMBERVALUE(convertNumberStringPointToNumberComma(LEFT(RIGHT(Q810,LEN(Q810)-FIND("x",Q810)-1),LEN(RIGHT(Q810,LEN(Q810)-FIND("x",Q810)-1))-2)))</f>
        <v>88.5</v>
      </c>
    </row>
    <row r="811" spans="1:19" x14ac:dyDescent="0.25">
      <c r="A811" t="s">
        <v>1901</v>
      </c>
      <c r="B811" t="s">
        <v>1330</v>
      </c>
      <c r="E811" t="s">
        <v>2655</v>
      </c>
      <c r="H811" t="s">
        <v>56</v>
      </c>
      <c r="L811" t="s">
        <v>2797</v>
      </c>
      <c r="M811" t="s">
        <v>2793</v>
      </c>
      <c r="N811" t="s">
        <v>903</v>
      </c>
      <c r="O811" t="s">
        <v>308</v>
      </c>
      <c r="Q811" t="s">
        <v>3527</v>
      </c>
      <c r="R811" s="52">
        <f>_xlfn.NUMBERVALUE(convertNumberStringPointToNumberComma(LEFT(Q811,FIND("x",Q811)-2)))</f>
        <v>74</v>
      </c>
      <c r="S811" s="52">
        <f>_xlfn.NUMBERVALUE(convertNumberStringPointToNumberComma(LEFT(RIGHT(Q811,LEN(Q811)-FIND("x",Q811)-1),LEN(RIGHT(Q811,LEN(Q811)-FIND("x",Q811)-1))-2)))</f>
        <v>88.5</v>
      </c>
    </row>
    <row r="812" spans="1:19" x14ac:dyDescent="0.25">
      <c r="A812" t="s">
        <v>1902</v>
      </c>
      <c r="B812" t="s">
        <v>1330</v>
      </c>
      <c r="E812" t="s">
        <v>2655</v>
      </c>
      <c r="H812" t="s">
        <v>56</v>
      </c>
      <c r="L812" t="s">
        <v>2797</v>
      </c>
      <c r="M812" t="s">
        <v>2757</v>
      </c>
      <c r="N812" t="s">
        <v>903</v>
      </c>
      <c r="O812" t="s">
        <v>308</v>
      </c>
      <c r="Q812" t="s">
        <v>3527</v>
      </c>
      <c r="R812" s="52">
        <f>_xlfn.NUMBERVALUE(convertNumberStringPointToNumberComma(LEFT(Q812,FIND("x",Q812)-2)))</f>
        <v>74</v>
      </c>
      <c r="S812" s="52">
        <f>_xlfn.NUMBERVALUE(convertNumberStringPointToNumberComma(LEFT(RIGHT(Q812,LEN(Q812)-FIND("x",Q812)-1),LEN(RIGHT(Q812,LEN(Q812)-FIND("x",Q812)-1))-2)))</f>
        <v>88.5</v>
      </c>
    </row>
    <row r="813" spans="1:19" x14ac:dyDescent="0.25">
      <c r="A813" t="s">
        <v>1190</v>
      </c>
      <c r="B813" t="s">
        <v>1191</v>
      </c>
      <c r="C813" s="5">
        <f>convertNumberStringPointToNumberComma(IFERROR(LEFT(B813,(FIND("-",B813)-1)),LEFT(B813,FIND("mm",B813)-1)))</f>
        <v>18</v>
      </c>
      <c r="D813" s="5">
        <f>convertNumberStringPointToNumberComma(IFERROR(RIGHT(LEFT(B813,FIND("m",B813)-1),LEN(LEFT(B813,FIND("m",B813)-1))-FIND("-",LEFT(B813,FIND("m",B813)-1))-1),C813))</f>
        <v>0</v>
      </c>
      <c r="E813" t="s">
        <v>2632</v>
      </c>
      <c r="F813" s="9">
        <f>convertNumberStringPointToNumberComma(LEFT(MID(E813,3,9),IFERROR(FIND("-",MID(E813,3,9))-2,3)))</f>
        <v>2.8</v>
      </c>
      <c r="G813" s="9">
        <f>convertNumberStringPointToNumberComma(RIGHT(E813,IF(ISERROR(FIND(".",RIGHT(E813,3))),1,3)))</f>
        <v>2.8</v>
      </c>
      <c r="H813" t="s">
        <v>56</v>
      </c>
      <c r="I813" s="5" t="str">
        <f>IF(H813="none",0,LEFT(H813,LEN(H813)-2))</f>
        <v>67</v>
      </c>
      <c r="J813" s="5" t="s">
        <v>32</v>
      </c>
      <c r="K813" s="10">
        <f>IF(J813="",0,convertNumberStringPointToNumberComma(LEFT(J813,LEN(J813)-1)))</f>
        <v>0.12</v>
      </c>
      <c r="L813" t="s">
        <v>2698</v>
      </c>
      <c r="N813" t="s">
        <v>903</v>
      </c>
      <c r="O813" t="s">
        <v>2833</v>
      </c>
      <c r="P813" s="5" t="str">
        <f>LEFT(O813,LEN(O813)-1)</f>
        <v>445</v>
      </c>
      <c r="Q813" t="s">
        <v>3354</v>
      </c>
      <c r="R813" s="52">
        <f>_xlfn.NUMBERVALUE(convertNumberStringPointToNumberComma(LEFT(Q813,FIND("x",Q813)-2)))</f>
        <v>74.099999999999994</v>
      </c>
      <c r="S813" s="52">
        <f>_xlfn.NUMBERVALUE(convertNumberStringPointToNumberComma(LEFT(RIGHT(Q813,LEN(Q813)-FIND("x",Q813)-1),LEN(RIGHT(Q813,LEN(Q813)-FIND("x",Q813)-1))-2)))</f>
        <v>84.1</v>
      </c>
    </row>
    <row r="814" spans="1:19" x14ac:dyDescent="0.25">
      <c r="A814" t="s">
        <v>1418</v>
      </c>
      <c r="B814" t="s">
        <v>586</v>
      </c>
      <c r="E814" t="s">
        <v>2643</v>
      </c>
      <c r="H814" t="s">
        <v>84</v>
      </c>
      <c r="L814" t="s">
        <v>2898</v>
      </c>
      <c r="M814" t="s">
        <v>2757</v>
      </c>
      <c r="N814" t="s">
        <v>903</v>
      </c>
      <c r="O814" t="s">
        <v>589</v>
      </c>
      <c r="Q814" t="s">
        <v>3489</v>
      </c>
      <c r="R814" s="52">
        <f>_xlfn.NUMBERVALUE(convertNumberStringPointToNumberComma(LEFT(Q814,FIND("x",Q814)-2)))</f>
        <v>74.2</v>
      </c>
      <c r="S814" s="52">
        <f>_xlfn.NUMBERVALUE(convertNumberStringPointToNumberComma(LEFT(RIGHT(Q814,LEN(Q814)-FIND("x",Q814)-1),LEN(RIGHT(Q814,LEN(Q814)-FIND("x",Q814)-1))-2)))</f>
        <v>63.3</v>
      </c>
    </row>
    <row r="815" spans="1:19" x14ac:dyDescent="0.25">
      <c r="A815" t="s">
        <v>1625</v>
      </c>
      <c r="B815" t="s">
        <v>586</v>
      </c>
      <c r="E815" t="s">
        <v>2643</v>
      </c>
      <c r="H815" t="s">
        <v>84</v>
      </c>
      <c r="L815" t="s">
        <v>2898</v>
      </c>
      <c r="M815" t="s">
        <v>2708</v>
      </c>
      <c r="N815" t="s">
        <v>903</v>
      </c>
      <c r="O815" t="s">
        <v>589</v>
      </c>
      <c r="Q815" t="s">
        <v>3489</v>
      </c>
      <c r="R815" s="52">
        <f>_xlfn.NUMBERVALUE(convertNumberStringPointToNumberComma(LEFT(Q815,FIND("x",Q815)-2)))</f>
        <v>74.2</v>
      </c>
      <c r="S815" s="52">
        <f>_xlfn.NUMBERVALUE(convertNumberStringPointToNumberComma(LEFT(RIGHT(Q815,LEN(Q815)-FIND("x",Q815)-1),LEN(RIGHT(Q815,LEN(Q815)-FIND("x",Q815)-1))-2)))</f>
        <v>63.3</v>
      </c>
    </row>
    <row r="816" spans="1:19" x14ac:dyDescent="0.25">
      <c r="A816" t="s">
        <v>2326</v>
      </c>
      <c r="B816" t="s">
        <v>586</v>
      </c>
      <c r="E816" t="s">
        <v>2643</v>
      </c>
      <c r="H816" t="s">
        <v>84</v>
      </c>
      <c r="L816" t="s">
        <v>2898</v>
      </c>
      <c r="M816" t="s">
        <v>2793</v>
      </c>
      <c r="N816" t="s">
        <v>903</v>
      </c>
      <c r="O816" t="s">
        <v>589</v>
      </c>
      <c r="Q816" t="s">
        <v>3489</v>
      </c>
      <c r="R816" s="52">
        <f>_xlfn.NUMBERVALUE(convertNumberStringPointToNumberComma(LEFT(Q816,FIND("x",Q816)-2)))</f>
        <v>74.2</v>
      </c>
      <c r="S816" s="52">
        <f>_xlfn.NUMBERVALUE(convertNumberStringPointToNumberComma(LEFT(RIGHT(Q816,LEN(Q816)-FIND("x",Q816)-1),LEN(RIGHT(Q816,LEN(Q816)-FIND("x",Q816)-1))-2)))</f>
        <v>63.3</v>
      </c>
    </row>
    <row r="817" spans="1:19" x14ac:dyDescent="0.25">
      <c r="A817" t="s">
        <v>2497</v>
      </c>
      <c r="B817" t="s">
        <v>586</v>
      </c>
      <c r="E817" t="s">
        <v>2643</v>
      </c>
      <c r="H817" t="s">
        <v>84</v>
      </c>
      <c r="L817" t="s">
        <v>2898</v>
      </c>
      <c r="M817" t="s">
        <v>8</v>
      </c>
      <c r="N817" t="s">
        <v>903</v>
      </c>
      <c r="O817" t="s">
        <v>589</v>
      </c>
      <c r="Q817" t="s">
        <v>3489</v>
      </c>
      <c r="R817" s="52">
        <f>_xlfn.NUMBERVALUE(convertNumberStringPointToNumberComma(LEFT(Q817,FIND("x",Q817)-2)))</f>
        <v>74.2</v>
      </c>
      <c r="S817" s="52">
        <f>_xlfn.NUMBERVALUE(convertNumberStringPointToNumberComma(LEFT(RIGHT(Q817,LEN(Q817)-FIND("x",Q817)-1),LEN(RIGHT(Q817,LEN(Q817)-FIND("x",Q817)-1))-2)))</f>
        <v>63.3</v>
      </c>
    </row>
    <row r="818" spans="1:19" x14ac:dyDescent="0.25">
      <c r="A818" t="s">
        <v>1623</v>
      </c>
      <c r="B818" t="s">
        <v>1350</v>
      </c>
      <c r="E818" t="s">
        <v>2644</v>
      </c>
      <c r="H818" t="s">
        <v>84</v>
      </c>
      <c r="L818" t="s">
        <v>2854</v>
      </c>
      <c r="M818" t="s">
        <v>8</v>
      </c>
      <c r="N818" t="s">
        <v>903</v>
      </c>
      <c r="O818" t="s">
        <v>327</v>
      </c>
      <c r="Q818" t="s">
        <v>3581</v>
      </c>
      <c r="R818" s="52">
        <f>_xlfn.NUMBERVALUE(convertNumberStringPointToNumberComma(LEFT(Q818,FIND("x",Q818)-2)))</f>
        <v>74.400000000000006</v>
      </c>
      <c r="S818" s="52">
        <f>_xlfn.NUMBERVALUE(convertNumberStringPointToNumberComma(LEFT(RIGHT(Q818,LEN(Q818)-FIND("x",Q818)-1),LEN(RIGHT(Q818,LEN(Q818)-FIND("x",Q818)-1))-2)))</f>
        <v>84.3</v>
      </c>
    </row>
    <row r="819" spans="1:19" x14ac:dyDescent="0.25">
      <c r="A819" t="s">
        <v>2487</v>
      </c>
      <c r="B819" t="s">
        <v>1245</v>
      </c>
      <c r="E819" t="s">
        <v>2644</v>
      </c>
      <c r="H819" t="s">
        <v>84</v>
      </c>
      <c r="L819" t="s">
        <v>2797</v>
      </c>
      <c r="M819" t="s">
        <v>8</v>
      </c>
      <c r="N819" t="s">
        <v>903</v>
      </c>
      <c r="O819" t="s">
        <v>92</v>
      </c>
      <c r="Q819" t="s">
        <v>4020</v>
      </c>
      <c r="R819" s="52">
        <f>_xlfn.NUMBERVALUE(convertNumberStringPointToNumberComma(LEFT(Q819,FIND("x",Q819)-2)))</f>
        <v>74.400000000000006</v>
      </c>
      <c r="S819" s="52">
        <f>_xlfn.NUMBERVALUE(convertNumberStringPointToNumberComma(LEFT(RIGHT(Q819,LEN(Q819)-FIND("x",Q819)-1),LEN(RIGHT(Q819,LEN(Q819)-FIND("x",Q819)-1))-2)))</f>
        <v>96.4</v>
      </c>
    </row>
    <row r="820" spans="1:19" x14ac:dyDescent="0.25">
      <c r="A820" t="s">
        <v>2536</v>
      </c>
      <c r="B820" t="s">
        <v>1245</v>
      </c>
      <c r="E820" t="s">
        <v>2644</v>
      </c>
      <c r="H820" t="s">
        <v>84</v>
      </c>
      <c r="L820" t="s">
        <v>2797</v>
      </c>
      <c r="M820" t="s">
        <v>2757</v>
      </c>
      <c r="N820" t="s">
        <v>903</v>
      </c>
      <c r="O820" t="s">
        <v>92</v>
      </c>
      <c r="Q820" t="s">
        <v>4020</v>
      </c>
      <c r="R820" s="52">
        <f>_xlfn.NUMBERVALUE(convertNumberStringPointToNumberComma(LEFT(Q820,FIND("x",Q820)-2)))</f>
        <v>74.400000000000006</v>
      </c>
      <c r="S820" s="52">
        <f>_xlfn.NUMBERVALUE(convertNumberStringPointToNumberComma(LEFT(RIGHT(Q820,LEN(Q820)-FIND("x",Q820)-1),LEN(RIGHT(Q820,LEN(Q820)-FIND("x",Q820)-1))-2)))</f>
        <v>96.4</v>
      </c>
    </row>
    <row r="821" spans="1:19" x14ac:dyDescent="0.25">
      <c r="A821" t="s">
        <v>2575</v>
      </c>
      <c r="B821" t="s">
        <v>1245</v>
      </c>
      <c r="E821" t="s">
        <v>2644</v>
      </c>
      <c r="H821" t="s">
        <v>84</v>
      </c>
      <c r="L821" t="s">
        <v>2797</v>
      </c>
      <c r="M821" t="s">
        <v>2708</v>
      </c>
      <c r="N821" t="s">
        <v>903</v>
      </c>
      <c r="O821" t="s">
        <v>92</v>
      </c>
      <c r="Q821" t="s">
        <v>4020</v>
      </c>
      <c r="R821" s="52">
        <f>_xlfn.NUMBERVALUE(convertNumberStringPointToNumberComma(LEFT(Q821,FIND("x",Q821)-2)))</f>
        <v>74.400000000000006</v>
      </c>
      <c r="S821" s="52">
        <f>_xlfn.NUMBERVALUE(convertNumberStringPointToNumberComma(LEFT(RIGHT(Q821,LEN(Q821)-FIND("x",Q821)-1),LEN(RIGHT(Q821,LEN(Q821)-FIND("x",Q821)-1))-2)))</f>
        <v>96.4</v>
      </c>
    </row>
    <row r="822" spans="1:19" x14ac:dyDescent="0.25">
      <c r="A822" t="s">
        <v>1926</v>
      </c>
      <c r="B822" t="s">
        <v>432</v>
      </c>
      <c r="E822" t="s">
        <v>2633</v>
      </c>
      <c r="H822" t="s">
        <v>91</v>
      </c>
      <c r="L822" t="s">
        <v>2704</v>
      </c>
      <c r="M822" t="s">
        <v>2989</v>
      </c>
      <c r="N822" t="s">
        <v>913</v>
      </c>
      <c r="O822" t="s">
        <v>96</v>
      </c>
      <c r="Q822" t="s">
        <v>3753</v>
      </c>
      <c r="R822" s="52">
        <f>_xlfn.NUMBERVALUE(convertNumberStringPointToNumberComma(LEFT(Q822,FIND("x",Q822)-2)))</f>
        <v>74.5</v>
      </c>
      <c r="S822" s="52">
        <f>_xlfn.NUMBERVALUE(convertNumberStringPointToNumberComma(LEFT(RIGHT(Q822,LEN(Q822)-FIND("x",Q822)-1),LEN(RIGHT(Q822,LEN(Q822)-FIND("x",Q822)-1))-2)))</f>
        <v>119</v>
      </c>
    </row>
    <row r="823" spans="1:19" x14ac:dyDescent="0.25">
      <c r="A823" t="s">
        <v>1924</v>
      </c>
      <c r="B823" t="s">
        <v>1357</v>
      </c>
      <c r="E823" t="s">
        <v>2632</v>
      </c>
      <c r="H823" t="s">
        <v>91</v>
      </c>
      <c r="L823" t="s">
        <v>2750</v>
      </c>
      <c r="M823" t="s">
        <v>2989</v>
      </c>
      <c r="N823" t="s">
        <v>913</v>
      </c>
      <c r="O823" t="s">
        <v>2921</v>
      </c>
      <c r="Q823" t="s">
        <v>3751</v>
      </c>
      <c r="R823" s="52">
        <f>_xlfn.NUMBERVALUE(convertNumberStringPointToNumberComma(LEFT(Q823,FIND("x",Q823)-2)))</f>
        <v>74.5</v>
      </c>
      <c r="S823" s="52">
        <f>_xlfn.NUMBERVALUE(convertNumberStringPointToNumberComma(LEFT(RIGHT(Q823,LEN(Q823)-FIND("x",Q823)-1),LEN(RIGHT(Q823,LEN(Q823)-FIND("x",Q823)-1))-2)))</f>
        <v>37.5</v>
      </c>
    </row>
    <row r="824" spans="1:19" x14ac:dyDescent="0.25">
      <c r="A824" t="s">
        <v>1500</v>
      </c>
      <c r="B824" t="s">
        <v>1501</v>
      </c>
      <c r="E824" t="s">
        <v>2661</v>
      </c>
      <c r="H824" t="s">
        <v>56</v>
      </c>
      <c r="L824" t="s">
        <v>2777</v>
      </c>
      <c r="M824" t="s">
        <v>2681</v>
      </c>
      <c r="N824" t="s">
        <v>2681</v>
      </c>
      <c r="O824" t="s">
        <v>37</v>
      </c>
      <c r="Q824" t="s">
        <v>3526</v>
      </c>
      <c r="R824" s="52">
        <f>_xlfn.NUMBERVALUE(convertNumberStringPointToNumberComma(LEFT(Q824,FIND("x",Q824)-2)))</f>
        <v>74.5</v>
      </c>
      <c r="S824" s="52">
        <f>_xlfn.NUMBERVALUE(convertNumberStringPointToNumberComma(LEFT(RIGHT(Q824,LEN(Q824)-FIND("x",Q824)-1),LEN(RIGHT(Q824,LEN(Q824)-FIND("x",Q824)-1))-2)))</f>
        <v>88.5</v>
      </c>
    </row>
    <row r="825" spans="1:19" x14ac:dyDescent="0.25">
      <c r="A825" t="s">
        <v>1925</v>
      </c>
      <c r="B825" t="s">
        <v>216</v>
      </c>
      <c r="E825" t="s">
        <v>2632</v>
      </c>
      <c r="H825" t="s">
        <v>56</v>
      </c>
      <c r="M825" t="s">
        <v>2989</v>
      </c>
      <c r="N825" t="s">
        <v>913</v>
      </c>
      <c r="O825" t="s">
        <v>562</v>
      </c>
      <c r="Q825" t="s">
        <v>3752</v>
      </c>
      <c r="R825" s="52">
        <f>_xlfn.NUMBERVALUE(convertNumberStringPointToNumberComma(LEFT(Q825,FIND("x",Q825)-2)))</f>
        <v>74.5</v>
      </c>
      <c r="S825" s="52">
        <f>_xlfn.NUMBERVALUE(convertNumberStringPointToNumberComma(LEFT(RIGHT(Q825,LEN(Q825)-FIND("x",Q825)-1),LEN(RIGHT(Q825,LEN(Q825)-FIND("x",Q825)-1))-2)))</f>
        <v>96</v>
      </c>
    </row>
    <row r="826" spans="1:19" x14ac:dyDescent="0.25">
      <c r="A826" t="s">
        <v>1737</v>
      </c>
      <c r="B826" t="s">
        <v>960</v>
      </c>
      <c r="E826" t="s">
        <v>2647</v>
      </c>
      <c r="H826" t="s">
        <v>56</v>
      </c>
      <c r="M826" t="s">
        <v>2818</v>
      </c>
      <c r="N826" t="s">
        <v>2959</v>
      </c>
      <c r="O826" t="s">
        <v>2996</v>
      </c>
      <c r="Q826" t="s">
        <v>3656</v>
      </c>
      <c r="R826" s="52">
        <f>_xlfn.NUMBERVALUE(convertNumberStringPointToNumberComma(LEFT(Q826,FIND("x",Q826)-2)))</f>
        <v>74.599999999999994</v>
      </c>
      <c r="S826" s="52">
        <f>_xlfn.NUMBERVALUE(convertNumberStringPointToNumberComma(LEFT(RIGHT(Q826,LEN(Q826)-FIND("x",Q826)-1),LEN(RIGHT(Q826,LEN(Q826)-FIND("x",Q826)-1))-2)))</f>
        <v>42.5</v>
      </c>
    </row>
    <row r="827" spans="1:19" x14ac:dyDescent="0.25">
      <c r="A827" t="s">
        <v>998</v>
      </c>
      <c r="B827" t="s">
        <v>980</v>
      </c>
      <c r="C827" s="5">
        <f>convertNumberStringPointToNumberComma(IFERROR(LEFT(B827,(FIND("-",B827)-1)),LEFT(B827,FIND("mm",B827)-1)))</f>
        <v>10</v>
      </c>
      <c r="D827" s="5">
        <f>convertNumberStringPointToNumberComma(IFERROR(RIGHT(LEFT(B827,FIND("m",B827)-1),LEN(LEFT(B827,FIND("m",B827)-1))-FIND("-",LEFT(B827,FIND("m",B827)-1))-1),C827))</f>
        <v>8</v>
      </c>
      <c r="E827" t="s">
        <v>2636</v>
      </c>
      <c r="F827" s="9">
        <f>convertNumberStringPointToNumberComma(LEFT(MID(E827,3,9),IFERROR(FIND("-",MID(E827,3,9))-2,3)))</f>
        <v>4</v>
      </c>
      <c r="G827" s="9">
        <f>convertNumberStringPointToNumberComma(RIGHT(E827,IF(ISERROR(FIND(".",RIGHT(E827,3))),1,3)))</f>
        <v>5.6</v>
      </c>
      <c r="H827" t="s">
        <v>56</v>
      </c>
      <c r="I827" s="5" t="str">
        <f>IF(H827="none",0,LEFT(H827,LEN(H827)-2))</f>
        <v>67</v>
      </c>
      <c r="J827" s="5" t="s">
        <v>57</v>
      </c>
      <c r="K827" s="10">
        <f>IF(J827="",0,convertNumberStringPointToNumberComma(LEFT(J827,LEN(J827)-1)))</f>
        <v>0.26</v>
      </c>
      <c r="L827" t="s">
        <v>2686</v>
      </c>
      <c r="M827" t="s">
        <v>2708</v>
      </c>
      <c r="N827" t="s">
        <v>903</v>
      </c>
      <c r="O827" t="s">
        <v>2740</v>
      </c>
      <c r="P827" s="5" t="str">
        <f>LEFT(O827,LEN(O827)-1)</f>
        <v>240</v>
      </c>
      <c r="Q827" t="s">
        <v>3251</v>
      </c>
      <c r="R827" s="52">
        <f>_xlfn.NUMBERVALUE(convertNumberStringPointToNumberComma(LEFT(Q827,FIND("x",Q827)-2)))</f>
        <v>74.599999999999994</v>
      </c>
      <c r="S827" s="52">
        <f>_xlfn.NUMBERVALUE(convertNumberStringPointToNumberComma(LEFT(RIGHT(Q827,LEN(Q827)-FIND("x",Q827)-1),LEN(RIGHT(Q827,LEN(Q827)-FIND("x",Q827)-1))-2)))</f>
        <v>72</v>
      </c>
    </row>
    <row r="828" spans="1:19" x14ac:dyDescent="0.25">
      <c r="A828" t="s">
        <v>1069</v>
      </c>
      <c r="B828" t="s">
        <v>980</v>
      </c>
      <c r="C828" s="5">
        <f>convertNumberStringPointToNumberComma(IFERROR(LEFT(B828,(FIND("-",B828)-1)),LEFT(B828,FIND("mm",B828)-1)))</f>
        <v>10</v>
      </c>
      <c r="D828" s="5">
        <f>convertNumberStringPointToNumberComma(IFERROR(RIGHT(LEFT(B828,FIND("m",B828)-1),LEN(LEFT(B828,FIND("m",B828)-1))-FIND("-",LEFT(B828,FIND("m",B828)-1))-1),C828))</f>
        <v>8</v>
      </c>
      <c r="E828" t="s">
        <v>2636</v>
      </c>
      <c r="F828" s="9">
        <f>convertNumberStringPointToNumberComma(LEFT(MID(E828,3,9),IFERROR(FIND("-",MID(E828,3,9))-2,3)))</f>
        <v>4</v>
      </c>
      <c r="G828" s="9">
        <f>convertNumberStringPointToNumberComma(RIGHT(E828,IF(ISERROR(FIND(".",RIGHT(E828,3))),1,3)))</f>
        <v>5.6</v>
      </c>
      <c r="H828" t="s">
        <v>56</v>
      </c>
      <c r="I828" s="5" t="str">
        <f>IF(H828="none",0,LEFT(H828,LEN(H828)-2))</f>
        <v>67</v>
      </c>
      <c r="J828" s="5" t="s">
        <v>40</v>
      </c>
      <c r="K828" s="10">
        <f>IF(J828="",0,convertNumberStringPointToNumberComma(LEFT(J828,LEN(J828)-1)))</f>
        <v>0.2</v>
      </c>
      <c r="L828" t="s">
        <v>2686</v>
      </c>
      <c r="M828" t="s">
        <v>2708</v>
      </c>
      <c r="N828" t="s">
        <v>903</v>
      </c>
      <c r="O828" t="s">
        <v>2740</v>
      </c>
      <c r="P828" s="5" t="str">
        <f>LEFT(O828,LEN(O828)-1)</f>
        <v>240</v>
      </c>
      <c r="Q828" t="s">
        <v>3251</v>
      </c>
      <c r="R828" s="52">
        <f>_xlfn.NUMBERVALUE(convertNumberStringPointToNumberComma(LEFT(Q828,FIND("x",Q828)-2)))</f>
        <v>74.599999999999994</v>
      </c>
      <c r="S828" s="52">
        <f>_xlfn.NUMBERVALUE(convertNumberStringPointToNumberComma(LEFT(RIGHT(Q828,LEN(Q828)-FIND("x",Q828)-1),LEN(RIGHT(Q828,LEN(Q828)-FIND("x",Q828)-1))-2)))</f>
        <v>72</v>
      </c>
    </row>
    <row r="829" spans="1:19" x14ac:dyDescent="0.25">
      <c r="A829" t="s">
        <v>1123</v>
      </c>
      <c r="B829" t="s">
        <v>1124</v>
      </c>
      <c r="C829" s="5">
        <f>convertNumberStringPointToNumberComma(IFERROR(LEFT(B829,(FIND("-",B829)-1)),LEFT(B829,FIND("mm",B829)-1)))</f>
        <v>16</v>
      </c>
      <c r="D829" s="5">
        <f>convertNumberStringPointToNumberComma(IFERROR(RIGHT(LEFT(B829,FIND("m",B829)-1),LEN(LEFT(B829,FIND("m",B829)-1))-FIND("-",LEFT(B829,FIND("m",B829)-1))-1),C829))</f>
        <v>0</v>
      </c>
      <c r="E829" t="s">
        <v>2644</v>
      </c>
      <c r="F829" s="9">
        <f>convertNumberStringPointToNumberComma(LEFT(MID(E829,3,9),IFERROR(FIND("-",MID(E829,3,9))-2,3)))</f>
        <v>3</v>
      </c>
      <c r="G829" s="9">
        <f>convertNumberStringPointToNumberComma(RIGHT(E829,IF(ISERROR(FIND(".",RIGHT(E829,3))),1,3)))</f>
        <v>6.3</v>
      </c>
      <c r="H829" t="s">
        <v>56</v>
      </c>
      <c r="I829" s="5" t="str">
        <f>IF(H829="none",0,LEFT(H829,LEN(H829)-2))</f>
        <v>67</v>
      </c>
      <c r="J829" s="5" t="s">
        <v>251</v>
      </c>
      <c r="K829" s="10">
        <f>IF(J829="",0,convertNumberStringPointToNumberComma(LEFT(J829,LEN(J829)-1)))</f>
        <v>0.22</v>
      </c>
      <c r="L829" t="s">
        <v>2743</v>
      </c>
      <c r="M829" t="s">
        <v>2757</v>
      </c>
      <c r="N829" t="s">
        <v>903</v>
      </c>
      <c r="O829" t="s">
        <v>64</v>
      </c>
      <c r="P829" s="5" t="str">
        <f>LEFT(O829,LEN(O829)-1)</f>
        <v>540</v>
      </c>
      <c r="Q829" t="s">
        <v>239</v>
      </c>
      <c r="R829" s="52">
        <f>_xlfn.NUMBERVALUE(convertNumberStringPointToNumberComma(LEFT(Q829,FIND("x",Q829)-2)))</f>
        <v>75</v>
      </c>
      <c r="S829" s="52">
        <f>_xlfn.NUMBERVALUE(convertNumberStringPointToNumberComma(LEFT(RIGHT(Q829,LEN(Q829)-FIND("x",Q829)-1),LEN(RIGHT(Q829,LEN(Q829)-FIND("x",Q829)-1))-2)))</f>
        <v>100</v>
      </c>
    </row>
    <row r="830" spans="1:19" x14ac:dyDescent="0.25">
      <c r="A830" t="s">
        <v>1328</v>
      </c>
      <c r="B830" t="s">
        <v>856</v>
      </c>
      <c r="E830" t="s">
        <v>2649</v>
      </c>
      <c r="M830" t="s">
        <v>8</v>
      </c>
      <c r="N830" t="s">
        <v>903</v>
      </c>
      <c r="O830" t="s">
        <v>330</v>
      </c>
      <c r="Q830" t="s">
        <v>239</v>
      </c>
      <c r="R830" s="52">
        <f>_xlfn.NUMBERVALUE(convertNumberStringPointToNumberComma(LEFT(Q830,FIND("x",Q830)-2)))</f>
        <v>75</v>
      </c>
      <c r="S830" s="52">
        <f>_xlfn.NUMBERVALUE(convertNumberStringPointToNumberComma(LEFT(RIGHT(Q830,LEN(Q830)-FIND("x",Q830)-1),LEN(RIGHT(Q830,LEN(Q830)-FIND("x",Q830)-1))-2)))</f>
        <v>100</v>
      </c>
    </row>
    <row r="831" spans="1:19" x14ac:dyDescent="0.25">
      <c r="A831" t="s">
        <v>2294</v>
      </c>
      <c r="B831" t="s">
        <v>856</v>
      </c>
      <c r="E831" t="s">
        <v>2649</v>
      </c>
      <c r="M831" t="s">
        <v>2681</v>
      </c>
      <c r="N831" t="s">
        <v>903</v>
      </c>
      <c r="O831" t="s">
        <v>330</v>
      </c>
      <c r="Q831" t="s">
        <v>239</v>
      </c>
      <c r="R831" s="52">
        <f>_xlfn.NUMBERVALUE(convertNumberStringPointToNumberComma(LEFT(Q831,FIND("x",Q831)-2)))</f>
        <v>75</v>
      </c>
      <c r="S831" s="52">
        <f>_xlfn.NUMBERVALUE(convertNumberStringPointToNumberComma(LEFT(RIGHT(Q831,LEN(Q831)-FIND("x",Q831)-1),LEN(RIGHT(Q831,LEN(Q831)-FIND("x",Q831)-1))-2)))</f>
        <v>100</v>
      </c>
    </row>
    <row r="832" spans="1:19" x14ac:dyDescent="0.25">
      <c r="A832" t="s">
        <v>2295</v>
      </c>
      <c r="B832" t="s">
        <v>856</v>
      </c>
      <c r="E832" t="s">
        <v>2649</v>
      </c>
      <c r="M832" t="s">
        <v>2680</v>
      </c>
      <c r="N832" t="s">
        <v>2681</v>
      </c>
      <c r="O832" t="s">
        <v>330</v>
      </c>
      <c r="Q832" t="s">
        <v>239</v>
      </c>
      <c r="R832" s="52">
        <f>_xlfn.NUMBERVALUE(convertNumberStringPointToNumberComma(LEFT(Q832,FIND("x",Q832)-2)))</f>
        <v>75</v>
      </c>
      <c r="S832" s="52">
        <f>_xlfn.NUMBERVALUE(convertNumberStringPointToNumberComma(LEFT(RIGHT(Q832,LEN(Q832)-FIND("x",Q832)-1),LEN(RIGHT(Q832,LEN(Q832)-FIND("x",Q832)-1))-2)))</f>
        <v>100</v>
      </c>
    </row>
    <row r="833" spans="1:19" x14ac:dyDescent="0.25">
      <c r="A833" t="s">
        <v>2296</v>
      </c>
      <c r="B833" t="s">
        <v>856</v>
      </c>
      <c r="E833" t="s">
        <v>2649</v>
      </c>
      <c r="M833" t="s">
        <v>2802</v>
      </c>
      <c r="N833" t="s">
        <v>903</v>
      </c>
      <c r="O833" t="s">
        <v>330</v>
      </c>
      <c r="Q833" t="s">
        <v>239</v>
      </c>
      <c r="R833" s="52">
        <f>_xlfn.NUMBERVALUE(convertNumberStringPointToNumberComma(LEFT(Q833,FIND("x",Q833)-2)))</f>
        <v>75</v>
      </c>
      <c r="S833" s="52">
        <f>_xlfn.NUMBERVALUE(convertNumberStringPointToNumberComma(LEFT(RIGHT(Q833,LEN(Q833)-FIND("x",Q833)-1),LEN(RIGHT(Q833,LEN(Q833)-FIND("x",Q833)-1))-2)))</f>
        <v>100</v>
      </c>
    </row>
    <row r="834" spans="1:19" x14ac:dyDescent="0.25">
      <c r="A834" t="s">
        <v>2301</v>
      </c>
      <c r="B834" t="s">
        <v>856</v>
      </c>
      <c r="E834" t="s">
        <v>2649</v>
      </c>
      <c r="M834" t="s">
        <v>2674</v>
      </c>
      <c r="N834" t="s">
        <v>903</v>
      </c>
      <c r="O834" t="s">
        <v>330</v>
      </c>
      <c r="Q834" t="s">
        <v>239</v>
      </c>
      <c r="R834" s="52">
        <f>_xlfn.NUMBERVALUE(convertNumberStringPointToNumberComma(LEFT(Q834,FIND("x",Q834)-2)))</f>
        <v>75</v>
      </c>
      <c r="S834" s="52">
        <f>_xlfn.NUMBERVALUE(convertNumberStringPointToNumberComma(LEFT(RIGHT(Q834,LEN(Q834)-FIND("x",Q834)-1),LEN(RIGHT(Q834,LEN(Q834)-FIND("x",Q834)-1))-2)))</f>
        <v>100</v>
      </c>
    </row>
    <row r="835" spans="1:19" x14ac:dyDescent="0.25">
      <c r="A835" t="s">
        <v>2369</v>
      </c>
      <c r="B835" t="s">
        <v>856</v>
      </c>
      <c r="E835" t="s">
        <v>2649</v>
      </c>
      <c r="M835" t="s">
        <v>8</v>
      </c>
      <c r="N835" t="s">
        <v>903</v>
      </c>
      <c r="O835" t="s">
        <v>330</v>
      </c>
      <c r="Q835" t="s">
        <v>239</v>
      </c>
      <c r="R835" s="52">
        <f>_xlfn.NUMBERVALUE(convertNumberStringPointToNumberComma(LEFT(Q835,FIND("x",Q835)-2)))</f>
        <v>75</v>
      </c>
      <c r="S835" s="52">
        <f>_xlfn.NUMBERVALUE(convertNumberStringPointToNumberComma(LEFT(RIGHT(Q835,LEN(Q835)-FIND("x",Q835)-1),LEN(RIGHT(Q835,LEN(Q835)-FIND("x",Q835)-1))-2)))</f>
        <v>100</v>
      </c>
    </row>
    <row r="836" spans="1:19" x14ac:dyDescent="0.25">
      <c r="A836" t="s">
        <v>2428</v>
      </c>
      <c r="B836" t="s">
        <v>1124</v>
      </c>
      <c r="E836" t="s">
        <v>2644</v>
      </c>
      <c r="H836" t="s">
        <v>56</v>
      </c>
      <c r="L836" t="s">
        <v>2743</v>
      </c>
      <c r="M836" t="s">
        <v>2708</v>
      </c>
      <c r="N836" t="s">
        <v>903</v>
      </c>
      <c r="O836" t="s">
        <v>64</v>
      </c>
      <c r="Q836" t="s">
        <v>239</v>
      </c>
      <c r="R836" s="52">
        <f>_xlfn.NUMBERVALUE(convertNumberStringPointToNumberComma(LEFT(Q836,FIND("x",Q836)-2)))</f>
        <v>75</v>
      </c>
      <c r="S836" s="52">
        <f>_xlfn.NUMBERVALUE(convertNumberStringPointToNumberComma(LEFT(RIGHT(Q836,LEN(Q836)-FIND("x",Q836)-1),LEN(RIGHT(Q836,LEN(Q836)-FIND("x",Q836)-1))-2)))</f>
        <v>100</v>
      </c>
    </row>
    <row r="837" spans="1:19" x14ac:dyDescent="0.25">
      <c r="A837" t="s">
        <v>2429</v>
      </c>
      <c r="B837" t="s">
        <v>1124</v>
      </c>
      <c r="E837" t="s">
        <v>2644</v>
      </c>
      <c r="H837" t="s">
        <v>56</v>
      </c>
      <c r="L837" t="s">
        <v>2743</v>
      </c>
      <c r="M837" t="s">
        <v>8</v>
      </c>
      <c r="N837" t="s">
        <v>903</v>
      </c>
      <c r="O837" t="s">
        <v>64</v>
      </c>
      <c r="Q837" t="s">
        <v>239</v>
      </c>
      <c r="R837" s="52">
        <f>_xlfn.NUMBERVALUE(convertNumberStringPointToNumberComma(LEFT(Q837,FIND("x",Q837)-2)))</f>
        <v>75</v>
      </c>
      <c r="S837" s="52">
        <f>_xlfn.NUMBERVALUE(convertNumberStringPointToNumberComma(LEFT(RIGHT(Q837,LEN(Q837)-FIND("x",Q837)-1),LEN(RIGHT(Q837,LEN(Q837)-FIND("x",Q837)-1))-2)))</f>
        <v>100</v>
      </c>
    </row>
    <row r="838" spans="1:19" x14ac:dyDescent="0.25">
      <c r="A838" t="s">
        <v>1147</v>
      </c>
      <c r="B838" t="s">
        <v>1148</v>
      </c>
      <c r="C838" s="5">
        <f>convertNumberStringPointToNumberComma(IFERROR(LEFT(B838,(FIND("-",B838)-1)),LEFT(B838,FIND("mm",B838)-1)))</f>
        <v>8</v>
      </c>
      <c r="D838" s="5">
        <f>convertNumberStringPointToNumberComma(IFERROR(RIGHT(LEFT(B838,FIND("m",B838)-1),LEN(LEFT(B838,FIND("m",B838)-1))-FIND("-",LEFT(B838,FIND("m",B838)-1))-1),C838))</f>
        <v>6</v>
      </c>
      <c r="E838" t="s">
        <v>2636</v>
      </c>
      <c r="F838" s="9">
        <f>convertNumberStringPointToNumberComma(LEFT(MID(E838,3,9),IFERROR(FIND("-",MID(E838,3,9))-2,3)))</f>
        <v>4</v>
      </c>
      <c r="G838" s="9">
        <f>convertNumberStringPointToNumberComma(RIGHT(E838,IF(ISERROR(FIND(".",RIGHT(E838,3))),1,3)))</f>
        <v>5.6</v>
      </c>
      <c r="H838" t="s">
        <v>2812</v>
      </c>
      <c r="I838" s="5" t="str">
        <f>IF(H838="none",0,LEFT(H838,LEN(H838)-2))</f>
        <v>nic</v>
      </c>
      <c r="J838" s="12" t="s">
        <v>22</v>
      </c>
      <c r="K838" s="10">
        <f>IF(J838="",0,convertNumberStringPointToNumberComma(LEFT(J838,LEN(J838)-1)))</f>
        <v>0.15</v>
      </c>
      <c r="L838" t="s">
        <v>2813</v>
      </c>
      <c r="M838" t="s">
        <v>8</v>
      </c>
      <c r="N838" t="s">
        <v>903</v>
      </c>
      <c r="O838" t="s">
        <v>501</v>
      </c>
      <c r="P838" s="5" t="str">
        <f>LEFT(O838,LEN(O838)-1)</f>
        <v>545</v>
      </c>
      <c r="Q838" t="s">
        <v>3331</v>
      </c>
      <c r="R838" s="52">
        <f>_xlfn.NUMBERVALUE(convertNumberStringPointToNumberComma(LEFT(Q838,FIND("x",Q838)-2)))</f>
        <v>75</v>
      </c>
      <c r="S838" s="52">
        <f>_xlfn.NUMBERVALUE(convertNumberStringPointToNumberComma(LEFT(RIGHT(Q838,LEN(Q838)-FIND("x",Q838)-1),LEN(RIGHT(Q838,LEN(Q838)-FIND("x",Q838)-1))-2)))</f>
        <v>105.7</v>
      </c>
    </row>
    <row r="839" spans="1:19" x14ac:dyDescent="0.25">
      <c r="A839" t="s">
        <v>1149</v>
      </c>
      <c r="B839" t="s">
        <v>1148</v>
      </c>
      <c r="C839" s="5">
        <f>convertNumberStringPointToNumberComma(IFERROR(LEFT(B839,(FIND("-",B839)-1)),LEFT(B839,FIND("mm",B839)-1)))</f>
        <v>8</v>
      </c>
      <c r="D839" s="5">
        <f>convertNumberStringPointToNumberComma(IFERROR(RIGHT(LEFT(B839,FIND("m",B839)-1),LEN(LEFT(B839,FIND("m",B839)-1))-FIND("-",LEFT(B839,FIND("m",B839)-1))-1),C839))</f>
        <v>6</v>
      </c>
      <c r="E839" t="s">
        <v>2636</v>
      </c>
      <c r="F839" s="9">
        <f>convertNumberStringPointToNumberComma(LEFT(MID(E839,3,9),IFERROR(FIND("-",MID(E839,3,9))-2,3)))</f>
        <v>4</v>
      </c>
      <c r="G839" s="9">
        <f>convertNumberStringPointToNumberComma(RIGHT(E839,IF(ISERROR(FIND(".",RIGHT(E839,3))),1,3)))</f>
        <v>5.6</v>
      </c>
      <c r="H839" t="s">
        <v>2812</v>
      </c>
      <c r="I839" s="5" t="str">
        <f>IF(H839="none",0,LEFT(H839,LEN(H839)-2))</f>
        <v>nic</v>
      </c>
      <c r="J839" s="5" t="s">
        <v>76</v>
      </c>
      <c r="K839" s="10">
        <f>IF(J839="",0,convertNumberStringPointToNumberComma(LEFT(J839,LEN(J839)-1)))</f>
        <v>0.13</v>
      </c>
      <c r="L839" t="s">
        <v>2813</v>
      </c>
      <c r="M839" t="s">
        <v>2708</v>
      </c>
      <c r="N839" t="s">
        <v>903</v>
      </c>
      <c r="O839" t="s">
        <v>501</v>
      </c>
      <c r="P839" s="5" t="str">
        <f>LEFT(O839,LEN(O839)-1)</f>
        <v>545</v>
      </c>
      <c r="Q839" t="s">
        <v>3331</v>
      </c>
      <c r="R839" s="52">
        <f>_xlfn.NUMBERVALUE(convertNumberStringPointToNumberComma(LEFT(Q839,FIND("x",Q839)-2)))</f>
        <v>75</v>
      </c>
      <c r="S839" s="52">
        <f>_xlfn.NUMBERVALUE(convertNumberStringPointToNumberComma(LEFT(RIGHT(Q839,LEN(Q839)-FIND("x",Q839)-1),LEN(RIGHT(Q839,LEN(Q839)-FIND("x",Q839)-1))-2)))</f>
        <v>105.7</v>
      </c>
    </row>
    <row r="840" spans="1:19" x14ac:dyDescent="0.25">
      <c r="A840" t="s">
        <v>1150</v>
      </c>
      <c r="B840" t="s">
        <v>1148</v>
      </c>
      <c r="C840" s="5">
        <f>convertNumberStringPointToNumberComma(IFERROR(LEFT(B840,(FIND("-",B840)-1)),LEFT(B840,FIND("mm",B840)-1)))</f>
        <v>8</v>
      </c>
      <c r="D840" s="5">
        <f>convertNumberStringPointToNumberComma(IFERROR(RIGHT(LEFT(B840,FIND("m",B840)-1),LEN(LEFT(B840,FIND("m",B840)-1))-FIND("-",LEFT(B840,FIND("m",B840)-1))-1),C840))</f>
        <v>6</v>
      </c>
      <c r="E840" t="s">
        <v>2636</v>
      </c>
      <c r="F840" s="9">
        <f>convertNumberStringPointToNumberComma(LEFT(MID(E840,3,9),IFERROR(FIND("-",MID(E840,3,9))-2,3)))</f>
        <v>4</v>
      </c>
      <c r="G840" s="9">
        <f>convertNumberStringPointToNumberComma(RIGHT(E840,IF(ISERROR(FIND(".",RIGHT(E840,3))),1,3)))</f>
        <v>5.6</v>
      </c>
      <c r="H840" t="s">
        <v>2812</v>
      </c>
      <c r="I840" s="5" t="str">
        <f>IF(H840="none",0,LEFT(H840,LEN(H840)-2))</f>
        <v>nic</v>
      </c>
      <c r="J840" s="5" t="s">
        <v>63</v>
      </c>
      <c r="K840" s="10">
        <f>IF(J840="",0,convertNumberStringPointToNumberComma(LEFT(J840,LEN(J840)-1)))</f>
        <v>1</v>
      </c>
      <c r="L840" t="s">
        <v>2813</v>
      </c>
      <c r="M840" t="s">
        <v>2757</v>
      </c>
      <c r="N840" t="s">
        <v>903</v>
      </c>
      <c r="O840" t="s">
        <v>501</v>
      </c>
      <c r="P840" s="5" t="str">
        <f>LEFT(O840,LEN(O840)-1)</f>
        <v>545</v>
      </c>
      <c r="Q840" t="s">
        <v>3331</v>
      </c>
      <c r="R840" s="52">
        <f>_xlfn.NUMBERVALUE(convertNumberStringPointToNumberComma(LEFT(Q840,FIND("x",Q840)-2)))</f>
        <v>75</v>
      </c>
      <c r="S840" s="52">
        <f>_xlfn.NUMBERVALUE(convertNumberStringPointToNumberComma(LEFT(RIGHT(Q840,LEN(Q840)-FIND("x",Q840)-1),LEN(RIGHT(Q840,LEN(Q840)-FIND("x",Q840)-1))-2)))</f>
        <v>105.7</v>
      </c>
    </row>
    <row r="841" spans="1:19" x14ac:dyDescent="0.25">
      <c r="A841" t="s">
        <v>1434</v>
      </c>
      <c r="B841" t="s">
        <v>1148</v>
      </c>
      <c r="E841" t="s">
        <v>2636</v>
      </c>
      <c r="H841" t="s">
        <v>2812</v>
      </c>
      <c r="L841" t="s">
        <v>2813</v>
      </c>
      <c r="M841" t="s">
        <v>2793</v>
      </c>
      <c r="N841" t="s">
        <v>903</v>
      </c>
      <c r="O841" t="s">
        <v>501</v>
      </c>
      <c r="Q841" t="s">
        <v>3331</v>
      </c>
      <c r="R841" s="52">
        <f>_xlfn.NUMBERVALUE(convertNumberStringPointToNumberComma(LEFT(Q841,FIND("x",Q841)-2)))</f>
        <v>75</v>
      </c>
      <c r="S841" s="52">
        <f>_xlfn.NUMBERVALUE(convertNumberStringPointToNumberComma(LEFT(RIGHT(Q841,LEN(Q841)-FIND("x",Q841)-1),LEN(RIGHT(Q841,LEN(Q841)-FIND("x",Q841)-1))-2)))</f>
        <v>105.7</v>
      </c>
    </row>
    <row r="842" spans="1:19" x14ac:dyDescent="0.25">
      <c r="A842" t="s">
        <v>1435</v>
      </c>
      <c r="B842" t="s">
        <v>1148</v>
      </c>
      <c r="E842" t="s">
        <v>2636</v>
      </c>
      <c r="H842" t="s">
        <v>2812</v>
      </c>
      <c r="L842" t="s">
        <v>2813</v>
      </c>
      <c r="M842" t="s">
        <v>2802</v>
      </c>
      <c r="N842" t="s">
        <v>903</v>
      </c>
      <c r="O842" t="s">
        <v>501</v>
      </c>
      <c r="Q842" t="s">
        <v>3331</v>
      </c>
      <c r="R842" s="52">
        <f>_xlfn.NUMBERVALUE(convertNumberStringPointToNumberComma(LEFT(Q842,FIND("x",Q842)-2)))</f>
        <v>75</v>
      </c>
      <c r="S842" s="52">
        <f>_xlfn.NUMBERVALUE(convertNumberStringPointToNumberComma(LEFT(RIGHT(Q842,LEN(Q842)-FIND("x",Q842)-1),LEN(RIGHT(Q842,LEN(Q842)-FIND("x",Q842)-1))-2)))</f>
        <v>105.7</v>
      </c>
    </row>
    <row r="843" spans="1:19" x14ac:dyDescent="0.25">
      <c r="A843" t="s">
        <v>1653</v>
      </c>
      <c r="B843" t="s">
        <v>863</v>
      </c>
      <c r="E843" t="s">
        <v>2638</v>
      </c>
      <c r="H843" t="s">
        <v>84</v>
      </c>
      <c r="L843" t="s">
        <v>2698</v>
      </c>
      <c r="M843" t="s">
        <v>2748</v>
      </c>
      <c r="N843" t="s">
        <v>903</v>
      </c>
      <c r="O843" t="s">
        <v>64</v>
      </c>
      <c r="Q843" t="s">
        <v>3594</v>
      </c>
      <c r="R843" s="52">
        <f>_xlfn.NUMBERVALUE(convertNumberStringPointToNumberComma(LEFT(Q843,FIND("x",Q843)-2)))</f>
        <v>75</v>
      </c>
      <c r="S843" s="52">
        <f>_xlfn.NUMBERVALUE(convertNumberStringPointToNumberComma(LEFT(RIGHT(Q843,LEN(Q843)-FIND("x",Q843)-1),LEN(RIGHT(Q843,LEN(Q843)-FIND("x",Q843)-1))-2)))</f>
        <v>105</v>
      </c>
    </row>
    <row r="844" spans="1:19" x14ac:dyDescent="0.25">
      <c r="A844" t="s">
        <v>1018</v>
      </c>
      <c r="B844" t="s">
        <v>1019</v>
      </c>
      <c r="C844" s="5">
        <f>convertNumberStringPointToNumberComma(IFERROR(LEFT(B844,(FIND("-",B844)-1)),LEFT(B844,FIND("mm",B844)-1)))</f>
        <v>55</v>
      </c>
      <c r="D844" s="5">
        <f>convertNumberStringPointToNumberComma(IFERROR(RIGHT(LEFT(B844,FIND("m",B844)-1),LEN(LEFT(B844,FIND("m",B844)-1))-FIND("-",LEFT(B844,FIND("m",B844)-1))-1),C844))</f>
        <v>0</v>
      </c>
      <c r="E844" t="s">
        <v>2646</v>
      </c>
      <c r="F844" s="9">
        <f>convertNumberStringPointToNumberComma(LEFT(MID(E844,3,9),IFERROR(FIND("-",MID(E844,3,9))-2,3)))</f>
        <v>3</v>
      </c>
      <c r="G844" s="9">
        <f>convertNumberStringPointToNumberComma(RIGHT(E844,IF(ISERROR(FIND(".",RIGHT(E844,3))),1,3)))</f>
        <v>4.8</v>
      </c>
      <c r="H844" t="s">
        <v>84</v>
      </c>
      <c r="I844" s="5" t="str">
        <f>IF(H844="none",0,LEFT(H844,LEN(H844)-2))</f>
        <v>62</v>
      </c>
      <c r="J844" s="5" t="s">
        <v>238</v>
      </c>
      <c r="K844" s="10">
        <f>IF(J844="",0,convertNumberStringPointToNumberComma(LEFT(J844,LEN(J844)-1)))</f>
        <v>0.34</v>
      </c>
      <c r="L844" t="s">
        <v>2750</v>
      </c>
      <c r="M844" t="s">
        <v>2748</v>
      </c>
      <c r="N844" t="s">
        <v>903</v>
      </c>
      <c r="O844" t="s">
        <v>726</v>
      </c>
      <c r="P844" s="5" t="str">
        <f>LEFT(O844,LEN(O844)-1)</f>
        <v>580</v>
      </c>
      <c r="Q844" t="s">
        <v>3267</v>
      </c>
      <c r="R844" s="52">
        <f>_xlfn.NUMBERVALUE(convertNumberStringPointToNumberComma(LEFT(Q844,FIND("x",Q844)-2)))</f>
        <v>75</v>
      </c>
      <c r="S844" s="52">
        <f>_xlfn.NUMBERVALUE(convertNumberStringPointToNumberComma(LEFT(RIGHT(Q844,LEN(Q844)-FIND("x",Q844)-1),LEN(RIGHT(Q844,LEN(Q844)-FIND("x",Q844)-1))-2)))</f>
        <v>118</v>
      </c>
    </row>
    <row r="845" spans="1:19" x14ac:dyDescent="0.25">
      <c r="A845" t="s">
        <v>1928</v>
      </c>
      <c r="B845" t="s">
        <v>624</v>
      </c>
      <c r="E845" t="s">
        <v>2647</v>
      </c>
      <c r="H845" t="s">
        <v>27</v>
      </c>
      <c r="L845" t="s">
        <v>2686</v>
      </c>
      <c r="M845" t="s">
        <v>2989</v>
      </c>
      <c r="N845" t="s">
        <v>913</v>
      </c>
      <c r="O845" t="s">
        <v>3044</v>
      </c>
      <c r="Q845" t="s">
        <v>3755</v>
      </c>
      <c r="R845" s="52">
        <f>_xlfn.NUMBERVALUE(convertNumberStringPointToNumberComma(LEFT(Q845,FIND("x",Q845)-2)))</f>
        <v>75</v>
      </c>
      <c r="S845" s="52">
        <f>_xlfn.NUMBERVALUE(convertNumberStringPointToNumberComma(LEFT(RIGHT(Q845,LEN(Q845)-FIND("x",Q845)-1),LEN(RIGHT(Q845,LEN(Q845)-FIND("x",Q845)-1))-2)))</f>
        <v>252</v>
      </c>
    </row>
    <row r="846" spans="1:19" x14ac:dyDescent="0.25">
      <c r="A846" t="s">
        <v>1162</v>
      </c>
      <c r="B846" t="s">
        <v>263</v>
      </c>
      <c r="E846" t="s">
        <v>2632</v>
      </c>
      <c r="H846" t="s">
        <v>3064</v>
      </c>
      <c r="L846" t="s">
        <v>2686</v>
      </c>
      <c r="M846" t="s">
        <v>2757</v>
      </c>
      <c r="N846" t="s">
        <v>913</v>
      </c>
      <c r="O846" t="s">
        <v>330</v>
      </c>
      <c r="Q846" t="s">
        <v>3834</v>
      </c>
      <c r="R846" s="52">
        <f>_xlfn.NUMBERVALUE(convertNumberStringPointToNumberComma(LEFT(Q846,FIND("x",Q846)-2)))</f>
        <v>75</v>
      </c>
      <c r="S846" s="52">
        <f>_xlfn.NUMBERVALUE(convertNumberStringPointToNumberComma(LEFT(RIGHT(Q846,LEN(Q846)-FIND("x",Q846)-1),LEN(RIGHT(Q846,LEN(Q846)-FIND("x",Q846)-1))-2)))</f>
        <v>67</v>
      </c>
    </row>
    <row r="847" spans="1:19" x14ac:dyDescent="0.25">
      <c r="A847" t="s">
        <v>1067</v>
      </c>
      <c r="B847" t="s">
        <v>822</v>
      </c>
      <c r="C847" s="5">
        <f>convertNumberStringPointToNumberComma(IFERROR(LEFT(B847,(FIND("-",B847)-1)),LEFT(B847,FIND("mm",B847)-1)))</f>
        <v>85</v>
      </c>
      <c r="D847" s="5">
        <f>convertNumberStringPointToNumberComma(IFERROR(RIGHT(LEFT(B847,FIND("m",B847)-1),LEN(LEFT(B847,FIND("m",B847)-1))-FIND("-",LEFT(B847,FIND("m",B847)-1))-1),C847))</f>
        <v>85</v>
      </c>
      <c r="E847" t="s">
        <v>2635</v>
      </c>
      <c r="F847" s="9">
        <f>convertNumberStringPointToNumberComma(LEFT(MID(E847,3,9),IFERROR(FIND("-",MID(E847,3,9))-2,3)))</f>
        <v>1.8</v>
      </c>
      <c r="G847" s="9">
        <f>convertNumberStringPointToNumberComma(RIGHT(E847,IF(ISERROR(FIND(".",RIGHT(E847,3))),1,3)))</f>
        <v>1.8</v>
      </c>
      <c r="H847" t="s">
        <v>91</v>
      </c>
      <c r="I847" s="5" t="str">
        <f>IF(H847="none",0,LEFT(H847,LEN(H847)-2))</f>
        <v>58</v>
      </c>
      <c r="J847" s="5" t="s">
        <v>188</v>
      </c>
      <c r="K847" s="10">
        <f>IF(J847="",0,convertNumberStringPointToNumberComma(LEFT(J847,LEN(J847)-1)))</f>
        <v>0.11</v>
      </c>
      <c r="L847" t="s">
        <v>2684</v>
      </c>
      <c r="M847" t="s">
        <v>2682</v>
      </c>
      <c r="N847" t="s">
        <v>913</v>
      </c>
      <c r="O847" t="s">
        <v>744</v>
      </c>
      <c r="P847" s="5" t="str">
        <f>LEFT(O847,LEN(O847)-1)</f>
        <v>425</v>
      </c>
      <c r="Q847" t="s">
        <v>3293</v>
      </c>
      <c r="R847" s="52">
        <f>_xlfn.NUMBERVALUE(convertNumberStringPointToNumberComma(LEFT(Q847,FIND("x",Q847)-2)))</f>
        <v>75</v>
      </c>
      <c r="S847" s="52">
        <f>_xlfn.NUMBERVALUE(convertNumberStringPointToNumberComma(LEFT(RIGHT(Q847,LEN(Q847)-FIND("x",Q847)-1),LEN(RIGHT(Q847,LEN(Q847)-FIND("x",Q847)-1))-2)))</f>
        <v>71.5</v>
      </c>
    </row>
    <row r="848" spans="1:19" x14ac:dyDescent="0.25">
      <c r="A848" t="s">
        <v>1241</v>
      </c>
      <c r="B848" t="s">
        <v>61</v>
      </c>
      <c r="C848" s="5">
        <f>convertNumberStringPointToNumberComma(IFERROR(LEFT(B848,(FIND("-",B848)-1)),LEFT(B848,FIND("mm",B848)-1)))</f>
        <v>100</v>
      </c>
      <c r="D848" s="5">
        <f>convertNumberStringPointToNumberComma(IFERROR(RIGHT(LEFT(B848,FIND("m",B848)-1),LEN(LEFT(B848,FIND("m",B848)-1))-FIND("-",LEFT(B848,FIND("m",B848)-1))-1),C848))</f>
        <v>100</v>
      </c>
      <c r="E848" t="s">
        <v>2638</v>
      </c>
      <c r="F848" s="9">
        <f>convertNumberStringPointToNumberComma(LEFT(MID(E848,3,9),IFERROR(FIND("-",MID(E848,3,9))-2,3)))</f>
        <v>2</v>
      </c>
      <c r="G848" s="9">
        <f>convertNumberStringPointToNumberComma(RIGHT(E848,IF(ISERROR(FIND(".",RIGHT(E848,3))),1,3)))</f>
        <v>2</v>
      </c>
      <c r="H848" t="s">
        <v>91</v>
      </c>
      <c r="I848" s="5" t="str">
        <f>IF(H848="none",0,LEFT(H848,LEN(H848)-2))</f>
        <v>58</v>
      </c>
      <c r="J848" s="5" t="s">
        <v>333</v>
      </c>
      <c r="K848" s="10">
        <f>IF(J848="",0,convertNumberStringPointToNumberComma(LEFT(J848,LEN(J848)-1)))</f>
        <v>0.27</v>
      </c>
      <c r="L848" t="s">
        <v>2709</v>
      </c>
      <c r="M848" t="s">
        <v>2682</v>
      </c>
      <c r="N848" t="s">
        <v>913</v>
      </c>
      <c r="O848" t="s">
        <v>33</v>
      </c>
      <c r="P848" s="5" t="str">
        <f>LEFT(O848,LEN(O848)-1)</f>
        <v>460</v>
      </c>
      <c r="Q848" t="s">
        <v>3385</v>
      </c>
      <c r="R848" s="52">
        <f>_xlfn.NUMBERVALUE(convertNumberStringPointToNumberComma(LEFT(Q848,FIND("x",Q848)-2)))</f>
        <v>75</v>
      </c>
      <c r="S848" s="52">
        <f>_xlfn.NUMBERVALUE(convertNumberStringPointToNumberComma(LEFT(RIGHT(Q848,LEN(Q848)-FIND("x",Q848)-1),LEN(RIGHT(Q848,LEN(Q848)-FIND("x",Q848)-1))-2)))</f>
        <v>73.5</v>
      </c>
    </row>
    <row r="849" spans="1:19" x14ac:dyDescent="0.25">
      <c r="A849" t="s">
        <v>1296</v>
      </c>
      <c r="B849" t="s">
        <v>856</v>
      </c>
      <c r="E849" t="s">
        <v>2649</v>
      </c>
      <c r="M849" t="s">
        <v>8</v>
      </c>
      <c r="N849" t="s">
        <v>903</v>
      </c>
      <c r="O849" t="s">
        <v>589</v>
      </c>
      <c r="Q849" t="s">
        <v>3416</v>
      </c>
      <c r="R849" s="52">
        <f>_xlfn.NUMBERVALUE(convertNumberStringPointToNumberComma(LEFT(Q849,FIND("x",Q849)-2)))</f>
        <v>75</v>
      </c>
      <c r="S849" s="52">
        <f>_xlfn.NUMBERVALUE(convertNumberStringPointToNumberComma(LEFT(RIGHT(Q849,LEN(Q849)-FIND("x",Q849)-1),LEN(RIGHT(Q849,LEN(Q849)-FIND("x",Q849)-1))-2)))</f>
        <v>74.8</v>
      </c>
    </row>
    <row r="850" spans="1:19" x14ac:dyDescent="0.25">
      <c r="A850" t="s">
        <v>1583</v>
      </c>
      <c r="B850" t="s">
        <v>856</v>
      </c>
      <c r="E850" t="s">
        <v>2649</v>
      </c>
      <c r="M850" t="s">
        <v>2682</v>
      </c>
      <c r="N850" t="s">
        <v>903</v>
      </c>
      <c r="O850" t="s">
        <v>589</v>
      </c>
      <c r="Q850" t="s">
        <v>3416</v>
      </c>
      <c r="R850" s="52">
        <f>_xlfn.NUMBERVALUE(convertNumberStringPointToNumberComma(LEFT(Q850,FIND("x",Q850)-2)))</f>
        <v>75</v>
      </c>
      <c r="S850" s="52">
        <f>_xlfn.NUMBERVALUE(convertNumberStringPointToNumberComma(LEFT(RIGHT(Q850,LEN(Q850)-FIND("x",Q850)-1),LEN(RIGHT(Q850,LEN(Q850)-FIND("x",Q850)-1))-2)))</f>
        <v>74.8</v>
      </c>
    </row>
    <row r="851" spans="1:19" x14ac:dyDescent="0.25">
      <c r="A851" t="s">
        <v>1846</v>
      </c>
      <c r="B851" t="s">
        <v>856</v>
      </c>
      <c r="E851" t="s">
        <v>2978</v>
      </c>
      <c r="M851" t="s">
        <v>8</v>
      </c>
      <c r="N851" t="s">
        <v>903</v>
      </c>
      <c r="O851" t="s">
        <v>376</v>
      </c>
      <c r="Q851" t="s">
        <v>3416</v>
      </c>
      <c r="R851" s="52">
        <f>_xlfn.NUMBERVALUE(convertNumberStringPointToNumberComma(LEFT(Q851,FIND("x",Q851)-2)))</f>
        <v>75</v>
      </c>
      <c r="S851" s="52">
        <f>_xlfn.NUMBERVALUE(convertNumberStringPointToNumberComma(LEFT(RIGHT(Q851,LEN(Q851)-FIND("x",Q851)-1),LEN(RIGHT(Q851,LEN(Q851)-FIND("x",Q851)-1))-2)))</f>
        <v>74.8</v>
      </c>
    </row>
    <row r="852" spans="1:19" x14ac:dyDescent="0.25">
      <c r="A852" t="s">
        <v>2057</v>
      </c>
      <c r="B852" t="s">
        <v>856</v>
      </c>
      <c r="E852" t="s">
        <v>2978</v>
      </c>
      <c r="M852" t="s">
        <v>8</v>
      </c>
      <c r="N852" t="s">
        <v>903</v>
      </c>
      <c r="O852" t="s">
        <v>589</v>
      </c>
      <c r="Q852" t="s">
        <v>3416</v>
      </c>
      <c r="R852" s="52">
        <f>_xlfn.NUMBERVALUE(convertNumberStringPointToNumberComma(LEFT(Q852,FIND("x",Q852)-2)))</f>
        <v>75</v>
      </c>
      <c r="S852" s="52">
        <f>_xlfn.NUMBERVALUE(convertNumberStringPointToNumberComma(LEFT(RIGHT(Q852,LEN(Q852)-FIND("x",Q852)-1),LEN(RIGHT(Q852,LEN(Q852)-FIND("x",Q852)-1))-2)))</f>
        <v>74.8</v>
      </c>
    </row>
    <row r="853" spans="1:19" x14ac:dyDescent="0.25">
      <c r="A853" t="s">
        <v>2072</v>
      </c>
      <c r="B853" t="s">
        <v>856</v>
      </c>
      <c r="E853" t="s">
        <v>2649</v>
      </c>
      <c r="M853" t="s">
        <v>2674</v>
      </c>
      <c r="N853" t="s">
        <v>903</v>
      </c>
      <c r="O853" t="s">
        <v>589</v>
      </c>
      <c r="Q853" t="s">
        <v>3416</v>
      </c>
      <c r="R853" s="52">
        <f>_xlfn.NUMBERVALUE(convertNumberStringPointToNumberComma(LEFT(Q853,FIND("x",Q853)-2)))</f>
        <v>75</v>
      </c>
      <c r="S853" s="52">
        <f>_xlfn.NUMBERVALUE(convertNumberStringPointToNumberComma(LEFT(RIGHT(Q853,LEN(Q853)-FIND("x",Q853)-1),LEN(RIGHT(Q853,LEN(Q853)-FIND("x",Q853)-1))-2)))</f>
        <v>74.8</v>
      </c>
    </row>
    <row r="854" spans="1:19" x14ac:dyDescent="0.25">
      <c r="A854" t="s">
        <v>2161</v>
      </c>
      <c r="B854" t="s">
        <v>856</v>
      </c>
      <c r="E854" t="s">
        <v>2649</v>
      </c>
      <c r="M854" t="s">
        <v>2757</v>
      </c>
      <c r="N854" t="s">
        <v>903</v>
      </c>
      <c r="O854" t="s">
        <v>589</v>
      </c>
      <c r="Q854" t="s">
        <v>3416</v>
      </c>
      <c r="R854" s="52">
        <f>_xlfn.NUMBERVALUE(convertNumberStringPointToNumberComma(LEFT(Q854,FIND("x",Q854)-2)))</f>
        <v>75</v>
      </c>
      <c r="S854" s="52">
        <f>_xlfn.NUMBERVALUE(convertNumberStringPointToNumberComma(LEFT(RIGHT(Q854,LEN(Q854)-FIND("x",Q854)-1),LEN(RIGHT(Q854,LEN(Q854)-FIND("x",Q854)-1))-2)))</f>
        <v>74.8</v>
      </c>
    </row>
    <row r="855" spans="1:19" x14ac:dyDescent="0.25">
      <c r="A855" t="s">
        <v>2343</v>
      </c>
      <c r="B855" t="s">
        <v>856</v>
      </c>
      <c r="E855" t="s">
        <v>2649</v>
      </c>
      <c r="M855" t="s">
        <v>2681</v>
      </c>
      <c r="N855" t="s">
        <v>903</v>
      </c>
      <c r="O855" t="s">
        <v>589</v>
      </c>
      <c r="Q855" t="s">
        <v>3416</v>
      </c>
      <c r="R855" s="52">
        <f>_xlfn.NUMBERVALUE(convertNumberStringPointToNumberComma(LEFT(Q855,FIND("x",Q855)-2)))</f>
        <v>75</v>
      </c>
      <c r="S855" s="52">
        <f>_xlfn.NUMBERVALUE(convertNumberStringPointToNumberComma(LEFT(RIGHT(Q855,LEN(Q855)-FIND("x",Q855)-1),LEN(RIGHT(Q855,LEN(Q855)-FIND("x",Q855)-1))-2)))</f>
        <v>74.8</v>
      </c>
    </row>
    <row r="856" spans="1:19" x14ac:dyDescent="0.25">
      <c r="A856" t="s">
        <v>2370</v>
      </c>
      <c r="B856" t="s">
        <v>856</v>
      </c>
      <c r="E856" t="s">
        <v>2978</v>
      </c>
      <c r="M856" t="s">
        <v>8</v>
      </c>
      <c r="N856" t="s">
        <v>903</v>
      </c>
      <c r="O856" t="s">
        <v>376</v>
      </c>
      <c r="Q856" t="s">
        <v>3416</v>
      </c>
      <c r="R856" s="52">
        <f>_xlfn.NUMBERVALUE(convertNumberStringPointToNumberComma(LEFT(Q856,FIND("x",Q856)-2)))</f>
        <v>75</v>
      </c>
      <c r="S856" s="52">
        <f>_xlfn.NUMBERVALUE(convertNumberStringPointToNumberComma(LEFT(RIGHT(Q856,LEN(Q856)-FIND("x",Q856)-1),LEN(RIGHT(Q856,LEN(Q856)-FIND("x",Q856)-1))-2)))</f>
        <v>74.8</v>
      </c>
    </row>
    <row r="857" spans="1:19" x14ac:dyDescent="0.25">
      <c r="A857" t="s">
        <v>1638</v>
      </c>
      <c r="B857" t="s">
        <v>856</v>
      </c>
      <c r="E857" t="s">
        <v>2649</v>
      </c>
      <c r="M857" t="s">
        <v>2682</v>
      </c>
      <c r="N857" t="s">
        <v>903</v>
      </c>
      <c r="O857" t="s">
        <v>37</v>
      </c>
      <c r="Q857" t="s">
        <v>3589</v>
      </c>
      <c r="R857" s="52">
        <f>_xlfn.NUMBERVALUE(convertNumberStringPointToNumberComma(LEFT(Q857,FIND("x",Q857)-2)))</f>
        <v>75</v>
      </c>
      <c r="S857" s="52">
        <f>_xlfn.NUMBERVALUE(convertNumberStringPointToNumberComma(LEFT(RIGHT(Q857,LEN(Q857)-FIND("x",Q857)-1),LEN(RIGHT(Q857,LEN(Q857)-FIND("x",Q857)-1))-2)))</f>
        <v>77.3</v>
      </c>
    </row>
    <row r="858" spans="1:19" x14ac:dyDescent="0.25">
      <c r="A858" t="s">
        <v>1039</v>
      </c>
      <c r="B858" t="s">
        <v>1040</v>
      </c>
      <c r="C858" s="5">
        <f>convertNumberStringPointToNumberComma(IFERROR(LEFT(B858,(FIND("-",B858)-1)),LEFT(B858,FIND("mm",B858)-1)))</f>
        <v>7</v>
      </c>
      <c r="D858" s="5">
        <f>convertNumberStringPointToNumberComma(IFERROR(RIGHT(LEFT(B858,FIND("m",B858)-1),LEN(LEFT(B858,FIND("m",B858)-1))-FIND("-",LEFT(B858,FIND("m",B858)-1))-1),C858))</f>
        <v>4</v>
      </c>
      <c r="E858" t="s">
        <v>2633</v>
      </c>
      <c r="F858" s="9">
        <f>convertNumberStringPointToNumberComma(LEFT(MID(E858,3,9),IFERROR(FIND("-",MID(E858,3,9))-2,3)))</f>
        <v>4</v>
      </c>
      <c r="G858" s="9">
        <f>convertNumberStringPointToNumberComma(RIGHT(E858,IF(ISERROR(FIND(".",RIGHT(E858,3))),1,3)))</f>
        <v>4</v>
      </c>
      <c r="I858" s="5" t="e">
        <f>IF(H858="none",0,LEFT(H858,LEN(H858)-2))</f>
        <v>#VALUE!</v>
      </c>
      <c r="J858" s="5" t="s">
        <v>162</v>
      </c>
      <c r="K858" s="10">
        <f>IF(J858="",0,convertNumberStringPointToNumberComma(LEFT(J858,LEN(J858)-1)))</f>
        <v>0.25</v>
      </c>
      <c r="L858" t="s">
        <v>2698</v>
      </c>
      <c r="M858" t="s">
        <v>2680</v>
      </c>
      <c r="N858" t="s">
        <v>2681</v>
      </c>
      <c r="O858" t="s">
        <v>716</v>
      </c>
      <c r="P858" s="5" t="str">
        <f>LEFT(O858,LEN(O858)-1)</f>
        <v>300</v>
      </c>
      <c r="Q858" t="s">
        <v>3279</v>
      </c>
      <c r="R858" s="52">
        <f>_xlfn.NUMBERVALUE(convertNumberStringPointToNumberComma(LEFT(Q858,FIND("x",Q858)-2)))</f>
        <v>75</v>
      </c>
      <c r="S858" s="52">
        <f>_xlfn.NUMBERVALUE(convertNumberStringPointToNumberComma(LEFT(RIGHT(Q858,LEN(Q858)-FIND("x",Q858)-1),LEN(RIGHT(Q858,LEN(Q858)-FIND("x",Q858)-1))-2)))</f>
        <v>83.1</v>
      </c>
    </row>
    <row r="859" spans="1:19" x14ac:dyDescent="0.25">
      <c r="A859" t="s">
        <v>1349</v>
      </c>
      <c r="B859" t="s">
        <v>1350</v>
      </c>
      <c r="E859" t="s">
        <v>2644</v>
      </c>
      <c r="H859" t="s">
        <v>84</v>
      </c>
      <c r="L859" t="s">
        <v>2746</v>
      </c>
      <c r="M859" t="s">
        <v>2757</v>
      </c>
      <c r="N859" t="s">
        <v>903</v>
      </c>
      <c r="O859" t="s">
        <v>37</v>
      </c>
      <c r="Q859" t="s">
        <v>3445</v>
      </c>
      <c r="R859" s="52">
        <f>_xlfn.NUMBERVALUE(convertNumberStringPointToNumberComma(LEFT(Q859,FIND("x",Q859)-2)))</f>
        <v>75</v>
      </c>
      <c r="S859" s="52">
        <f>_xlfn.NUMBERVALUE(convertNumberStringPointToNumberComma(LEFT(RIGHT(Q859,LEN(Q859)-FIND("x",Q859)-1),LEN(RIGHT(Q859,LEN(Q859)-FIND("x",Q859)-1))-2)))</f>
        <v>86</v>
      </c>
    </row>
    <row r="860" spans="1:19" x14ac:dyDescent="0.25">
      <c r="A860" t="s">
        <v>1503</v>
      </c>
      <c r="B860" t="s">
        <v>1504</v>
      </c>
      <c r="E860" t="s">
        <v>2661</v>
      </c>
      <c r="H860" t="s">
        <v>15</v>
      </c>
      <c r="L860" t="s">
        <v>2684</v>
      </c>
      <c r="M860" t="s">
        <v>2681</v>
      </c>
      <c r="N860" t="s">
        <v>2681</v>
      </c>
      <c r="O860" t="s">
        <v>257</v>
      </c>
      <c r="Q860" t="s">
        <v>3528</v>
      </c>
      <c r="R860" s="52">
        <f>_xlfn.NUMBERVALUE(convertNumberStringPointToNumberComma(LEFT(Q860,FIND("x",Q860)-2)))</f>
        <v>75</v>
      </c>
      <c r="S860" s="52">
        <f>_xlfn.NUMBERVALUE(convertNumberStringPointToNumberComma(LEFT(RIGHT(Q860,LEN(Q860)-FIND("x",Q860)-1),LEN(RIGHT(Q860,LEN(Q860)-FIND("x",Q860)-1))-2)))</f>
        <v>92.5</v>
      </c>
    </row>
    <row r="861" spans="1:19" x14ac:dyDescent="0.25">
      <c r="A861" t="s">
        <v>1163</v>
      </c>
      <c r="B861" t="s">
        <v>1159</v>
      </c>
      <c r="C861" s="5">
        <f>convertNumberStringPointToNumberComma(IFERROR(LEFT(B861,(FIND("-",B861)-1)),LEFT(B861,FIND("mm",B861)-1)))</f>
        <v>17</v>
      </c>
      <c r="D861" s="5">
        <f>convertNumberStringPointToNumberComma(IFERROR(RIGHT(LEFT(B861,FIND("m",B861)-1),LEN(LEFT(B861,FIND("m",B861)-1))-FIND("-",LEFT(B861,FIND("m",B861)-1))-1),C861))</f>
        <v>0</v>
      </c>
      <c r="E861" t="s">
        <v>2633</v>
      </c>
      <c r="F861" s="9">
        <f>convertNumberStringPointToNumberComma(LEFT(MID(E861,3,9),IFERROR(FIND("-",MID(E861,3,9))-2,3)))</f>
        <v>4</v>
      </c>
      <c r="G861" s="9">
        <f>convertNumberStringPointToNumberComma(RIGHT(E861,IF(ISERROR(FIND(".",RIGHT(E861,3))),1,3)))</f>
        <v>4</v>
      </c>
      <c r="H861" t="s">
        <v>56</v>
      </c>
      <c r="I861" s="5" t="str">
        <f>IF(H861="none",0,LEFT(H861,LEN(H861)-2))</f>
        <v>67</v>
      </c>
      <c r="J861" s="5" t="s">
        <v>251</v>
      </c>
      <c r="K861" s="10">
        <f>IF(J861="",0,convertNumberStringPointToNumberComma(LEFT(J861,LEN(J861)-1)))</f>
        <v>0.22</v>
      </c>
      <c r="L861" t="s">
        <v>2688</v>
      </c>
      <c r="M861" t="s">
        <v>2802</v>
      </c>
      <c r="N861" t="s">
        <v>903</v>
      </c>
      <c r="O861" t="s">
        <v>257</v>
      </c>
      <c r="P861" s="5" t="str">
        <f>LEFT(O861,LEN(O861)-1)</f>
        <v>485</v>
      </c>
      <c r="Q861" t="s">
        <v>3338</v>
      </c>
      <c r="R861" s="52">
        <f>_xlfn.NUMBERVALUE(convertNumberStringPointToNumberComma(LEFT(Q861,FIND("x",Q861)-2)))</f>
        <v>75</v>
      </c>
      <c r="S861" s="52">
        <f>_xlfn.NUMBERVALUE(convertNumberStringPointToNumberComma(LEFT(RIGHT(Q861,LEN(Q861)-FIND("x",Q861)-1),LEN(RIGHT(Q861,LEN(Q861)-FIND("x",Q861)-1))-2)))</f>
        <v>93.5</v>
      </c>
    </row>
    <row r="862" spans="1:19" x14ac:dyDescent="0.25">
      <c r="A862" t="s">
        <v>2484</v>
      </c>
      <c r="B862" t="s">
        <v>1001</v>
      </c>
      <c r="E862" t="s">
        <v>2644</v>
      </c>
      <c r="H862" t="s">
        <v>84</v>
      </c>
      <c r="L862" t="s">
        <v>2728</v>
      </c>
      <c r="M862" t="s">
        <v>2708</v>
      </c>
      <c r="N862" t="s">
        <v>903</v>
      </c>
      <c r="O862" t="s">
        <v>330</v>
      </c>
      <c r="Q862" t="s">
        <v>4019</v>
      </c>
      <c r="R862" s="52">
        <f>_xlfn.NUMBERVALUE(convertNumberStringPointToNumberComma(LEFT(Q862,FIND("x",Q862)-2)))</f>
        <v>75</v>
      </c>
      <c r="S862" s="52">
        <f>_xlfn.NUMBERVALUE(convertNumberStringPointToNumberComma(LEFT(RIGHT(Q862,LEN(Q862)-FIND("x",Q862)-1),LEN(RIGHT(Q862,LEN(Q862)-FIND("x",Q862)-1))-2)))</f>
        <v>96.6</v>
      </c>
    </row>
    <row r="863" spans="1:19" x14ac:dyDescent="0.25">
      <c r="A863" t="s">
        <v>2485</v>
      </c>
      <c r="B863" t="s">
        <v>1001</v>
      </c>
      <c r="E863" t="s">
        <v>2644</v>
      </c>
      <c r="H863" t="s">
        <v>84</v>
      </c>
      <c r="L863" t="s">
        <v>2728</v>
      </c>
      <c r="M863" t="s">
        <v>8</v>
      </c>
      <c r="N863" t="s">
        <v>903</v>
      </c>
      <c r="O863" t="s">
        <v>330</v>
      </c>
      <c r="Q863" t="s">
        <v>4019</v>
      </c>
      <c r="R863" s="52">
        <f>_xlfn.NUMBERVALUE(convertNumberStringPointToNumberComma(LEFT(Q863,FIND("x",Q863)-2)))</f>
        <v>75</v>
      </c>
      <c r="S863" s="52">
        <f>_xlfn.NUMBERVALUE(convertNumberStringPointToNumberComma(LEFT(RIGHT(Q863,LEN(Q863)-FIND("x",Q863)-1),LEN(RIGHT(Q863,LEN(Q863)-FIND("x",Q863)-1))-2)))</f>
        <v>96.6</v>
      </c>
    </row>
    <row r="864" spans="1:19" x14ac:dyDescent="0.25">
      <c r="A864" t="s">
        <v>2551</v>
      </c>
      <c r="B864" t="s">
        <v>1001</v>
      </c>
      <c r="E864" t="s">
        <v>2644</v>
      </c>
      <c r="H864" t="s">
        <v>84</v>
      </c>
      <c r="L864" t="s">
        <v>2728</v>
      </c>
      <c r="M864" t="s">
        <v>2757</v>
      </c>
      <c r="N864" t="s">
        <v>903</v>
      </c>
      <c r="O864" t="s">
        <v>330</v>
      </c>
      <c r="Q864" t="s">
        <v>4019</v>
      </c>
      <c r="R864" s="52">
        <f>_xlfn.NUMBERVALUE(convertNumberStringPointToNumberComma(LEFT(Q864,FIND("x",Q864)-2)))</f>
        <v>75</v>
      </c>
      <c r="S864" s="52">
        <f>_xlfn.NUMBERVALUE(convertNumberStringPointToNumberComma(LEFT(RIGHT(Q864,LEN(Q864)-FIND("x",Q864)-1),LEN(RIGHT(Q864,LEN(Q864)-FIND("x",Q864)-1))-2)))</f>
        <v>96.6</v>
      </c>
    </row>
    <row r="865" spans="1:19" x14ac:dyDescent="0.25">
      <c r="A865" t="s">
        <v>2484</v>
      </c>
      <c r="B865" t="s">
        <v>1001</v>
      </c>
      <c r="E865" t="s">
        <v>2644</v>
      </c>
      <c r="H865" t="s">
        <v>84</v>
      </c>
      <c r="L865" t="s">
        <v>2728</v>
      </c>
      <c r="M865" t="s">
        <v>2708</v>
      </c>
      <c r="N865" t="s">
        <v>903</v>
      </c>
      <c r="O865" t="s">
        <v>330</v>
      </c>
      <c r="Q865" t="s">
        <v>4019</v>
      </c>
      <c r="R865" s="52">
        <f>_xlfn.NUMBERVALUE(convertNumberStringPointToNumberComma(LEFT(Q865,FIND("x",Q865)-2)))</f>
        <v>75</v>
      </c>
      <c r="S865" s="52">
        <f>_xlfn.NUMBERVALUE(convertNumberStringPointToNumberComma(LEFT(RIGHT(Q865,LEN(Q865)-FIND("x",Q865)-1),LEN(RIGHT(Q865,LEN(Q865)-FIND("x",Q865)-1))-2)))</f>
        <v>96.6</v>
      </c>
    </row>
    <row r="866" spans="1:19" x14ac:dyDescent="0.25">
      <c r="A866" t="s">
        <v>2485</v>
      </c>
      <c r="B866" t="s">
        <v>1001</v>
      </c>
      <c r="E866" t="s">
        <v>2644</v>
      </c>
      <c r="H866" t="s">
        <v>84</v>
      </c>
      <c r="L866" t="s">
        <v>2728</v>
      </c>
      <c r="M866" t="s">
        <v>8</v>
      </c>
      <c r="N866" t="s">
        <v>903</v>
      </c>
      <c r="O866" t="s">
        <v>330</v>
      </c>
      <c r="Q866" t="s">
        <v>4019</v>
      </c>
      <c r="R866" s="52">
        <f>_xlfn.NUMBERVALUE(convertNumberStringPointToNumberComma(LEFT(Q866,FIND("x",Q866)-2)))</f>
        <v>75</v>
      </c>
      <c r="S866" s="52">
        <f>_xlfn.NUMBERVALUE(convertNumberStringPointToNumberComma(LEFT(RIGHT(Q866,LEN(Q866)-FIND("x",Q866)-1),LEN(RIGHT(Q866,LEN(Q866)-FIND("x",Q866)-1))-2)))</f>
        <v>96.6</v>
      </c>
    </row>
    <row r="867" spans="1:19" x14ac:dyDescent="0.25">
      <c r="A867" t="s">
        <v>1043</v>
      </c>
      <c r="B867" t="s">
        <v>1044</v>
      </c>
      <c r="C867" s="5">
        <f>convertNumberStringPointToNumberComma(IFERROR(LEFT(B867,(FIND("-",B867)-1)),LEFT(B867,FIND("mm",B867)-1)))</f>
        <v>28</v>
      </c>
      <c r="D867" s="5">
        <f>convertNumberStringPointToNumberComma(IFERROR(RIGHT(LEFT(B867,FIND("m",B867)-1),LEN(LEFT(B867,FIND("m",B867)-1))-FIND("-",LEFT(B867,FIND("m",B867)-1))-1),C867))</f>
        <v>0</v>
      </c>
      <c r="E867" t="s">
        <v>2644</v>
      </c>
      <c r="F867" s="9">
        <f>convertNumberStringPointToNumberComma(LEFT(MID(E867,3,9),IFERROR(FIND("-",MID(E867,3,9))-2,3)))</f>
        <v>3</v>
      </c>
      <c r="G867" s="9">
        <f>convertNumberStringPointToNumberComma(RIGHT(E867,IF(ISERROR(FIND(".",RIGHT(E867,3))),1,3)))</f>
        <v>6.3</v>
      </c>
      <c r="H867" t="s">
        <v>56</v>
      </c>
      <c r="I867" s="5" t="str">
        <f>IF(H867="none",0,LEFT(H867,LEN(H867)-2))</f>
        <v>67</v>
      </c>
      <c r="J867" s="5"/>
      <c r="K867" s="10">
        <f>IF(J867="",0,convertNumberStringPointToNumberComma(LEFT(J867,LEN(J867)-1)))</f>
        <v>0</v>
      </c>
      <c r="L867" t="s">
        <v>2761</v>
      </c>
      <c r="M867" t="s">
        <v>8</v>
      </c>
      <c r="N867" t="s">
        <v>913</v>
      </c>
      <c r="O867" t="s">
        <v>64</v>
      </c>
      <c r="P867" s="5" t="str">
        <f>LEFT(O867,LEN(O867)-1)</f>
        <v>540</v>
      </c>
      <c r="Q867" t="s">
        <v>3281</v>
      </c>
      <c r="R867" s="52">
        <f>_xlfn.NUMBERVALUE(convertNumberStringPointToNumberComma(LEFT(Q867,FIND("x",Q867)-2)))</f>
        <v>75</v>
      </c>
      <c r="S867" s="52">
        <f>_xlfn.NUMBERVALUE(convertNumberStringPointToNumberComma(LEFT(RIGHT(Q867,LEN(Q867)-FIND("x",Q867)-1),LEN(RIGHT(Q867,LEN(Q867)-FIND("x",Q867)-1))-2)))</f>
        <v>99.5</v>
      </c>
    </row>
    <row r="868" spans="1:19" x14ac:dyDescent="0.25">
      <c r="A868" t="s">
        <v>1168</v>
      </c>
      <c r="B868" t="s">
        <v>1044</v>
      </c>
      <c r="C868" s="5">
        <f>convertNumberStringPointToNumberComma(IFERROR(LEFT(B868,(FIND("-",B868)-1)),LEFT(B868,FIND("mm",B868)-1)))</f>
        <v>28</v>
      </c>
      <c r="D868" s="5">
        <f>convertNumberStringPointToNumberComma(IFERROR(RIGHT(LEFT(B868,FIND("m",B868)-1),LEN(LEFT(B868,FIND("m",B868)-1))-FIND("-",LEFT(B868,FIND("m",B868)-1))-1),C868))</f>
        <v>0</v>
      </c>
      <c r="E868" t="s">
        <v>2644</v>
      </c>
      <c r="F868" s="9">
        <f>convertNumberStringPointToNumberComma(LEFT(MID(E868,3,9),IFERROR(FIND("-",MID(E868,3,9))-2,3)))</f>
        <v>3</v>
      </c>
      <c r="G868" s="9">
        <f>convertNumberStringPointToNumberComma(RIGHT(E868,IF(ISERROR(FIND(".",RIGHT(E868,3))),1,3)))</f>
        <v>6.3</v>
      </c>
      <c r="H868" t="s">
        <v>56</v>
      </c>
      <c r="I868" s="5" t="str">
        <f>IF(H868="none",0,LEFT(H868,LEN(H868)-2))</f>
        <v>67</v>
      </c>
      <c r="J868" s="5" t="s">
        <v>162</v>
      </c>
      <c r="K868" s="10">
        <f>IF(J868="",0,convertNumberStringPointToNumberComma(LEFT(J868,LEN(J868)-1)))</f>
        <v>0.25</v>
      </c>
      <c r="L868" t="s">
        <v>2761</v>
      </c>
      <c r="M868" t="s">
        <v>2757</v>
      </c>
      <c r="N868" t="s">
        <v>913</v>
      </c>
      <c r="O868" t="s">
        <v>64</v>
      </c>
      <c r="P868" s="5" t="str">
        <f>LEFT(O868,LEN(O868)-1)</f>
        <v>540</v>
      </c>
      <c r="Q868" t="s">
        <v>3281</v>
      </c>
      <c r="R868" s="52">
        <f>_xlfn.NUMBERVALUE(convertNumberStringPointToNumberComma(LEFT(Q868,FIND("x",Q868)-2)))</f>
        <v>75</v>
      </c>
      <c r="S868" s="52">
        <f>_xlfn.NUMBERVALUE(convertNumberStringPointToNumberComma(LEFT(RIGHT(Q868,LEN(Q868)-FIND("x",Q868)-1),LEN(RIGHT(Q868,LEN(Q868)-FIND("x",Q868)-1))-2)))</f>
        <v>99.5</v>
      </c>
    </row>
    <row r="869" spans="1:19" x14ac:dyDescent="0.25">
      <c r="A869" t="s">
        <v>1808</v>
      </c>
      <c r="B869" t="s">
        <v>1044</v>
      </c>
      <c r="E869" t="s">
        <v>2644</v>
      </c>
      <c r="H869" t="s">
        <v>56</v>
      </c>
      <c r="L869" t="s">
        <v>2761</v>
      </c>
      <c r="M869" t="s">
        <v>2682</v>
      </c>
      <c r="N869" t="s">
        <v>913</v>
      </c>
      <c r="O869" t="s">
        <v>64</v>
      </c>
      <c r="Q869" t="s">
        <v>3281</v>
      </c>
      <c r="R869" s="52">
        <f>_xlfn.NUMBERVALUE(convertNumberStringPointToNumberComma(LEFT(Q869,FIND("x",Q869)-2)))</f>
        <v>75</v>
      </c>
      <c r="S869" s="52">
        <f>_xlfn.NUMBERVALUE(convertNumberStringPointToNumberComma(LEFT(RIGHT(Q869,LEN(Q869)-FIND("x",Q869)-1),LEN(RIGHT(Q869,LEN(Q869)-FIND("x",Q869)-1))-2)))</f>
        <v>99.5</v>
      </c>
    </row>
    <row r="870" spans="1:19" x14ac:dyDescent="0.25">
      <c r="A870" t="s">
        <v>1235</v>
      </c>
      <c r="B870" t="s">
        <v>61</v>
      </c>
      <c r="C870" s="5">
        <f>convertNumberStringPointToNumberComma(IFERROR(LEFT(B870,(FIND("-",B870)-1)),LEFT(B870,FIND("mm",B870)-1)))</f>
        <v>100</v>
      </c>
      <c r="D870" s="5">
        <f>convertNumberStringPointToNumberComma(IFERROR(RIGHT(LEFT(B870,FIND("m",B870)-1),LEN(LEFT(B870,FIND("m",B870)-1))-FIND("-",LEFT(B870,FIND("m",B870)-1))-1),C870))</f>
        <v>100</v>
      </c>
      <c r="E870" t="s">
        <v>2632</v>
      </c>
      <c r="F870" s="9">
        <f>convertNumberStringPointToNumberComma(LEFT(MID(E870,3,9),IFERROR(FIND("-",MID(E870,3,9))-2,3)))</f>
        <v>2.8</v>
      </c>
      <c r="G870" s="9">
        <f>convertNumberStringPointToNumberComma(RIGHT(E870,IF(ISERROR(FIND(".",RIGHT(E870,3))),1,3)))</f>
        <v>2.8</v>
      </c>
      <c r="H870" t="s">
        <v>62</v>
      </c>
      <c r="I870" s="5" t="str">
        <f>IF(H870="none",0,LEFT(H870,LEN(H870)-2))</f>
        <v>55</v>
      </c>
      <c r="J870" s="5" t="s">
        <v>63</v>
      </c>
      <c r="K870" s="10">
        <f>IF(J870="",0,convertNumberStringPointToNumberComma(LEFT(J870,LEN(J870)-1)))</f>
        <v>1</v>
      </c>
      <c r="L870" t="s">
        <v>2707</v>
      </c>
      <c r="M870" t="s">
        <v>2757</v>
      </c>
      <c r="N870" t="s">
        <v>913</v>
      </c>
      <c r="O870" t="s">
        <v>308</v>
      </c>
      <c r="P870" s="5" t="str">
        <f>LEFT(O870,LEN(O870)-1)</f>
        <v>505</v>
      </c>
      <c r="Q870" t="s">
        <v>3381</v>
      </c>
      <c r="R870" s="52">
        <f>_xlfn.NUMBERVALUE(convertNumberStringPointToNumberComma(LEFT(Q870,FIND("x",Q870)-2)))</f>
        <v>75</v>
      </c>
      <c r="S870" s="52">
        <f>_xlfn.NUMBERVALUE(convertNumberStringPointToNumberComma(LEFT(RIGHT(Q870,LEN(Q870)-FIND("x",Q870)-1),LEN(RIGHT(Q870,LEN(Q870)-FIND("x",Q870)-1))-2)))</f>
        <v>99</v>
      </c>
    </row>
    <row r="871" spans="1:19" x14ac:dyDescent="0.25">
      <c r="A871" t="s">
        <v>1627</v>
      </c>
      <c r="B871" t="s">
        <v>1001</v>
      </c>
      <c r="E871" t="s">
        <v>2644</v>
      </c>
      <c r="H871" t="s">
        <v>84</v>
      </c>
      <c r="L871" t="s">
        <v>2797</v>
      </c>
      <c r="M871" t="s">
        <v>8</v>
      </c>
      <c r="N871" t="s">
        <v>903</v>
      </c>
      <c r="O871" t="s">
        <v>312</v>
      </c>
      <c r="Q871" t="s">
        <v>3584</v>
      </c>
      <c r="R871" s="52">
        <f>_xlfn.NUMBERVALUE(convertNumberStringPointToNumberComma(LEFT(Q871,FIND("x",Q871)-2)))</f>
        <v>75.3</v>
      </c>
      <c r="S871" s="52">
        <f>_xlfn.NUMBERVALUE(convertNumberStringPointToNumberComma(LEFT(RIGHT(Q871,LEN(Q871)-FIND("x",Q871)-1),LEN(RIGHT(Q871,LEN(Q871)-FIND("x",Q871)-1))-2)))</f>
        <v>87.7</v>
      </c>
    </row>
    <row r="872" spans="1:19" x14ac:dyDescent="0.25">
      <c r="A872" t="s">
        <v>1628</v>
      </c>
      <c r="B872" t="s">
        <v>1001</v>
      </c>
      <c r="E872" t="s">
        <v>2644</v>
      </c>
      <c r="H872" t="s">
        <v>84</v>
      </c>
      <c r="L872" t="s">
        <v>2797</v>
      </c>
      <c r="M872" t="s">
        <v>2802</v>
      </c>
      <c r="N872" t="s">
        <v>903</v>
      </c>
      <c r="O872" t="s">
        <v>312</v>
      </c>
      <c r="Q872" t="s">
        <v>3584</v>
      </c>
      <c r="R872" s="52">
        <f>_xlfn.NUMBERVALUE(convertNumberStringPointToNumberComma(LEFT(Q872,FIND("x",Q872)-2)))</f>
        <v>75.3</v>
      </c>
      <c r="S872" s="52">
        <f>_xlfn.NUMBERVALUE(convertNumberStringPointToNumberComma(LEFT(RIGHT(Q872,LEN(Q872)-FIND("x",Q872)-1),LEN(RIGHT(Q872,LEN(Q872)-FIND("x",Q872)-1))-2)))</f>
        <v>87.7</v>
      </c>
    </row>
    <row r="873" spans="1:19" x14ac:dyDescent="0.25">
      <c r="A873" t="s">
        <v>2329</v>
      </c>
      <c r="B873" t="s">
        <v>1001</v>
      </c>
      <c r="E873" t="s">
        <v>2644</v>
      </c>
      <c r="H873" t="s">
        <v>84</v>
      </c>
      <c r="L873" t="s">
        <v>2797</v>
      </c>
      <c r="M873" t="s">
        <v>2757</v>
      </c>
      <c r="N873" t="s">
        <v>903</v>
      </c>
      <c r="O873" t="s">
        <v>312</v>
      </c>
      <c r="Q873" t="s">
        <v>3584</v>
      </c>
      <c r="R873" s="52">
        <f>_xlfn.NUMBERVALUE(convertNumberStringPointToNumberComma(LEFT(Q873,FIND("x",Q873)-2)))</f>
        <v>75.3</v>
      </c>
      <c r="S873" s="52">
        <f>_xlfn.NUMBERVALUE(convertNumberStringPointToNumberComma(LEFT(RIGHT(Q873,LEN(Q873)-FIND("x",Q873)-1),LEN(RIGHT(Q873,LEN(Q873)-FIND("x",Q873)-1))-2)))</f>
        <v>87.7</v>
      </c>
    </row>
    <row r="874" spans="1:19" x14ac:dyDescent="0.25">
      <c r="A874" t="s">
        <v>1365</v>
      </c>
      <c r="B874" t="s">
        <v>952</v>
      </c>
      <c r="E874" t="s">
        <v>2639</v>
      </c>
      <c r="H874" t="s">
        <v>56</v>
      </c>
      <c r="L874" t="s">
        <v>2679</v>
      </c>
      <c r="M874" t="s">
        <v>2708</v>
      </c>
      <c r="N874" t="s">
        <v>903</v>
      </c>
      <c r="O874" t="s">
        <v>297</v>
      </c>
      <c r="Q874" t="s">
        <v>3452</v>
      </c>
      <c r="R874" s="52">
        <f>_xlfn.NUMBERVALUE(convertNumberStringPointToNumberComma(LEFT(Q874,FIND("x",Q874)-2)))</f>
        <v>75.400000000000006</v>
      </c>
      <c r="S874" s="52">
        <f>_xlfn.NUMBERVALUE(convertNumberStringPointToNumberComma(LEFT(RIGHT(Q874,LEN(Q874)-FIND("x",Q874)-1),LEN(RIGHT(Q874,LEN(Q874)-FIND("x",Q874)-1))-2)))</f>
        <v>101</v>
      </c>
    </row>
    <row r="875" spans="1:19" x14ac:dyDescent="0.25">
      <c r="A875" t="s">
        <v>2544</v>
      </c>
      <c r="B875" t="s">
        <v>1001</v>
      </c>
      <c r="E875" t="s">
        <v>2644</v>
      </c>
      <c r="H875" t="s">
        <v>56</v>
      </c>
      <c r="L875" t="s">
        <v>2690</v>
      </c>
      <c r="M875" t="s">
        <v>2674</v>
      </c>
      <c r="N875" t="s">
        <v>903</v>
      </c>
      <c r="O875" t="s">
        <v>3178</v>
      </c>
      <c r="Q875" t="s">
        <v>4042</v>
      </c>
      <c r="R875" s="52">
        <f>_xlfn.NUMBERVALUE(convertNumberStringPointToNumberComma(LEFT(Q875,FIND("x",Q875)-2)))</f>
        <v>75.5</v>
      </c>
      <c r="S875" s="52">
        <f>_xlfn.NUMBERVALUE(convertNumberStringPointToNumberComma(LEFT(RIGHT(Q875,LEN(Q875)-FIND("x",Q875)-1),LEN(RIGHT(Q875,LEN(Q875)-FIND("x",Q875)-1))-2)))</f>
        <v>99</v>
      </c>
    </row>
    <row r="876" spans="1:19" x14ac:dyDescent="0.25">
      <c r="A876" t="s">
        <v>2511</v>
      </c>
      <c r="B876" t="s">
        <v>952</v>
      </c>
      <c r="E876" t="s">
        <v>2639</v>
      </c>
      <c r="H876" t="s">
        <v>56</v>
      </c>
      <c r="L876" t="s">
        <v>2725</v>
      </c>
      <c r="M876" t="s">
        <v>2748</v>
      </c>
      <c r="N876" t="s">
        <v>903</v>
      </c>
      <c r="O876" t="s">
        <v>312</v>
      </c>
      <c r="Q876" t="s">
        <v>4027</v>
      </c>
      <c r="R876" s="52">
        <f>_xlfn.NUMBERVALUE(convertNumberStringPointToNumberComma(LEFT(Q876,FIND("x",Q876)-2)))</f>
        <v>75.7</v>
      </c>
      <c r="S876" s="52">
        <f>_xlfn.NUMBERVALUE(convertNumberStringPointToNumberComma(LEFT(RIGHT(Q876,LEN(Q876)-FIND("x",Q876)-1),LEN(RIGHT(Q876,LEN(Q876)-FIND("x",Q876)-1))-2)))</f>
        <v>97.8</v>
      </c>
    </row>
    <row r="877" spans="1:19" x14ac:dyDescent="0.25">
      <c r="A877" t="s">
        <v>1267</v>
      </c>
      <c r="B877" t="s">
        <v>95</v>
      </c>
      <c r="E877" t="s">
        <v>2632</v>
      </c>
      <c r="H877" t="s">
        <v>2860</v>
      </c>
      <c r="L877" t="s">
        <v>2862</v>
      </c>
      <c r="M877" t="s">
        <v>2708</v>
      </c>
      <c r="N877" t="s">
        <v>903</v>
      </c>
      <c r="Q877" t="s">
        <v>3403</v>
      </c>
      <c r="R877" s="52">
        <f>_xlfn.NUMBERVALUE(convertNumberStringPointToNumberComma(LEFT(Q877,FIND("x",Q877)-2)))</f>
        <v>75.8</v>
      </c>
      <c r="S877" s="52">
        <f>_xlfn.NUMBERVALUE(convertNumberStringPointToNumberComma(LEFT(RIGHT(Q877,LEN(Q877)-FIND("x",Q877)-1),LEN(RIGHT(Q877,LEN(Q877)-FIND("x",Q877)-1))-2)))</f>
        <v>83.1</v>
      </c>
    </row>
    <row r="878" spans="1:19" x14ac:dyDescent="0.25">
      <c r="A878" t="s">
        <v>1268</v>
      </c>
      <c r="B878" t="s">
        <v>95</v>
      </c>
      <c r="E878" t="s">
        <v>2632</v>
      </c>
      <c r="H878" t="s">
        <v>2860</v>
      </c>
      <c r="L878" t="s">
        <v>2862</v>
      </c>
      <c r="M878" t="s">
        <v>8</v>
      </c>
      <c r="N878" t="s">
        <v>903</v>
      </c>
      <c r="Q878" t="s">
        <v>3403</v>
      </c>
      <c r="R878" s="52">
        <f>_xlfn.NUMBERVALUE(convertNumberStringPointToNumberComma(LEFT(Q878,FIND("x",Q878)-2)))</f>
        <v>75.8</v>
      </c>
      <c r="S878" s="52">
        <f>_xlfn.NUMBERVALUE(convertNumberStringPointToNumberComma(LEFT(RIGHT(Q878,LEN(Q878)-FIND("x",Q878)-1),LEN(RIGHT(Q878,LEN(Q878)-FIND("x",Q878)-1))-2)))</f>
        <v>83.1</v>
      </c>
    </row>
    <row r="879" spans="1:19" x14ac:dyDescent="0.25">
      <c r="A879" t="s">
        <v>1777</v>
      </c>
      <c r="B879" t="s">
        <v>95</v>
      </c>
      <c r="E879" t="s">
        <v>2632</v>
      </c>
      <c r="H879" t="s">
        <v>2860</v>
      </c>
      <c r="L879" t="s">
        <v>2862</v>
      </c>
      <c r="M879" t="s">
        <v>2802</v>
      </c>
      <c r="N879" t="s">
        <v>903</v>
      </c>
      <c r="Q879" t="s">
        <v>3403</v>
      </c>
      <c r="R879" s="52">
        <f>_xlfn.NUMBERVALUE(convertNumberStringPointToNumberComma(LEFT(Q879,FIND("x",Q879)-2)))</f>
        <v>75.8</v>
      </c>
      <c r="S879" s="52">
        <f>_xlfn.NUMBERVALUE(convertNumberStringPointToNumberComma(LEFT(RIGHT(Q879,LEN(Q879)-FIND("x",Q879)-1),LEN(RIGHT(Q879,LEN(Q879)-FIND("x",Q879)-1))-2)))</f>
        <v>83.1</v>
      </c>
    </row>
    <row r="880" spans="1:19" x14ac:dyDescent="0.25">
      <c r="A880" t="s">
        <v>1778</v>
      </c>
      <c r="B880" t="s">
        <v>95</v>
      </c>
      <c r="E880" t="s">
        <v>2632</v>
      </c>
      <c r="H880" t="s">
        <v>2860</v>
      </c>
      <c r="L880" t="s">
        <v>2862</v>
      </c>
      <c r="M880" t="s">
        <v>2757</v>
      </c>
      <c r="N880" t="s">
        <v>903</v>
      </c>
      <c r="Q880" t="s">
        <v>3403</v>
      </c>
      <c r="R880" s="52">
        <f>_xlfn.NUMBERVALUE(convertNumberStringPointToNumberComma(LEFT(Q880,FIND("x",Q880)-2)))</f>
        <v>75.8</v>
      </c>
      <c r="S880" s="52">
        <f>_xlfn.NUMBERVALUE(convertNumberStringPointToNumberComma(LEFT(RIGHT(Q880,LEN(Q880)-FIND("x",Q880)-1),LEN(RIGHT(Q880,LEN(Q880)-FIND("x",Q880)-1))-2)))</f>
        <v>83.1</v>
      </c>
    </row>
    <row r="881" spans="1:19" x14ac:dyDescent="0.25">
      <c r="A881" t="s">
        <v>2065</v>
      </c>
      <c r="B881" t="s">
        <v>95</v>
      </c>
      <c r="E881" t="s">
        <v>2632</v>
      </c>
      <c r="H881" t="s">
        <v>2860</v>
      </c>
      <c r="L881" t="s">
        <v>2862</v>
      </c>
      <c r="M881" t="s">
        <v>2793</v>
      </c>
      <c r="N881" t="s">
        <v>903</v>
      </c>
      <c r="Q881" t="s">
        <v>3403</v>
      </c>
      <c r="R881" s="52">
        <f>_xlfn.NUMBERVALUE(convertNumberStringPointToNumberComma(LEFT(Q881,FIND("x",Q881)-2)))</f>
        <v>75.8</v>
      </c>
      <c r="S881" s="52">
        <f>_xlfn.NUMBERVALUE(convertNumberStringPointToNumberComma(LEFT(RIGHT(Q881,LEN(Q881)-FIND("x",Q881)-1),LEN(RIGHT(Q881,LEN(Q881)-FIND("x",Q881)-1))-2)))</f>
        <v>83.1</v>
      </c>
    </row>
    <row r="882" spans="1:19" x14ac:dyDescent="0.25">
      <c r="A882" t="s">
        <v>2471</v>
      </c>
      <c r="B882" t="s">
        <v>933</v>
      </c>
      <c r="E882" t="s">
        <v>2633</v>
      </c>
      <c r="H882" t="s">
        <v>56</v>
      </c>
      <c r="L882" t="s">
        <v>2695</v>
      </c>
      <c r="M882" t="s">
        <v>2682</v>
      </c>
      <c r="N882" t="s">
        <v>913</v>
      </c>
      <c r="O882" t="s">
        <v>399</v>
      </c>
      <c r="Q882" t="s">
        <v>4013</v>
      </c>
      <c r="R882" s="52">
        <f>_xlfn.NUMBERVALUE(convertNumberStringPointToNumberComma(LEFT(Q882,FIND("x",Q882)-2)))</f>
        <v>76</v>
      </c>
      <c r="S882" s="52">
        <f>_xlfn.NUMBERVALUE(convertNumberStringPointToNumberComma(LEFT(RIGHT(Q882,LEN(Q882)-FIND("x",Q882)-1),LEN(RIGHT(Q882,LEN(Q882)-FIND("x",Q882)-1))-2)))</f>
        <v>172</v>
      </c>
    </row>
    <row r="883" spans="1:19" x14ac:dyDescent="0.25">
      <c r="A883" t="s">
        <v>2565</v>
      </c>
      <c r="B883" t="s">
        <v>933</v>
      </c>
      <c r="E883" t="s">
        <v>2633</v>
      </c>
      <c r="H883" t="s">
        <v>56</v>
      </c>
      <c r="L883" t="s">
        <v>2679</v>
      </c>
      <c r="M883" t="s">
        <v>2682</v>
      </c>
      <c r="N883" t="s">
        <v>913</v>
      </c>
      <c r="O883" t="s">
        <v>907</v>
      </c>
      <c r="Q883" t="s">
        <v>4013</v>
      </c>
      <c r="R883" s="52">
        <f>_xlfn.NUMBERVALUE(convertNumberStringPointToNumberComma(LEFT(Q883,FIND("x",Q883)-2)))</f>
        <v>76</v>
      </c>
      <c r="S883" s="52">
        <f>_xlfn.NUMBERVALUE(convertNumberStringPointToNumberComma(LEFT(RIGHT(Q883,LEN(Q883)-FIND("x",Q883)-1),LEN(RIGHT(Q883,LEN(Q883)-FIND("x",Q883)-1))-2)))</f>
        <v>172</v>
      </c>
    </row>
    <row r="884" spans="1:19" x14ac:dyDescent="0.25">
      <c r="A884" t="s">
        <v>1263</v>
      </c>
      <c r="B884" t="s">
        <v>432</v>
      </c>
      <c r="E884" t="s">
        <v>2633</v>
      </c>
      <c r="H884" t="s">
        <v>84</v>
      </c>
      <c r="L884" t="s">
        <v>2707</v>
      </c>
      <c r="M884" t="s">
        <v>8</v>
      </c>
      <c r="N884" t="s">
        <v>913</v>
      </c>
      <c r="O884" t="s">
        <v>2856</v>
      </c>
      <c r="Q884" t="s">
        <v>434</v>
      </c>
      <c r="R884" s="52">
        <f>_xlfn.NUMBERVALUE(convertNumberStringPointToNumberComma(LEFT(Q884,FIND("x",Q884)-2)))</f>
        <v>76</v>
      </c>
      <c r="S884" s="52">
        <f>_xlfn.NUMBERVALUE(convertNumberStringPointToNumberComma(LEFT(RIGHT(Q884,LEN(Q884)-FIND("x",Q884)-1),LEN(RIGHT(Q884,LEN(Q884)-FIND("x",Q884)-1))-2)))</f>
        <v>193</v>
      </c>
    </row>
    <row r="885" spans="1:19" x14ac:dyDescent="0.25">
      <c r="A885" t="s">
        <v>1174</v>
      </c>
      <c r="B885" t="s">
        <v>952</v>
      </c>
      <c r="C885" s="5">
        <f>convertNumberStringPointToNumberComma(IFERROR(LEFT(B885,(FIND("-",B885)-1)),LEFT(B885,FIND("mm",B885)-1)))</f>
        <v>18</v>
      </c>
      <c r="D885" s="5">
        <f>convertNumberStringPointToNumberComma(IFERROR(RIGHT(LEFT(B885,FIND("m",B885)-1),LEN(LEFT(B885,FIND("m",B885)-1))-FIND("-",LEFT(B885,FIND("m",B885)-1))-1),C885))</f>
        <v>35</v>
      </c>
      <c r="E885" t="s">
        <v>2639</v>
      </c>
      <c r="F885" s="9">
        <f>convertNumberStringPointToNumberComma(LEFT(MID(E885,3,9),IFERROR(FIND("-",MID(E885,3,9))-2,3)))</f>
        <v>3</v>
      </c>
      <c r="G885" s="9">
        <f>convertNumberStringPointToNumberComma(RIGHT(E885,IF(ISERROR(FIND(".",RIGHT(E885,3))),1,3)))</f>
        <v>5.6</v>
      </c>
      <c r="H885" t="s">
        <v>84</v>
      </c>
      <c r="I885" s="5" t="str">
        <f>IF(H885="none",0,LEFT(H885,LEN(H885)-2))</f>
        <v>62</v>
      </c>
      <c r="J885" s="5" t="s">
        <v>40</v>
      </c>
      <c r="K885" s="10">
        <f>IF(J885="",0,convertNumberStringPointToNumberComma(LEFT(J885,LEN(J885)-1)))</f>
        <v>0.2</v>
      </c>
      <c r="L885" t="s">
        <v>2677</v>
      </c>
      <c r="M885" t="s">
        <v>2802</v>
      </c>
      <c r="N885" t="s">
        <v>903</v>
      </c>
      <c r="O885" t="s">
        <v>321</v>
      </c>
      <c r="P885" s="5" t="str">
        <f>LEFT(O885,LEN(O885)-1)</f>
        <v>405</v>
      </c>
      <c r="Q885" t="s">
        <v>3345</v>
      </c>
      <c r="R885" s="52">
        <f>_xlfn.NUMBERVALUE(convertNumberStringPointToNumberComma(LEFT(Q885,FIND("x",Q885)-2)))</f>
        <v>76</v>
      </c>
      <c r="S885" s="52">
        <f>_xlfn.NUMBERVALUE(convertNumberStringPointToNumberComma(LEFT(RIGHT(Q885,LEN(Q885)-FIND("x",Q885)-1),LEN(RIGHT(Q885,LEN(Q885)-FIND("x",Q885)-1))-2)))</f>
        <v>73</v>
      </c>
    </row>
    <row r="886" spans="1:19" x14ac:dyDescent="0.25">
      <c r="A886" t="s">
        <v>1083</v>
      </c>
      <c r="B886" t="s">
        <v>952</v>
      </c>
      <c r="C886" s="5">
        <f>convertNumberStringPointToNumberComma(IFERROR(LEFT(B886,(FIND("-",B886)-1)),LEFT(B886,FIND("mm",B886)-1)))</f>
        <v>18</v>
      </c>
      <c r="D886" s="5">
        <f>convertNumberStringPointToNumberComma(IFERROR(RIGHT(LEFT(B886,FIND("m",B886)-1),LEN(LEFT(B886,FIND("m",B886)-1))-FIND("-",LEFT(B886,FIND("m",B886)-1))-1),C886))</f>
        <v>35</v>
      </c>
      <c r="E886" t="s">
        <v>2639</v>
      </c>
      <c r="F886" s="9">
        <f>convertNumberStringPointToNumberComma(LEFT(MID(E886,3,9),IFERROR(FIND("-",MID(E886,3,9))-2,3)))</f>
        <v>3</v>
      </c>
      <c r="G886" s="9">
        <f>convertNumberStringPointToNumberComma(RIGHT(E886,IF(ISERROR(FIND(".",RIGHT(E886,3))),1,3)))</f>
        <v>5.6</v>
      </c>
      <c r="H886" t="s">
        <v>84</v>
      </c>
      <c r="I886" s="5" t="str">
        <f>IF(H886="none",0,LEFT(H886,LEN(H886)-2))</f>
        <v>62</v>
      </c>
      <c r="J886" s="5" t="s">
        <v>326</v>
      </c>
      <c r="K886" s="10">
        <f>IF(J886="",0,convertNumberStringPointToNumberComma(LEFT(J886,LEN(J886)-1)))</f>
        <v>0.33</v>
      </c>
      <c r="L886" t="s">
        <v>2728</v>
      </c>
      <c r="M886" t="s">
        <v>2757</v>
      </c>
      <c r="N886" t="s">
        <v>903</v>
      </c>
      <c r="O886" t="s">
        <v>334</v>
      </c>
      <c r="P886" s="5" t="str">
        <f>LEFT(O886,LEN(O886)-1)</f>
        <v>398</v>
      </c>
      <c r="Q886" t="s">
        <v>3302</v>
      </c>
      <c r="R886" s="52">
        <f>_xlfn.NUMBERVALUE(convertNumberStringPointToNumberComma(LEFT(Q886,FIND("x",Q886)-2)))</f>
        <v>76</v>
      </c>
      <c r="S886" s="52">
        <f>_xlfn.NUMBERVALUE(convertNumberStringPointToNumberComma(LEFT(RIGHT(Q886,LEN(Q886)-FIND("x",Q886)-1),LEN(RIGHT(Q886,LEN(Q886)-FIND("x",Q886)-1))-2)))</f>
        <v>86</v>
      </c>
    </row>
    <row r="887" spans="1:19" x14ac:dyDescent="0.25">
      <c r="A887" t="s">
        <v>1083</v>
      </c>
      <c r="B887" t="s">
        <v>952</v>
      </c>
      <c r="E887" t="s">
        <v>2639</v>
      </c>
      <c r="H887" t="s">
        <v>84</v>
      </c>
      <c r="L887" t="s">
        <v>2728</v>
      </c>
      <c r="M887" t="s">
        <v>2757</v>
      </c>
      <c r="N887" t="s">
        <v>903</v>
      </c>
      <c r="O887" t="s">
        <v>334</v>
      </c>
      <c r="Q887" t="s">
        <v>3302</v>
      </c>
      <c r="R887" s="52">
        <f>_xlfn.NUMBERVALUE(convertNumberStringPointToNumberComma(LEFT(Q887,FIND("x",Q887)-2)))</f>
        <v>76</v>
      </c>
      <c r="S887" s="52">
        <f>_xlfn.NUMBERVALUE(convertNumberStringPointToNumberComma(LEFT(RIGHT(Q887,LEN(Q887)-FIND("x",Q887)-1),LEN(RIGHT(Q887,LEN(Q887)-FIND("x",Q887)-1))-2)))</f>
        <v>86</v>
      </c>
    </row>
    <row r="888" spans="1:19" x14ac:dyDescent="0.25">
      <c r="A888" t="s">
        <v>1028</v>
      </c>
      <c r="B888" t="s">
        <v>931</v>
      </c>
      <c r="C888" s="5">
        <f>convertNumberStringPointToNumberComma(IFERROR(LEFT(B888,(FIND("-",B888)-1)),LEFT(B888,FIND("mm",B888)-1)))</f>
        <v>18</v>
      </c>
      <c r="D888" s="5">
        <f>convertNumberStringPointToNumberComma(IFERROR(RIGHT(LEFT(B888,FIND("m",B888)-1),LEN(LEFT(B888,FIND("m",B888)-1))-FIND("-",LEFT(B888,FIND("m",B888)-1))-1),C888))</f>
        <v>5</v>
      </c>
      <c r="E888" t="s">
        <v>2639</v>
      </c>
      <c r="F888" s="9">
        <f>convertNumberStringPointToNumberComma(LEFT(MID(E888,3,9),IFERROR(FIND("-",MID(E888,3,9))-2,3)))</f>
        <v>3</v>
      </c>
      <c r="G888" s="9">
        <f>convertNumberStringPointToNumberComma(RIGHT(E888,IF(ISERROR(FIND(".",RIGHT(E888,3))),1,3)))</f>
        <v>5.6</v>
      </c>
      <c r="H888" t="s">
        <v>56</v>
      </c>
      <c r="I888" s="5" t="str">
        <f>IF(H888="none",0,LEFT(H888,LEN(H888)-2))</f>
        <v>67</v>
      </c>
      <c r="J888" s="5" t="s">
        <v>385</v>
      </c>
      <c r="K888" s="10">
        <f>IF(J888="",0,convertNumberStringPointToNumberComma(LEFT(J888,LEN(J888)-1)))</f>
        <v>0.31</v>
      </c>
      <c r="L888" t="s">
        <v>2698</v>
      </c>
      <c r="M888" t="s">
        <v>8</v>
      </c>
      <c r="N888" t="s">
        <v>903</v>
      </c>
      <c r="O888" t="s">
        <v>303</v>
      </c>
      <c r="P888" s="5" t="str">
        <f>LEFT(O888,LEN(O888)-1)</f>
        <v>420</v>
      </c>
      <c r="Q888" t="s">
        <v>304</v>
      </c>
      <c r="R888" s="52">
        <f>_xlfn.NUMBERVALUE(convertNumberStringPointToNumberComma(LEFT(Q888,FIND("x",Q888)-2)))</f>
        <v>76</v>
      </c>
      <c r="S888" s="52">
        <f>_xlfn.NUMBERVALUE(convertNumberStringPointToNumberComma(LEFT(RIGHT(Q888,LEN(Q888)-FIND("x",Q888)-1),LEN(RIGHT(Q888,LEN(Q888)-FIND("x",Q888)-1))-2)))</f>
        <v>89</v>
      </c>
    </row>
    <row r="889" spans="1:19" x14ac:dyDescent="0.25">
      <c r="A889" t="s">
        <v>1603</v>
      </c>
      <c r="B889" t="s">
        <v>1245</v>
      </c>
      <c r="E889" t="s">
        <v>2644</v>
      </c>
      <c r="H889" t="s">
        <v>84</v>
      </c>
      <c r="L889" t="s">
        <v>2777</v>
      </c>
      <c r="M889" t="s">
        <v>2802</v>
      </c>
      <c r="N889" t="s">
        <v>903</v>
      </c>
      <c r="O889" t="s">
        <v>2953</v>
      </c>
      <c r="Q889" t="s">
        <v>304</v>
      </c>
      <c r="R889" s="52">
        <f>_xlfn.NUMBERVALUE(convertNumberStringPointToNumberComma(LEFT(Q889,FIND("x",Q889)-2)))</f>
        <v>76</v>
      </c>
      <c r="S889" s="52">
        <f>_xlfn.NUMBERVALUE(convertNumberStringPointToNumberComma(LEFT(RIGHT(Q889,LEN(Q889)-FIND("x",Q889)-1),LEN(RIGHT(Q889,LEN(Q889)-FIND("x",Q889)-1))-2)))</f>
        <v>89</v>
      </c>
    </row>
    <row r="890" spans="1:19" x14ac:dyDescent="0.25">
      <c r="B890" t="s">
        <v>61</v>
      </c>
      <c r="E890" t="s">
        <v>2638</v>
      </c>
      <c r="H890" t="s">
        <v>56</v>
      </c>
      <c r="L890" t="s">
        <v>2703</v>
      </c>
      <c r="M890" t="s">
        <v>8</v>
      </c>
      <c r="N890" t="s">
        <v>913</v>
      </c>
      <c r="O890" t="s">
        <v>242</v>
      </c>
      <c r="Q890" t="s">
        <v>304</v>
      </c>
      <c r="R890" s="52">
        <f>_xlfn.NUMBERVALUE(convertNumberStringPointToNumberComma(LEFT(Q890,FIND("x",Q890)-2)))</f>
        <v>76</v>
      </c>
      <c r="S890" s="52">
        <f>_xlfn.NUMBERVALUE(convertNumberStringPointToNumberComma(LEFT(RIGHT(Q890,LEN(Q890)-FIND("x",Q890)-1),LEN(RIGHT(Q890,LEN(Q890)-FIND("x",Q890)-1))-2)))</f>
        <v>89</v>
      </c>
    </row>
    <row r="891" spans="1:19" x14ac:dyDescent="0.25">
      <c r="A891" t="s">
        <v>2194</v>
      </c>
      <c r="B891" t="s">
        <v>822</v>
      </c>
      <c r="E891" t="s">
        <v>2635</v>
      </c>
      <c r="H891" t="s">
        <v>3094</v>
      </c>
      <c r="L891" t="s">
        <v>2703</v>
      </c>
      <c r="M891" t="s">
        <v>2682</v>
      </c>
      <c r="N891" t="s">
        <v>913</v>
      </c>
      <c r="O891" t="s">
        <v>612</v>
      </c>
      <c r="Q891" t="s">
        <v>304</v>
      </c>
      <c r="R891" s="52">
        <f>_xlfn.NUMBERVALUE(convertNumberStringPointToNumberComma(LEFT(Q891,FIND("x",Q891)-2)))</f>
        <v>76</v>
      </c>
      <c r="S891" s="52">
        <f>_xlfn.NUMBERVALUE(convertNumberStringPointToNumberComma(LEFT(RIGHT(Q891,LEN(Q891)-FIND("x",Q891)-1),LEN(RIGHT(Q891,LEN(Q891)-FIND("x",Q891)-1))-2)))</f>
        <v>89</v>
      </c>
    </row>
    <row r="892" spans="1:19" x14ac:dyDescent="0.25">
      <c r="A892" t="s">
        <v>2195</v>
      </c>
      <c r="B892" t="s">
        <v>822</v>
      </c>
      <c r="E892" t="s">
        <v>2635</v>
      </c>
      <c r="H892" t="s">
        <v>3094</v>
      </c>
      <c r="L892" t="s">
        <v>2703</v>
      </c>
      <c r="M892" t="s">
        <v>8</v>
      </c>
      <c r="N892" t="s">
        <v>913</v>
      </c>
      <c r="O892" t="s">
        <v>612</v>
      </c>
      <c r="Q892" t="s">
        <v>304</v>
      </c>
      <c r="R892" s="52">
        <f>_xlfn.NUMBERVALUE(convertNumberStringPointToNumberComma(LEFT(Q892,FIND("x",Q892)-2)))</f>
        <v>76</v>
      </c>
      <c r="S892" s="52">
        <f>_xlfn.NUMBERVALUE(convertNumberStringPointToNumberComma(LEFT(RIGHT(Q892,LEN(Q892)-FIND("x",Q892)-1),LEN(RIGHT(Q892,LEN(Q892)-FIND("x",Q892)-1))-2)))</f>
        <v>89</v>
      </c>
    </row>
    <row r="893" spans="1:19" x14ac:dyDescent="0.25">
      <c r="A893" t="s">
        <v>2196</v>
      </c>
      <c r="B893" t="s">
        <v>822</v>
      </c>
      <c r="E893" t="s">
        <v>2635</v>
      </c>
      <c r="H893" t="s">
        <v>3094</v>
      </c>
      <c r="L893" t="s">
        <v>2703</v>
      </c>
      <c r="M893" t="s">
        <v>2680</v>
      </c>
      <c r="N893" t="s">
        <v>913</v>
      </c>
      <c r="O893" t="s">
        <v>612</v>
      </c>
      <c r="Q893" t="s">
        <v>304</v>
      </c>
      <c r="R893" s="52">
        <f>_xlfn.NUMBERVALUE(convertNumberStringPointToNumberComma(LEFT(Q893,FIND("x",Q893)-2)))</f>
        <v>76</v>
      </c>
      <c r="S893" s="52">
        <f>_xlfn.NUMBERVALUE(convertNumberStringPointToNumberComma(LEFT(RIGHT(Q893,LEN(Q893)-FIND("x",Q893)-1),LEN(RIGHT(Q893,LEN(Q893)-FIND("x",Q893)-1))-2)))</f>
        <v>89</v>
      </c>
    </row>
    <row r="894" spans="1:19" x14ac:dyDescent="0.25">
      <c r="B894" t="s">
        <v>822</v>
      </c>
      <c r="E894" t="s">
        <v>2635</v>
      </c>
      <c r="H894" t="s">
        <v>3094</v>
      </c>
      <c r="L894" t="s">
        <v>2703</v>
      </c>
      <c r="M894" t="s">
        <v>2674</v>
      </c>
      <c r="N894" t="s">
        <v>913</v>
      </c>
      <c r="O894" t="s">
        <v>612</v>
      </c>
      <c r="Q894" t="s">
        <v>304</v>
      </c>
      <c r="R894" s="52">
        <f>_xlfn.NUMBERVALUE(convertNumberStringPointToNumberComma(LEFT(Q894,FIND("x",Q894)-2)))</f>
        <v>76</v>
      </c>
      <c r="S894" s="52">
        <f>_xlfn.NUMBERVALUE(convertNumberStringPointToNumberComma(LEFT(RIGHT(Q894,LEN(Q894)-FIND("x",Q894)-1),LEN(RIGHT(Q894,LEN(Q894)-FIND("x",Q894)-1))-2)))</f>
        <v>89</v>
      </c>
    </row>
    <row r="895" spans="1:19" x14ac:dyDescent="0.25">
      <c r="B895" t="s">
        <v>822</v>
      </c>
      <c r="E895" t="s">
        <v>2635</v>
      </c>
      <c r="H895" t="s">
        <v>3094</v>
      </c>
      <c r="L895" t="s">
        <v>2703</v>
      </c>
      <c r="M895" t="s">
        <v>2804</v>
      </c>
      <c r="N895" t="s">
        <v>913</v>
      </c>
      <c r="O895" t="s">
        <v>612</v>
      </c>
      <c r="Q895" t="s">
        <v>304</v>
      </c>
      <c r="R895" s="52">
        <f>_xlfn.NUMBERVALUE(convertNumberStringPointToNumberComma(LEFT(Q895,FIND("x",Q895)-2)))</f>
        <v>76</v>
      </c>
      <c r="S895" s="52">
        <f>_xlfn.NUMBERVALUE(convertNumberStringPointToNumberComma(LEFT(RIGHT(Q895,LEN(Q895)-FIND("x",Q895)-1),LEN(RIGHT(Q895,LEN(Q895)-FIND("x",Q895)-1))-2)))</f>
        <v>89</v>
      </c>
    </row>
    <row r="896" spans="1:19" x14ac:dyDescent="0.25">
      <c r="B896" t="s">
        <v>822</v>
      </c>
      <c r="E896" t="s">
        <v>2635</v>
      </c>
      <c r="H896" t="s">
        <v>3094</v>
      </c>
      <c r="L896" t="s">
        <v>2703</v>
      </c>
      <c r="M896" t="s">
        <v>2757</v>
      </c>
      <c r="N896" t="s">
        <v>913</v>
      </c>
      <c r="O896" t="s">
        <v>612</v>
      </c>
      <c r="Q896" t="s">
        <v>304</v>
      </c>
      <c r="R896" s="52">
        <f>_xlfn.NUMBERVALUE(convertNumberStringPointToNumberComma(LEFT(Q896,FIND("x",Q896)-2)))</f>
        <v>76</v>
      </c>
      <c r="S896" s="52">
        <f>_xlfn.NUMBERVALUE(convertNumberStringPointToNumberComma(LEFT(RIGHT(Q896,LEN(Q896)-FIND("x",Q896)-1),LEN(RIGHT(Q896,LEN(Q896)-FIND("x",Q896)-1))-2)))</f>
        <v>89</v>
      </c>
    </row>
    <row r="897" spans="1:19" x14ac:dyDescent="0.25">
      <c r="B897" t="s">
        <v>822</v>
      </c>
      <c r="E897" t="s">
        <v>2635</v>
      </c>
      <c r="H897" t="s">
        <v>3094</v>
      </c>
      <c r="L897" t="s">
        <v>2703</v>
      </c>
      <c r="M897" t="s">
        <v>2802</v>
      </c>
      <c r="N897" t="s">
        <v>913</v>
      </c>
      <c r="O897" t="s">
        <v>612</v>
      </c>
      <c r="Q897" t="s">
        <v>304</v>
      </c>
      <c r="R897" s="52">
        <f>_xlfn.NUMBERVALUE(convertNumberStringPointToNumberComma(LEFT(Q897,FIND("x",Q897)-2)))</f>
        <v>76</v>
      </c>
      <c r="S897" s="52">
        <f>_xlfn.NUMBERVALUE(convertNumberStringPointToNumberComma(LEFT(RIGHT(Q897,LEN(Q897)-FIND("x",Q897)-1),LEN(RIGHT(Q897,LEN(Q897)-FIND("x",Q897)-1))-2)))</f>
        <v>89</v>
      </c>
    </row>
    <row r="898" spans="1:19" x14ac:dyDescent="0.25">
      <c r="B898" t="s">
        <v>822</v>
      </c>
      <c r="E898" t="s">
        <v>2635</v>
      </c>
      <c r="H898" t="s">
        <v>3094</v>
      </c>
      <c r="L898" t="s">
        <v>2703</v>
      </c>
      <c r="M898" t="s">
        <v>2748</v>
      </c>
      <c r="N898" t="s">
        <v>913</v>
      </c>
      <c r="O898" t="s">
        <v>612</v>
      </c>
      <c r="Q898" t="s">
        <v>304</v>
      </c>
      <c r="R898" s="52">
        <f>_xlfn.NUMBERVALUE(convertNumberStringPointToNumberComma(LEFT(Q898,FIND("x",Q898)-2)))</f>
        <v>76</v>
      </c>
      <c r="S898" s="52">
        <f>_xlfn.NUMBERVALUE(convertNumberStringPointToNumberComma(LEFT(RIGHT(Q898,LEN(Q898)-FIND("x",Q898)-1),LEN(RIGHT(Q898,LEN(Q898)-FIND("x",Q898)-1))-2)))</f>
        <v>89</v>
      </c>
    </row>
    <row r="899" spans="1:19" x14ac:dyDescent="0.25">
      <c r="A899" t="s">
        <v>1353</v>
      </c>
      <c r="B899" t="s">
        <v>793</v>
      </c>
      <c r="E899" t="s">
        <v>2632</v>
      </c>
      <c r="H899" t="s">
        <v>84</v>
      </c>
      <c r="L899" t="s">
        <v>2707</v>
      </c>
      <c r="M899" t="s">
        <v>2682</v>
      </c>
      <c r="N899" t="s">
        <v>913</v>
      </c>
      <c r="O899" t="s">
        <v>2881</v>
      </c>
      <c r="Q899" t="s">
        <v>795</v>
      </c>
      <c r="R899" s="52">
        <f>_xlfn.NUMBERVALUE(convertNumberStringPointToNumberComma(LEFT(Q899,FIND("x",Q899)-2)))</f>
        <v>76</v>
      </c>
      <c r="S899" s="52">
        <f>_xlfn.NUMBERVALUE(convertNumberStringPointToNumberComma(LEFT(RIGHT(Q899,LEN(Q899)-FIND("x",Q899)-1),LEN(RIGHT(Q899,LEN(Q899)-FIND("x",Q899)-1))-2)))</f>
        <v>95</v>
      </c>
    </row>
    <row r="900" spans="1:19" x14ac:dyDescent="0.25">
      <c r="A900" t="s">
        <v>1354</v>
      </c>
      <c r="B900" t="s">
        <v>793</v>
      </c>
      <c r="E900" t="s">
        <v>2632</v>
      </c>
      <c r="H900" t="s">
        <v>84</v>
      </c>
      <c r="L900" t="s">
        <v>2707</v>
      </c>
      <c r="M900" t="s">
        <v>8</v>
      </c>
      <c r="N900" t="s">
        <v>913</v>
      </c>
      <c r="O900" t="s">
        <v>2881</v>
      </c>
      <c r="Q900" t="s">
        <v>795</v>
      </c>
      <c r="R900" s="52">
        <f>_xlfn.NUMBERVALUE(convertNumberStringPointToNumberComma(LEFT(Q900,FIND("x",Q900)-2)))</f>
        <v>76</v>
      </c>
      <c r="S900" s="52">
        <f>_xlfn.NUMBERVALUE(convertNumberStringPointToNumberComma(LEFT(RIGHT(Q900,LEN(Q900)-FIND("x",Q900)-1),LEN(RIGHT(Q900,LEN(Q900)-FIND("x",Q900)-1))-2)))</f>
        <v>95</v>
      </c>
    </row>
    <row r="901" spans="1:19" x14ac:dyDescent="0.25">
      <c r="A901" t="s">
        <v>2327</v>
      </c>
      <c r="B901" t="s">
        <v>793</v>
      </c>
      <c r="E901" t="s">
        <v>2632</v>
      </c>
      <c r="H901" t="s">
        <v>84</v>
      </c>
      <c r="L901" t="s">
        <v>2707</v>
      </c>
      <c r="M901" t="s">
        <v>2793</v>
      </c>
      <c r="N901" t="s">
        <v>903</v>
      </c>
      <c r="O901" t="s">
        <v>2881</v>
      </c>
      <c r="Q901" t="s">
        <v>795</v>
      </c>
      <c r="R901" s="52">
        <f>_xlfn.NUMBERVALUE(convertNumberStringPointToNumberComma(LEFT(Q901,FIND("x",Q901)-2)))</f>
        <v>76</v>
      </c>
      <c r="S901" s="52">
        <f>_xlfn.NUMBERVALUE(convertNumberStringPointToNumberComma(LEFT(RIGHT(Q901,LEN(Q901)-FIND("x",Q901)-1),LEN(RIGHT(Q901,LEN(Q901)-FIND("x",Q901)-1))-2)))</f>
        <v>95</v>
      </c>
    </row>
    <row r="902" spans="1:19" x14ac:dyDescent="0.25">
      <c r="A902" t="s">
        <v>1910</v>
      </c>
      <c r="B902" t="s">
        <v>75</v>
      </c>
      <c r="E902" t="s">
        <v>2638</v>
      </c>
      <c r="H902" t="s">
        <v>56</v>
      </c>
      <c r="L902" t="s">
        <v>3042</v>
      </c>
      <c r="M902" t="s">
        <v>2682</v>
      </c>
      <c r="N902" t="s">
        <v>913</v>
      </c>
      <c r="O902" t="s">
        <v>272</v>
      </c>
      <c r="Q902" t="s">
        <v>3745</v>
      </c>
      <c r="R902" s="52">
        <f>_xlfn.NUMBERVALUE(convertNumberStringPointToNumberComma(LEFT(Q902,FIND("x",Q902)-2)))</f>
        <v>76</v>
      </c>
      <c r="S902" s="52">
        <f>_xlfn.NUMBERVALUE(convertNumberStringPointToNumberComma(LEFT(RIGHT(Q902,LEN(Q902)-FIND("x",Q902)-1),LEN(RIGHT(Q902,LEN(Q902)-FIND("x",Q902)-1))-2)))</f>
        <v>98.9</v>
      </c>
    </row>
    <row r="903" spans="1:19" x14ac:dyDescent="0.25">
      <c r="A903" t="s">
        <v>1911</v>
      </c>
      <c r="B903" t="s">
        <v>75</v>
      </c>
      <c r="E903" t="s">
        <v>2638</v>
      </c>
      <c r="H903" t="s">
        <v>56</v>
      </c>
      <c r="L903" t="s">
        <v>3042</v>
      </c>
      <c r="M903" t="s">
        <v>8</v>
      </c>
      <c r="N903" t="s">
        <v>913</v>
      </c>
      <c r="O903" t="s">
        <v>272</v>
      </c>
      <c r="Q903" t="s">
        <v>3745</v>
      </c>
      <c r="R903" s="52">
        <f>_xlfn.NUMBERVALUE(convertNumberStringPointToNumberComma(LEFT(Q903,FIND("x",Q903)-2)))</f>
        <v>76</v>
      </c>
      <c r="S903" s="52">
        <f>_xlfn.NUMBERVALUE(convertNumberStringPointToNumberComma(LEFT(RIGHT(Q903,LEN(Q903)-FIND("x",Q903)-1),LEN(RIGHT(Q903,LEN(Q903)-FIND("x",Q903)-1))-2)))</f>
        <v>98.9</v>
      </c>
    </row>
    <row r="904" spans="1:19" x14ac:dyDescent="0.25">
      <c r="A904" t="s">
        <v>1912</v>
      </c>
      <c r="B904" t="s">
        <v>75</v>
      </c>
      <c r="E904" t="s">
        <v>2638</v>
      </c>
      <c r="H904" t="s">
        <v>56</v>
      </c>
      <c r="L904" t="s">
        <v>3042</v>
      </c>
      <c r="M904" t="s">
        <v>2802</v>
      </c>
      <c r="N904" t="s">
        <v>913</v>
      </c>
      <c r="O904" t="s">
        <v>272</v>
      </c>
      <c r="Q904" t="s">
        <v>3745</v>
      </c>
      <c r="R904" s="52">
        <f>_xlfn.NUMBERVALUE(convertNumberStringPointToNumberComma(LEFT(Q904,FIND("x",Q904)-2)))</f>
        <v>76</v>
      </c>
      <c r="S904" s="52">
        <f>_xlfn.NUMBERVALUE(convertNumberStringPointToNumberComma(LEFT(RIGHT(Q904,LEN(Q904)-FIND("x",Q904)-1),LEN(RIGHT(Q904,LEN(Q904)-FIND("x",Q904)-1))-2)))</f>
        <v>98.9</v>
      </c>
    </row>
    <row r="905" spans="1:19" x14ac:dyDescent="0.25">
      <c r="A905" t="s">
        <v>1913</v>
      </c>
      <c r="B905" t="s">
        <v>75</v>
      </c>
      <c r="E905" t="s">
        <v>2638</v>
      </c>
      <c r="H905" t="s">
        <v>56</v>
      </c>
      <c r="L905" t="s">
        <v>3042</v>
      </c>
      <c r="M905" t="s">
        <v>2757</v>
      </c>
      <c r="N905" t="s">
        <v>913</v>
      </c>
      <c r="O905" t="s">
        <v>272</v>
      </c>
      <c r="Q905" t="s">
        <v>3745</v>
      </c>
      <c r="R905" s="52">
        <f>_xlfn.NUMBERVALUE(convertNumberStringPointToNumberComma(LEFT(Q905,FIND("x",Q905)-2)))</f>
        <v>76</v>
      </c>
      <c r="S905" s="52">
        <f>_xlfn.NUMBERVALUE(convertNumberStringPointToNumberComma(LEFT(RIGHT(Q905,LEN(Q905)-FIND("x",Q905)-1),LEN(RIGHT(Q905,LEN(Q905)-FIND("x",Q905)-1))-2)))</f>
        <v>98.9</v>
      </c>
    </row>
    <row r="906" spans="1:19" x14ac:dyDescent="0.25">
      <c r="A906" t="s">
        <v>1914</v>
      </c>
      <c r="B906" t="s">
        <v>75</v>
      </c>
      <c r="E906" t="s">
        <v>2638</v>
      </c>
      <c r="H906" t="s">
        <v>56</v>
      </c>
      <c r="L906" t="s">
        <v>3042</v>
      </c>
      <c r="M906" t="s">
        <v>2674</v>
      </c>
      <c r="N906" t="s">
        <v>913</v>
      </c>
      <c r="O906" t="s">
        <v>272</v>
      </c>
      <c r="Q906" t="s">
        <v>3745</v>
      </c>
      <c r="R906" s="52">
        <f>_xlfn.NUMBERVALUE(convertNumberStringPointToNumberComma(LEFT(Q906,FIND("x",Q906)-2)))</f>
        <v>76</v>
      </c>
      <c r="S906" s="52">
        <f>_xlfn.NUMBERVALUE(convertNumberStringPointToNumberComma(LEFT(RIGHT(Q906,LEN(Q906)-FIND("x",Q906)-1),LEN(RIGHT(Q906,LEN(Q906)-FIND("x",Q906)-1))-2)))</f>
        <v>98.9</v>
      </c>
    </row>
    <row r="907" spans="1:19" x14ac:dyDescent="0.25">
      <c r="A907" t="s">
        <v>1261</v>
      </c>
      <c r="B907" t="s">
        <v>621</v>
      </c>
      <c r="C907" s="5">
        <f>convertNumberStringPointToNumberComma(IFERROR(LEFT(B907,(FIND("-",B907)-1)),LEFT(B907,FIND("mm",B907)-1)))</f>
        <v>4.5</v>
      </c>
      <c r="D907" s="5">
        <f>convertNumberStringPointToNumberComma(IFERROR(RIGHT(LEFT(B907,FIND("m",B907)-1),LEN(LEFT(B907,FIND("m",B907)-1))-FIND("-",LEFT(B907,FIND("m",B907)-1))-1),C907))</f>
        <v>4.5</v>
      </c>
      <c r="E907" t="s">
        <v>2632</v>
      </c>
      <c r="F907" s="9">
        <f>convertNumberStringPointToNumberComma(LEFT(MID(E907,3,9),IFERROR(FIND("-",MID(E907,3,9))-2,3)))</f>
        <v>2.8</v>
      </c>
      <c r="G907" s="9">
        <v>16</v>
      </c>
      <c r="H907" t="s">
        <v>2860</v>
      </c>
      <c r="I907" s="2" t="str">
        <f>IF(H907="none",0,LEFT(H907,LEN(H907)-2))</f>
        <v>Filterhalt</v>
      </c>
      <c r="K907" s="10">
        <f>IF(J907="",0,convertNumberStringPointToNumberComma(LEFT(J907,LEN(J907)-1)))</f>
        <v>0</v>
      </c>
      <c r="L907" t="s">
        <v>2861</v>
      </c>
      <c r="M907" t="s">
        <v>2708</v>
      </c>
      <c r="N907" t="s">
        <v>903</v>
      </c>
      <c r="O907" t="s">
        <v>28</v>
      </c>
      <c r="P907" s="2" t="str">
        <f>LEFT(O907,LEN(O907)-1)</f>
        <v>470</v>
      </c>
      <c r="Q907" t="s">
        <v>3399</v>
      </c>
      <c r="R907" s="52">
        <f>_xlfn.NUMBERVALUE(convertNumberStringPointToNumberComma(LEFT(Q907,FIND("x",Q907)-2)))</f>
        <v>76.2</v>
      </c>
      <c r="S907" s="52">
        <f>_xlfn.NUMBERVALUE(convertNumberStringPointToNumberComma(LEFT(RIGHT(Q907,LEN(Q907)-FIND("x",Q907)-1),LEN(RIGHT(Q907,LEN(Q907)-FIND("x",Q907)-1))-2)))</f>
        <v>77.8</v>
      </c>
    </row>
    <row r="908" spans="1:19" x14ac:dyDescent="0.25">
      <c r="A908" t="s">
        <v>1548</v>
      </c>
      <c r="B908" t="s">
        <v>621</v>
      </c>
      <c r="E908" t="s">
        <v>2632</v>
      </c>
      <c r="H908" t="s">
        <v>2860</v>
      </c>
      <c r="L908" t="s">
        <v>2861</v>
      </c>
      <c r="M908" t="s">
        <v>8</v>
      </c>
      <c r="N908" t="s">
        <v>903</v>
      </c>
      <c r="O908" t="s">
        <v>28</v>
      </c>
      <c r="Q908" t="s">
        <v>3399</v>
      </c>
      <c r="R908" s="52">
        <f>_xlfn.NUMBERVALUE(convertNumberStringPointToNumberComma(LEFT(Q908,FIND("x",Q908)-2)))</f>
        <v>76.2</v>
      </c>
      <c r="S908" s="52">
        <f>_xlfn.NUMBERVALUE(convertNumberStringPointToNumberComma(LEFT(RIGHT(Q908,LEN(Q908)-FIND("x",Q908)-1),LEN(RIGHT(Q908,LEN(Q908)-FIND("x",Q908)-1))-2)))</f>
        <v>77.8</v>
      </c>
    </row>
    <row r="909" spans="1:19" x14ac:dyDescent="0.25">
      <c r="A909" t="s">
        <v>1779</v>
      </c>
      <c r="B909" t="s">
        <v>621</v>
      </c>
      <c r="E909" t="s">
        <v>2632</v>
      </c>
      <c r="H909" t="s">
        <v>2860</v>
      </c>
      <c r="L909" t="s">
        <v>2861</v>
      </c>
      <c r="M909" t="s">
        <v>2802</v>
      </c>
      <c r="N909" t="s">
        <v>903</v>
      </c>
      <c r="O909" t="s">
        <v>28</v>
      </c>
      <c r="Q909" t="s">
        <v>3399</v>
      </c>
      <c r="R909" s="52">
        <f>_xlfn.NUMBERVALUE(convertNumberStringPointToNumberComma(LEFT(Q909,FIND("x",Q909)-2)))</f>
        <v>76.2</v>
      </c>
      <c r="S909" s="52">
        <f>_xlfn.NUMBERVALUE(convertNumberStringPointToNumberComma(LEFT(RIGHT(Q909,LEN(Q909)-FIND("x",Q909)-1),LEN(RIGHT(Q909,LEN(Q909)-FIND("x",Q909)-1))-2)))</f>
        <v>77.8</v>
      </c>
    </row>
    <row r="910" spans="1:19" x14ac:dyDescent="0.25">
      <c r="A910" t="s">
        <v>1780</v>
      </c>
      <c r="B910" t="s">
        <v>621</v>
      </c>
      <c r="E910" t="s">
        <v>2632</v>
      </c>
      <c r="H910" t="s">
        <v>2860</v>
      </c>
      <c r="L910" t="s">
        <v>2861</v>
      </c>
      <c r="M910" t="s">
        <v>2757</v>
      </c>
      <c r="N910" t="s">
        <v>903</v>
      </c>
      <c r="O910" t="s">
        <v>28</v>
      </c>
      <c r="Q910" t="s">
        <v>3399</v>
      </c>
      <c r="R910" s="52">
        <f>_xlfn.NUMBERVALUE(convertNumberStringPointToNumberComma(LEFT(Q910,FIND("x",Q910)-2)))</f>
        <v>76.2</v>
      </c>
      <c r="S910" s="52">
        <f>_xlfn.NUMBERVALUE(convertNumberStringPointToNumberComma(LEFT(RIGHT(Q910,LEN(Q910)-FIND("x",Q910)-1),LEN(RIGHT(Q910,LEN(Q910)-FIND("x",Q910)-1))-2)))</f>
        <v>77.8</v>
      </c>
    </row>
    <row r="911" spans="1:19" x14ac:dyDescent="0.25">
      <c r="A911" t="s">
        <v>2059</v>
      </c>
      <c r="B911" t="s">
        <v>621</v>
      </c>
      <c r="E911" t="s">
        <v>2632</v>
      </c>
      <c r="H911" t="s">
        <v>2860</v>
      </c>
      <c r="L911" t="s">
        <v>2861</v>
      </c>
      <c r="M911" t="s">
        <v>2793</v>
      </c>
      <c r="N911" t="s">
        <v>903</v>
      </c>
      <c r="O911" t="s">
        <v>28</v>
      </c>
      <c r="Q911" t="s">
        <v>3399</v>
      </c>
      <c r="R911" s="52">
        <f>_xlfn.NUMBERVALUE(convertNumberStringPointToNumberComma(LEFT(Q911,FIND("x",Q911)-2)))</f>
        <v>76.2</v>
      </c>
      <c r="S911" s="52">
        <f>_xlfn.NUMBERVALUE(convertNumberStringPointToNumberComma(LEFT(RIGHT(Q911,LEN(Q911)-FIND("x",Q911)-1),LEN(RIGHT(Q911,LEN(Q911)-FIND("x",Q911)-1))-2)))</f>
        <v>77.8</v>
      </c>
    </row>
    <row r="912" spans="1:19" x14ac:dyDescent="0.25">
      <c r="A912" t="s">
        <v>1343</v>
      </c>
      <c r="B912" t="s">
        <v>863</v>
      </c>
      <c r="E912" t="s">
        <v>2632</v>
      </c>
      <c r="H912" t="s">
        <v>91</v>
      </c>
      <c r="L912" t="s">
        <v>2707</v>
      </c>
      <c r="M912" t="s">
        <v>2757</v>
      </c>
      <c r="N912" t="s">
        <v>913</v>
      </c>
      <c r="O912" t="s">
        <v>108</v>
      </c>
      <c r="Q912" t="s">
        <v>3442</v>
      </c>
      <c r="R912" s="52">
        <f>_xlfn.NUMBERVALUE(convertNumberStringPointToNumberComma(LEFT(Q912,FIND("x",Q912)-2)))</f>
        <v>76.400000000000006</v>
      </c>
      <c r="S912" s="52">
        <f>_xlfn.NUMBERVALUE(convertNumberStringPointToNumberComma(LEFT(RIGHT(Q912,LEN(Q912)-FIND("x",Q912)-1),LEN(RIGHT(Q912,LEN(Q912)-FIND("x",Q912)-1))-2)))</f>
        <v>114.5</v>
      </c>
    </row>
    <row r="913" spans="1:19" x14ac:dyDescent="0.25">
      <c r="A913" t="s">
        <v>1622</v>
      </c>
      <c r="B913" t="s">
        <v>863</v>
      </c>
      <c r="E913" t="s">
        <v>2632</v>
      </c>
      <c r="H913" t="s">
        <v>91</v>
      </c>
      <c r="L913" t="s">
        <v>2707</v>
      </c>
      <c r="M913" t="s">
        <v>8</v>
      </c>
      <c r="N913" t="s">
        <v>913</v>
      </c>
      <c r="O913" t="s">
        <v>108</v>
      </c>
      <c r="Q913" t="s">
        <v>3442</v>
      </c>
      <c r="R913" s="52">
        <f>_xlfn.NUMBERVALUE(convertNumberStringPointToNumberComma(LEFT(Q913,FIND("x",Q913)-2)))</f>
        <v>76.400000000000006</v>
      </c>
      <c r="S913" s="52">
        <f>_xlfn.NUMBERVALUE(convertNumberStringPointToNumberComma(LEFT(RIGHT(Q913,LEN(Q913)-FIND("x",Q913)-1),LEN(RIGHT(Q913,LEN(Q913)-FIND("x",Q913)-1))-2)))</f>
        <v>114.5</v>
      </c>
    </row>
    <row r="914" spans="1:19" x14ac:dyDescent="0.25">
      <c r="A914" t="s">
        <v>2576</v>
      </c>
      <c r="B914" t="s">
        <v>863</v>
      </c>
      <c r="E914" t="s">
        <v>2632</v>
      </c>
      <c r="H914" t="s">
        <v>91</v>
      </c>
      <c r="L914" t="s">
        <v>2707</v>
      </c>
      <c r="M914" t="s">
        <v>2682</v>
      </c>
      <c r="N914" t="s">
        <v>913</v>
      </c>
      <c r="O914" t="s">
        <v>108</v>
      </c>
      <c r="Q914" t="s">
        <v>3442</v>
      </c>
      <c r="R914" s="52">
        <f>_xlfn.NUMBERVALUE(convertNumberStringPointToNumberComma(LEFT(Q914,FIND("x",Q914)-2)))</f>
        <v>76.400000000000006</v>
      </c>
      <c r="S914" s="52">
        <f>_xlfn.NUMBERVALUE(convertNumberStringPointToNumberComma(LEFT(RIGHT(Q914,LEN(Q914)-FIND("x",Q914)-1),LEN(RIGHT(Q914,LEN(Q914)-FIND("x",Q914)-1))-2)))</f>
        <v>114.5</v>
      </c>
    </row>
    <row r="915" spans="1:19" x14ac:dyDescent="0.25">
      <c r="A915" t="s">
        <v>2552</v>
      </c>
      <c r="B915" t="s">
        <v>1251</v>
      </c>
      <c r="E915" t="s">
        <v>2636</v>
      </c>
      <c r="H915" t="s">
        <v>91</v>
      </c>
      <c r="L915" t="s">
        <v>2710</v>
      </c>
      <c r="M915" t="s">
        <v>8</v>
      </c>
      <c r="N915" t="s">
        <v>903</v>
      </c>
      <c r="O915" t="s">
        <v>612</v>
      </c>
      <c r="Q915" t="s">
        <v>4045</v>
      </c>
      <c r="R915" s="52">
        <f>_xlfn.NUMBERVALUE(convertNumberStringPointToNumberComma(LEFT(Q915,FIND("x",Q915)-2)))</f>
        <v>76.5</v>
      </c>
      <c r="S915" s="52">
        <f>_xlfn.NUMBERVALUE(convertNumberStringPointToNumberComma(LEFT(RIGHT(Q915,LEN(Q915)-FIND("x",Q915)-1),LEN(RIGHT(Q915,LEN(Q915)-FIND("x",Q915)-1))-2)))</f>
        <v>123</v>
      </c>
    </row>
    <row r="916" spans="1:19" x14ac:dyDescent="0.25">
      <c r="A916" t="s">
        <v>1419</v>
      </c>
      <c r="B916" t="s">
        <v>927</v>
      </c>
      <c r="E916" t="s">
        <v>2634</v>
      </c>
      <c r="H916" t="s">
        <v>84</v>
      </c>
      <c r="L916" t="s">
        <v>2806</v>
      </c>
      <c r="M916" t="s">
        <v>8</v>
      </c>
      <c r="N916" t="s">
        <v>913</v>
      </c>
      <c r="O916" t="s">
        <v>246</v>
      </c>
      <c r="Q916" t="s">
        <v>3490</v>
      </c>
      <c r="R916" s="52">
        <f>_xlfn.NUMBERVALUE(convertNumberStringPointToNumberComma(LEFT(Q916,FIND("x",Q916)-2)))</f>
        <v>76.5</v>
      </c>
      <c r="S916" s="52">
        <f>_xlfn.NUMBERVALUE(convertNumberStringPointToNumberComma(LEFT(RIGHT(Q916,LEN(Q916)-FIND("x",Q916)-1),LEN(RIGHT(Q916,LEN(Q916)-FIND("x",Q916)-1))-2)))</f>
        <v>126.5</v>
      </c>
    </row>
    <row r="917" spans="1:19" x14ac:dyDescent="0.25">
      <c r="A917" t="s">
        <v>1718</v>
      </c>
      <c r="B917" t="s">
        <v>927</v>
      </c>
      <c r="E917" t="s">
        <v>2634</v>
      </c>
      <c r="H917" t="s">
        <v>84</v>
      </c>
      <c r="L917" t="s">
        <v>2806</v>
      </c>
      <c r="M917" t="s">
        <v>2802</v>
      </c>
      <c r="N917" t="s">
        <v>913</v>
      </c>
      <c r="O917" t="s">
        <v>246</v>
      </c>
      <c r="Q917" t="s">
        <v>3490</v>
      </c>
      <c r="R917" s="52">
        <f>_xlfn.NUMBERVALUE(convertNumberStringPointToNumberComma(LEFT(Q917,FIND("x",Q917)-2)))</f>
        <v>76.5</v>
      </c>
      <c r="S917" s="52">
        <f>_xlfn.NUMBERVALUE(convertNumberStringPointToNumberComma(LEFT(RIGHT(Q917,LEN(Q917)-FIND("x",Q917)-1),LEN(RIGHT(Q917,LEN(Q917)-FIND("x",Q917)-1))-2)))</f>
        <v>126.5</v>
      </c>
    </row>
    <row r="918" spans="1:19" x14ac:dyDescent="0.25">
      <c r="A918" t="s">
        <v>1719</v>
      </c>
      <c r="B918" t="s">
        <v>927</v>
      </c>
      <c r="E918" t="s">
        <v>2634</v>
      </c>
      <c r="H918" t="s">
        <v>84</v>
      </c>
      <c r="L918" t="s">
        <v>2806</v>
      </c>
      <c r="M918" t="s">
        <v>2757</v>
      </c>
      <c r="N918" t="s">
        <v>913</v>
      </c>
      <c r="O918" t="s">
        <v>246</v>
      </c>
      <c r="Q918" t="s">
        <v>3490</v>
      </c>
      <c r="R918" s="52">
        <f>_xlfn.NUMBERVALUE(convertNumberStringPointToNumberComma(LEFT(Q918,FIND("x",Q918)-2)))</f>
        <v>76.5</v>
      </c>
      <c r="S918" s="52">
        <f>_xlfn.NUMBERVALUE(convertNumberStringPointToNumberComma(LEFT(RIGHT(Q918,LEN(Q918)-FIND("x",Q918)-1),LEN(RIGHT(Q918,LEN(Q918)-FIND("x",Q918)-1))-2)))</f>
        <v>126.5</v>
      </c>
    </row>
    <row r="919" spans="1:19" x14ac:dyDescent="0.25">
      <c r="A919" t="s">
        <v>1720</v>
      </c>
      <c r="B919" t="s">
        <v>927</v>
      </c>
      <c r="E919" t="s">
        <v>2634</v>
      </c>
      <c r="H919" t="s">
        <v>84</v>
      </c>
      <c r="L919" t="s">
        <v>2806</v>
      </c>
      <c r="M919" t="s">
        <v>2793</v>
      </c>
      <c r="N919" t="s">
        <v>903</v>
      </c>
      <c r="O919" t="s">
        <v>246</v>
      </c>
      <c r="Q919" t="s">
        <v>3490</v>
      </c>
      <c r="R919" s="52">
        <f>_xlfn.NUMBERVALUE(convertNumberStringPointToNumberComma(LEFT(Q919,FIND("x",Q919)-2)))</f>
        <v>76.5</v>
      </c>
      <c r="S919" s="52">
        <f>_xlfn.NUMBERVALUE(convertNumberStringPointToNumberComma(LEFT(RIGHT(Q919,LEN(Q919)-FIND("x",Q919)-1),LEN(RIGHT(Q919,LEN(Q919)-FIND("x",Q919)-1))-2)))</f>
        <v>126.5</v>
      </c>
    </row>
    <row r="920" spans="1:19" x14ac:dyDescent="0.25">
      <c r="A920" t="s">
        <v>1239</v>
      </c>
      <c r="B920" t="s">
        <v>1240</v>
      </c>
      <c r="C920" s="5">
        <f>convertNumberStringPointToNumberComma(IFERROR(LEFT(B920,(FIND("-",B920)-1)),LEFT(B920,FIND("mm",B920)-1)))</f>
        <v>50</v>
      </c>
      <c r="D920" s="5">
        <f>convertNumberStringPointToNumberComma(IFERROR(RIGHT(LEFT(B920,FIND("m",B920)-1),LEN(LEFT(B920,FIND("m",B920)-1))-FIND("-",LEFT(B920,FIND("m",B920)-1))-1),C920))</f>
        <v>35</v>
      </c>
      <c r="E920" t="s">
        <v>2632</v>
      </c>
      <c r="F920" s="9">
        <f>convertNumberStringPointToNumberComma(LEFT(MID(E920,3,9),IFERROR(FIND("-",MID(E920,3,9))-2,3)))</f>
        <v>2.8</v>
      </c>
      <c r="G920" s="9">
        <f>convertNumberStringPointToNumberComma(RIGHT(E920,IF(ISERROR(FIND(".",RIGHT(E920,3))),1,3)))</f>
        <v>2.8</v>
      </c>
      <c r="H920" t="s">
        <v>56</v>
      </c>
      <c r="I920" s="5" t="str">
        <f>IF(H920="none",0,LEFT(H920,LEN(H920)-2))</f>
        <v>67</v>
      </c>
      <c r="J920" s="5" t="s">
        <v>118</v>
      </c>
      <c r="K920" s="10">
        <f>IF(J920="",0,convertNumberStringPointToNumberComma(LEFT(J920,LEN(J920)-1)))</f>
        <v>0.16</v>
      </c>
      <c r="L920" t="s">
        <v>2706</v>
      </c>
      <c r="M920" t="s">
        <v>2802</v>
      </c>
      <c r="N920" t="s">
        <v>903</v>
      </c>
      <c r="O920" t="s">
        <v>2853</v>
      </c>
      <c r="P920" s="5" t="str">
        <f>LEFT(O920,LEN(O920)-1)</f>
        <v>685</v>
      </c>
      <c r="Q920" t="s">
        <v>3384</v>
      </c>
      <c r="R920" s="52">
        <f>_xlfn.NUMBERVALUE(convertNumberStringPointToNumberComma(LEFT(Q920,FIND("x",Q920)-2)))</f>
        <v>76.5</v>
      </c>
      <c r="S920" s="52">
        <f>_xlfn.NUMBERVALUE(convertNumberStringPointToNumberComma(LEFT(RIGHT(Q920,LEN(Q920)-FIND("x",Q920)-1),LEN(RIGHT(Q920,LEN(Q920)-FIND("x",Q920)-1))-2)))</f>
        <v>136</v>
      </c>
    </row>
    <row r="921" spans="1:19" x14ac:dyDescent="0.25">
      <c r="A921" t="s">
        <v>2460</v>
      </c>
      <c r="B921" t="s">
        <v>927</v>
      </c>
      <c r="E921" t="s">
        <v>2634</v>
      </c>
      <c r="H921" t="s">
        <v>91</v>
      </c>
      <c r="L921" t="s">
        <v>2797</v>
      </c>
      <c r="M921" t="s">
        <v>2682</v>
      </c>
      <c r="N921" t="s">
        <v>913</v>
      </c>
      <c r="O921" t="s">
        <v>339</v>
      </c>
      <c r="Q921" t="s">
        <v>4005</v>
      </c>
      <c r="R921" s="52">
        <f>_xlfn.NUMBERVALUE(convertNumberStringPointToNumberComma(LEFT(Q921,FIND("x",Q921)-2)))</f>
        <v>76.5</v>
      </c>
      <c r="S921" s="52">
        <f>_xlfn.NUMBERVALUE(convertNumberStringPointToNumberComma(LEFT(RIGHT(Q921,LEN(Q921)-FIND("x",Q921)-1),LEN(RIGHT(Q921,LEN(Q921)-FIND("x",Q921)-1))-2)))</f>
        <v>142.80000000000001</v>
      </c>
    </row>
    <row r="922" spans="1:19" x14ac:dyDescent="0.25">
      <c r="A922" t="s">
        <v>1923</v>
      </c>
      <c r="B922" t="s">
        <v>635</v>
      </c>
      <c r="E922" t="s">
        <v>2632</v>
      </c>
      <c r="H922" t="s">
        <v>56</v>
      </c>
      <c r="L922" t="s">
        <v>2686</v>
      </c>
      <c r="M922" t="s">
        <v>2989</v>
      </c>
      <c r="N922" t="s">
        <v>913</v>
      </c>
      <c r="O922" t="s">
        <v>100</v>
      </c>
      <c r="Q922" t="s">
        <v>3750</v>
      </c>
      <c r="R922" s="52">
        <f>_xlfn.NUMBERVALUE(convertNumberStringPointToNumberComma(LEFT(Q922,FIND("x",Q922)-2)))</f>
        <v>76.5</v>
      </c>
      <c r="S922" s="52">
        <f>_xlfn.NUMBERVALUE(convertNumberStringPointToNumberComma(LEFT(RIGHT(Q922,LEN(Q922)-FIND("x",Q922)-1),LEN(RIGHT(Q922,LEN(Q922)-FIND("x",Q922)-1))-2)))</f>
        <v>66.5</v>
      </c>
    </row>
    <row r="923" spans="1:19" x14ac:dyDescent="0.25">
      <c r="A923" t="s">
        <v>2624</v>
      </c>
      <c r="B923" t="s">
        <v>1251</v>
      </c>
      <c r="E923" t="s">
        <v>2642</v>
      </c>
      <c r="H923" t="s">
        <v>91</v>
      </c>
      <c r="L923" t="s">
        <v>2701</v>
      </c>
      <c r="M923" t="s">
        <v>2802</v>
      </c>
      <c r="N923" t="s">
        <v>903</v>
      </c>
      <c r="O923" t="s">
        <v>3193</v>
      </c>
      <c r="Q923" t="s">
        <v>4073</v>
      </c>
      <c r="R923" s="52">
        <f>_xlfn.NUMBERVALUE(convertNumberStringPointToNumberComma(LEFT(Q923,FIND("x",Q923)-2)))</f>
        <v>76.5</v>
      </c>
      <c r="S923" s="52">
        <f>_xlfn.NUMBERVALUE(convertNumberStringPointToNumberComma(LEFT(RIGHT(Q923,LEN(Q923)-FIND("x",Q923)-1),LEN(RIGHT(Q923,LEN(Q923)-FIND("x",Q923)-1))-2)))</f>
        <v>89</v>
      </c>
    </row>
    <row r="924" spans="1:19" x14ac:dyDescent="0.25">
      <c r="B924" t="s">
        <v>960</v>
      </c>
      <c r="E924" t="s">
        <v>2635</v>
      </c>
      <c r="H924" t="s">
        <v>15</v>
      </c>
      <c r="L924" t="s">
        <v>2726</v>
      </c>
      <c r="M924" t="s">
        <v>2680</v>
      </c>
      <c r="N924" t="s">
        <v>2681</v>
      </c>
      <c r="O924" t="s">
        <v>100</v>
      </c>
      <c r="Q924" t="s">
        <v>3963</v>
      </c>
      <c r="R924" s="52">
        <f>_xlfn.NUMBERVALUE(convertNumberStringPointToNumberComma(LEFT(Q924,FIND("x",Q924)-2)))</f>
        <v>76.5</v>
      </c>
      <c r="S924" s="52">
        <f>_xlfn.NUMBERVALUE(convertNumberStringPointToNumberComma(LEFT(RIGHT(Q924,LEN(Q924)-FIND("x",Q924)-1),LEN(RIGHT(Q924,LEN(Q924)-FIND("x",Q924)-1))-2)))</f>
        <v>90.5</v>
      </c>
    </row>
    <row r="925" spans="1:19" x14ac:dyDescent="0.25">
      <c r="A925" t="s">
        <v>1290</v>
      </c>
      <c r="B925" t="s">
        <v>927</v>
      </c>
      <c r="E925" t="s">
        <v>2634</v>
      </c>
      <c r="H925" t="s">
        <v>84</v>
      </c>
      <c r="L925" t="s">
        <v>2703</v>
      </c>
      <c r="M925" t="s">
        <v>2682</v>
      </c>
      <c r="N925" t="s">
        <v>913</v>
      </c>
      <c r="O925" t="s">
        <v>589</v>
      </c>
      <c r="Q925" t="s">
        <v>3413</v>
      </c>
      <c r="R925" s="52">
        <f>_xlfn.NUMBERVALUE(convertNumberStringPointToNumberComma(LEFT(Q925,FIND("x",Q925)-2)))</f>
        <v>76.599999999999994</v>
      </c>
      <c r="S925" s="52">
        <f>_xlfn.NUMBERVALUE(convertNumberStringPointToNumberComma(LEFT(RIGHT(Q925,LEN(Q925)-FIND("x",Q925)-1),LEN(RIGHT(Q925,LEN(Q925)-FIND("x",Q925)-1))-2)))</f>
        <v>116.5</v>
      </c>
    </row>
    <row r="926" spans="1:19" x14ac:dyDescent="0.25">
      <c r="A926" t="s">
        <v>1291</v>
      </c>
      <c r="B926" t="s">
        <v>927</v>
      </c>
      <c r="E926" t="s">
        <v>2634</v>
      </c>
      <c r="H926" t="s">
        <v>84</v>
      </c>
      <c r="L926" t="s">
        <v>2703</v>
      </c>
      <c r="M926" t="s">
        <v>8</v>
      </c>
      <c r="N926" t="s">
        <v>913</v>
      </c>
      <c r="O926" t="s">
        <v>589</v>
      </c>
      <c r="Q926" t="s">
        <v>3413</v>
      </c>
      <c r="R926" s="52">
        <f>_xlfn.NUMBERVALUE(convertNumberStringPointToNumberComma(LEFT(Q926,FIND("x",Q926)-2)))</f>
        <v>76.599999999999994</v>
      </c>
      <c r="S926" s="52">
        <f>_xlfn.NUMBERVALUE(convertNumberStringPointToNumberComma(LEFT(RIGHT(Q926,LEN(Q926)-FIND("x",Q926)-1),LEN(RIGHT(Q926,LEN(Q926)-FIND("x",Q926)-1))-2)))</f>
        <v>116.5</v>
      </c>
    </row>
    <row r="927" spans="1:19" x14ac:dyDescent="0.25">
      <c r="A927" t="s">
        <v>1292</v>
      </c>
      <c r="B927" t="s">
        <v>927</v>
      </c>
      <c r="E927" t="s">
        <v>2634</v>
      </c>
      <c r="H927" t="s">
        <v>84</v>
      </c>
      <c r="L927" t="s">
        <v>2703</v>
      </c>
      <c r="M927" t="s">
        <v>2757</v>
      </c>
      <c r="N927" t="s">
        <v>913</v>
      </c>
      <c r="O927" t="s">
        <v>589</v>
      </c>
      <c r="Q927" t="s">
        <v>3413</v>
      </c>
      <c r="R927" s="52">
        <f>_xlfn.NUMBERVALUE(convertNumberStringPointToNumberComma(LEFT(Q927,FIND("x",Q927)-2)))</f>
        <v>76.599999999999994</v>
      </c>
      <c r="S927" s="52">
        <f>_xlfn.NUMBERVALUE(convertNumberStringPointToNumberComma(LEFT(RIGHT(Q927,LEN(Q927)-FIND("x",Q927)-1),LEN(RIGHT(Q927,LEN(Q927)-FIND("x",Q927)-1))-2)))</f>
        <v>116.5</v>
      </c>
    </row>
    <row r="928" spans="1:19" x14ac:dyDescent="0.25">
      <c r="A928" t="s">
        <v>2447</v>
      </c>
      <c r="B928" t="s">
        <v>927</v>
      </c>
      <c r="E928" t="s">
        <v>2634</v>
      </c>
      <c r="H928" t="s">
        <v>84</v>
      </c>
      <c r="L928" t="s">
        <v>2703</v>
      </c>
      <c r="M928" t="s">
        <v>8</v>
      </c>
      <c r="N928" t="s">
        <v>913</v>
      </c>
      <c r="O928" t="s">
        <v>787</v>
      </c>
      <c r="Q928" t="s">
        <v>3413</v>
      </c>
      <c r="R928" s="52">
        <f>_xlfn.NUMBERVALUE(convertNumberStringPointToNumberComma(LEFT(Q928,FIND("x",Q928)-2)))</f>
        <v>76.599999999999994</v>
      </c>
      <c r="S928" s="52">
        <f>_xlfn.NUMBERVALUE(convertNumberStringPointToNumberComma(LEFT(RIGHT(Q928,LEN(Q928)-FIND("x",Q928)-1),LEN(RIGHT(Q928,LEN(Q928)-FIND("x",Q928)-1))-2)))</f>
        <v>116.5</v>
      </c>
    </row>
    <row r="929" spans="1:19" x14ac:dyDescent="0.25">
      <c r="A929" t="s">
        <v>1206</v>
      </c>
      <c r="B929" t="s">
        <v>927</v>
      </c>
      <c r="C929" s="5">
        <f>convertNumberStringPointToNumberComma(IFERROR(LEFT(B929,(FIND("-",B929)-1)),LEFT(B929,FIND("mm",B929)-1)))</f>
        <v>70</v>
      </c>
      <c r="D929" s="5">
        <f>convertNumberStringPointToNumberComma(IFERROR(RIGHT(LEFT(B929,FIND("m",B929)-1),LEN(LEFT(B929,FIND("m",B929)-1))-FIND("-",LEFT(B929,FIND("m",B929)-1))-1),C929))</f>
        <v>0</v>
      </c>
      <c r="E929" t="s">
        <v>2634</v>
      </c>
      <c r="F929" s="9">
        <f>convertNumberStringPointToNumberComma(LEFT(MID(E929,3,9),IFERROR(FIND("-",MID(E929,3,9))-2,3)))</f>
        <v>4</v>
      </c>
      <c r="G929" s="9">
        <f>convertNumberStringPointToNumberComma(RIGHT(E929,IF(ISERROR(FIND(".",RIGHT(E929,3))),1,3)))</f>
        <v>5.6</v>
      </c>
      <c r="H929" t="s">
        <v>91</v>
      </c>
      <c r="I929" s="5" t="str">
        <f>IF(H929="none",0,LEFT(H929,LEN(H929)-2))</f>
        <v>58</v>
      </c>
      <c r="J929" s="5" t="s">
        <v>63</v>
      </c>
      <c r="K929" s="10">
        <f>IF(J929="",0,convertNumberStringPointToNumberComma(LEFT(J929,LEN(J929)-1)))</f>
        <v>1</v>
      </c>
      <c r="L929" t="s">
        <v>2842</v>
      </c>
      <c r="M929" t="s">
        <v>8</v>
      </c>
      <c r="N929" t="s">
        <v>913</v>
      </c>
      <c r="O929" t="s">
        <v>64</v>
      </c>
      <c r="P929" s="5" t="str">
        <f>LEFT(O929,LEN(O929)-1)</f>
        <v>540</v>
      </c>
      <c r="Q929" t="s">
        <v>3365</v>
      </c>
      <c r="R929" s="52">
        <f>_xlfn.NUMBERVALUE(convertNumberStringPointToNumberComma(LEFT(Q929,FIND("x",Q929)-2)))</f>
        <v>76.599999999999994</v>
      </c>
      <c r="S929" s="52">
        <f>_xlfn.NUMBERVALUE(convertNumberStringPointToNumberComma(LEFT(RIGHT(Q929,LEN(Q929)-FIND("x",Q929)-1),LEN(RIGHT(Q929,LEN(Q929)-FIND("x",Q929)-1))-2)))</f>
        <v>119.5</v>
      </c>
    </row>
    <row r="930" spans="1:19" x14ac:dyDescent="0.25">
      <c r="A930" t="s">
        <v>1210</v>
      </c>
      <c r="B930" t="s">
        <v>927</v>
      </c>
      <c r="C930" s="5">
        <f>convertNumberStringPointToNumberComma(IFERROR(LEFT(B930,(FIND("-",B930)-1)),LEFT(B930,FIND("mm",B930)-1)))</f>
        <v>70</v>
      </c>
      <c r="D930" s="5">
        <f>convertNumberStringPointToNumberComma(IFERROR(RIGHT(LEFT(B930,FIND("m",B930)-1),LEN(LEFT(B930,FIND("m",B930)-1))-FIND("-",LEFT(B930,FIND("m",B930)-1))-1),C930))</f>
        <v>0</v>
      </c>
      <c r="E930" t="s">
        <v>2634</v>
      </c>
      <c r="F930" s="9">
        <f>convertNumberStringPointToNumberComma(LEFT(MID(E930,3,9),IFERROR(FIND("-",MID(E930,3,9))-2,3)))</f>
        <v>4</v>
      </c>
      <c r="G930" s="9">
        <f>convertNumberStringPointToNumberComma(RIGHT(E930,IF(ISERROR(FIND(".",RIGHT(E930,3))),1,3)))</f>
        <v>5.6</v>
      </c>
      <c r="H930" t="s">
        <v>91</v>
      </c>
      <c r="I930" s="5" t="str">
        <f>IF(H930="none",0,LEFT(H930,LEN(H930)-2))</f>
        <v>58</v>
      </c>
      <c r="J930" s="5" t="s">
        <v>32</v>
      </c>
      <c r="K930" s="10">
        <f>IF(J930="",0,convertNumberStringPointToNumberComma(LEFT(J930,LEN(J930)-1)))</f>
        <v>0.12</v>
      </c>
      <c r="L930" t="s">
        <v>2842</v>
      </c>
      <c r="M930" t="s">
        <v>2682</v>
      </c>
      <c r="N930" t="s">
        <v>913</v>
      </c>
      <c r="O930" t="s">
        <v>612</v>
      </c>
      <c r="P930" s="5" t="str">
        <f>LEFT(O930,LEN(O930)-1)</f>
        <v>530</v>
      </c>
      <c r="Q930" t="s">
        <v>3365</v>
      </c>
      <c r="R930" s="52">
        <f>_xlfn.NUMBERVALUE(convertNumberStringPointToNumberComma(LEFT(Q930,FIND("x",Q930)-2)))</f>
        <v>76.599999999999994</v>
      </c>
      <c r="S930" s="52">
        <f>_xlfn.NUMBERVALUE(convertNumberStringPointToNumberComma(LEFT(RIGHT(Q930,LEN(Q930)-FIND("x",Q930)-1),LEN(RIGHT(Q930,LEN(Q930)-FIND("x",Q930)-1))-2)))</f>
        <v>119.5</v>
      </c>
    </row>
    <row r="931" spans="1:19" x14ac:dyDescent="0.25">
      <c r="A931" t="s">
        <v>1211</v>
      </c>
      <c r="B931" t="s">
        <v>927</v>
      </c>
      <c r="C931" s="5">
        <f>convertNumberStringPointToNumberComma(IFERROR(LEFT(B931,(FIND("-",B931)-1)),LEFT(B931,FIND("mm",B931)-1)))</f>
        <v>70</v>
      </c>
      <c r="D931" s="5">
        <f>convertNumberStringPointToNumberComma(IFERROR(RIGHT(LEFT(B931,FIND("m",B931)-1),LEN(LEFT(B931,FIND("m",B931)-1))-FIND("-",LEFT(B931,FIND("m",B931)-1))-1),C931))</f>
        <v>0</v>
      </c>
      <c r="E931" t="s">
        <v>2634</v>
      </c>
      <c r="F931" s="9">
        <f>convertNumberStringPointToNumberComma(LEFT(MID(E931,3,9),IFERROR(FIND("-",MID(E931,3,9))-2,3)))</f>
        <v>4</v>
      </c>
      <c r="G931" s="9">
        <f>convertNumberStringPointToNumberComma(RIGHT(E931,IF(ISERROR(FIND(".",RIGHT(E931,3))),1,3)))</f>
        <v>5.6</v>
      </c>
      <c r="H931" t="s">
        <v>91</v>
      </c>
      <c r="I931" s="5" t="str">
        <f>IF(H931="none",0,LEFT(H931,LEN(H931)-2))</f>
        <v>58</v>
      </c>
      <c r="J931" s="5" t="s">
        <v>133</v>
      </c>
      <c r="K931" s="10">
        <f>IF(J931="",0,convertNumberStringPointToNumberComma(LEFT(J931,LEN(J931)-1)))</f>
        <v>0.125</v>
      </c>
      <c r="L931" t="s">
        <v>2842</v>
      </c>
      <c r="M931" t="s">
        <v>2757</v>
      </c>
      <c r="N931" t="s">
        <v>913</v>
      </c>
      <c r="O931" t="s">
        <v>612</v>
      </c>
      <c r="P931" s="5" t="str">
        <f>LEFT(O931,LEN(O931)-1)</f>
        <v>530</v>
      </c>
      <c r="Q931" t="s">
        <v>3365</v>
      </c>
      <c r="R931" s="52">
        <f>_xlfn.NUMBERVALUE(convertNumberStringPointToNumberComma(LEFT(Q931,FIND("x",Q931)-2)))</f>
        <v>76.599999999999994</v>
      </c>
      <c r="S931" s="52">
        <f>_xlfn.NUMBERVALUE(convertNumberStringPointToNumberComma(LEFT(RIGHT(Q931,LEN(Q931)-FIND("x",Q931)-1),LEN(RIGHT(Q931,LEN(Q931)-FIND("x",Q931)-1))-2)))</f>
        <v>119.5</v>
      </c>
    </row>
    <row r="932" spans="1:19" x14ac:dyDescent="0.25">
      <c r="A932" t="s">
        <v>1212</v>
      </c>
      <c r="B932" t="s">
        <v>927</v>
      </c>
      <c r="C932" s="5">
        <f>convertNumberStringPointToNumberComma(IFERROR(LEFT(B932,(FIND("-",B932)-1)),LEFT(B932,FIND("mm",B932)-1)))</f>
        <v>70</v>
      </c>
      <c r="D932" s="5">
        <f>convertNumberStringPointToNumberComma(IFERROR(RIGHT(LEFT(B932,FIND("m",B932)-1),LEN(LEFT(B932,FIND("m",B932)-1))-FIND("-",LEFT(B932,FIND("m",B932)-1))-1),C932))</f>
        <v>0</v>
      </c>
      <c r="E932" t="s">
        <v>2634</v>
      </c>
      <c r="F932" s="9">
        <f>convertNumberStringPointToNumberComma(LEFT(MID(E932,3,9),IFERROR(FIND("-",MID(E932,3,9))-2,3)))</f>
        <v>4</v>
      </c>
      <c r="G932" s="9">
        <f>convertNumberStringPointToNumberComma(RIGHT(E932,IF(ISERROR(FIND(".",RIGHT(E932,3))),1,3)))</f>
        <v>5.6</v>
      </c>
      <c r="H932" t="s">
        <v>91</v>
      </c>
      <c r="I932" s="5" t="str">
        <f>IF(H932="none",0,LEFT(H932,LEN(H932)-2))</f>
        <v>58</v>
      </c>
      <c r="J932" s="5" t="s">
        <v>144</v>
      </c>
      <c r="K932" s="10">
        <f>IF(J932="",0,convertNumberStringPointToNumberComma(LEFT(J932,LEN(J932)-1)))</f>
        <v>0.24</v>
      </c>
      <c r="L932" t="s">
        <v>2842</v>
      </c>
      <c r="M932" t="s">
        <v>2802</v>
      </c>
      <c r="N932" t="s">
        <v>913</v>
      </c>
      <c r="O932" t="s">
        <v>612</v>
      </c>
      <c r="P932" s="5" t="str">
        <f>LEFT(O932,LEN(O932)-1)</f>
        <v>530</v>
      </c>
      <c r="Q932" t="s">
        <v>3365</v>
      </c>
      <c r="R932" s="52">
        <f>_xlfn.NUMBERVALUE(convertNumberStringPointToNumberComma(LEFT(Q932,FIND("x",Q932)-2)))</f>
        <v>76.599999999999994</v>
      </c>
      <c r="S932" s="52">
        <f>_xlfn.NUMBERVALUE(convertNumberStringPointToNumberComma(LEFT(RIGHT(Q932,LEN(Q932)-FIND("x",Q932)-1),LEN(RIGHT(Q932,LEN(Q932)-FIND("x",Q932)-1))-2)))</f>
        <v>119.5</v>
      </c>
    </row>
    <row r="933" spans="1:19" x14ac:dyDescent="0.25">
      <c r="A933" t="s">
        <v>1509</v>
      </c>
      <c r="B933" t="s">
        <v>927</v>
      </c>
      <c r="E933" t="s">
        <v>2634</v>
      </c>
      <c r="H933" t="s">
        <v>91</v>
      </c>
      <c r="L933" t="s">
        <v>2842</v>
      </c>
      <c r="M933" t="s">
        <v>8</v>
      </c>
      <c r="N933" t="s">
        <v>913</v>
      </c>
      <c r="O933" t="s">
        <v>612</v>
      </c>
      <c r="Q933" t="s">
        <v>3365</v>
      </c>
      <c r="R933" s="52">
        <f>_xlfn.NUMBERVALUE(convertNumberStringPointToNumberComma(LEFT(Q933,FIND("x",Q933)-2)))</f>
        <v>76.599999999999994</v>
      </c>
      <c r="S933" s="52">
        <f>_xlfn.NUMBERVALUE(convertNumberStringPointToNumberComma(LEFT(RIGHT(Q933,LEN(Q933)-FIND("x",Q933)-1),LEN(RIGHT(Q933,LEN(Q933)-FIND("x",Q933)-1))-2)))</f>
        <v>119.5</v>
      </c>
    </row>
    <row r="934" spans="1:19" x14ac:dyDescent="0.25">
      <c r="A934" t="s">
        <v>1510</v>
      </c>
      <c r="B934" t="s">
        <v>927</v>
      </c>
      <c r="E934" t="s">
        <v>2634</v>
      </c>
      <c r="H934" t="s">
        <v>91</v>
      </c>
      <c r="L934" t="s">
        <v>2842</v>
      </c>
      <c r="M934" t="s">
        <v>2793</v>
      </c>
      <c r="N934" t="s">
        <v>903</v>
      </c>
      <c r="O934" t="s">
        <v>612</v>
      </c>
      <c r="Q934" t="s">
        <v>3365</v>
      </c>
      <c r="R934" s="52">
        <f>_xlfn.NUMBERVALUE(convertNumberStringPointToNumberComma(LEFT(Q934,FIND("x",Q934)-2)))</f>
        <v>76.599999999999994</v>
      </c>
      <c r="S934" s="52">
        <f>_xlfn.NUMBERVALUE(convertNumberStringPointToNumberComma(LEFT(RIGHT(Q934,LEN(Q934)-FIND("x",Q934)-1),LEN(RIGHT(Q934,LEN(Q934)-FIND("x",Q934)-1))-2)))</f>
        <v>119.5</v>
      </c>
    </row>
    <row r="935" spans="1:19" x14ac:dyDescent="0.25">
      <c r="A935" t="s">
        <v>1207</v>
      </c>
      <c r="B935" t="s">
        <v>927</v>
      </c>
      <c r="C935" s="5">
        <f>convertNumberStringPointToNumberComma(IFERROR(LEFT(B935,(FIND("-",B935)-1)),LEFT(B935,FIND("mm",B935)-1)))</f>
        <v>70</v>
      </c>
      <c r="D935" s="5">
        <f>convertNumberStringPointToNumberComma(IFERROR(RIGHT(LEFT(B935,FIND("m",B935)-1),LEN(LEFT(B935,FIND("m",B935)-1))-FIND("-",LEFT(B935,FIND("m",B935)-1))-1),C935))</f>
        <v>0</v>
      </c>
      <c r="E935" t="s">
        <v>2634</v>
      </c>
      <c r="F935" s="9">
        <f>convertNumberStringPointToNumberComma(LEFT(MID(E935,3,9),IFERROR(FIND("-",MID(E935,3,9))-2,3)))</f>
        <v>4</v>
      </c>
      <c r="G935" s="9">
        <f>convertNumberStringPointToNumberComma(RIGHT(E935,IF(ISERROR(FIND(".",RIGHT(E935,3))),1,3)))</f>
        <v>5.6</v>
      </c>
      <c r="H935" t="s">
        <v>91</v>
      </c>
      <c r="I935" s="5" t="str">
        <f>IF(H935="none",0,LEFT(H935,LEN(H935)-2))</f>
        <v>58</v>
      </c>
      <c r="J935" s="5" t="s">
        <v>63</v>
      </c>
      <c r="K935" s="10">
        <f>IF(J935="",0,convertNumberStringPointToNumberComma(LEFT(J935,LEN(J935)-1)))</f>
        <v>1</v>
      </c>
      <c r="L935" t="s">
        <v>2842</v>
      </c>
      <c r="M935" t="s">
        <v>8</v>
      </c>
      <c r="N935" t="s">
        <v>913</v>
      </c>
      <c r="O935" t="s">
        <v>108</v>
      </c>
      <c r="P935" s="5" t="str">
        <f>LEFT(O935,LEN(O935)-1)</f>
        <v>550</v>
      </c>
      <c r="Q935" t="s">
        <v>3366</v>
      </c>
      <c r="R935" s="52">
        <f>_xlfn.NUMBERVALUE(convertNumberStringPointToNumberComma(LEFT(Q935,FIND("x",Q935)-2)))</f>
        <v>76.599999999999994</v>
      </c>
      <c r="S935" s="52">
        <f>_xlfn.NUMBERVALUE(convertNumberStringPointToNumberComma(LEFT(RIGHT(Q935,LEN(Q935)-FIND("x",Q935)-1),LEN(RIGHT(Q935,LEN(Q935)-FIND("x",Q935)-1))-2)))</f>
        <v>122</v>
      </c>
    </row>
    <row r="936" spans="1:19" x14ac:dyDescent="0.25">
      <c r="A936" t="s">
        <v>1208</v>
      </c>
      <c r="B936" t="s">
        <v>927</v>
      </c>
      <c r="C936" s="5">
        <f>convertNumberStringPointToNumberComma(IFERROR(LEFT(B936,(FIND("-",B936)-1)),LEFT(B936,FIND("mm",B936)-1)))</f>
        <v>70</v>
      </c>
      <c r="D936" s="5">
        <f>convertNumberStringPointToNumberComma(IFERROR(RIGHT(LEFT(B936,FIND("m",B936)-1),LEN(LEFT(B936,FIND("m",B936)-1))-FIND("-",LEFT(B936,FIND("m",B936)-1))-1),C936))</f>
        <v>0</v>
      </c>
      <c r="E936" t="s">
        <v>2634</v>
      </c>
      <c r="F936" s="9">
        <f>convertNumberStringPointToNumberComma(LEFT(MID(E936,3,9),IFERROR(FIND("-",MID(E936,3,9))-2,3)))</f>
        <v>4</v>
      </c>
      <c r="G936" s="9">
        <f>convertNumberStringPointToNumberComma(RIGHT(E936,IF(ISERROR(FIND(".",RIGHT(E936,3))),1,3)))</f>
        <v>5.6</v>
      </c>
      <c r="H936" t="s">
        <v>91</v>
      </c>
      <c r="I936" s="5" t="str">
        <f>IF(H936="none",0,LEFT(H936,LEN(H936)-2))</f>
        <v>58</v>
      </c>
      <c r="J936" s="5" t="s">
        <v>63</v>
      </c>
      <c r="K936" s="10">
        <f>IF(J936="",0,convertNumberStringPointToNumberComma(LEFT(J936,LEN(J936)-1)))</f>
        <v>1</v>
      </c>
      <c r="L936" t="s">
        <v>2842</v>
      </c>
      <c r="M936" t="s">
        <v>2682</v>
      </c>
      <c r="N936" t="s">
        <v>913</v>
      </c>
      <c r="O936" t="s">
        <v>108</v>
      </c>
      <c r="P936" s="5" t="str">
        <f>LEFT(O936,LEN(O936)-1)</f>
        <v>550</v>
      </c>
      <c r="Q936" t="s">
        <v>3366</v>
      </c>
      <c r="R936" s="52">
        <f>_xlfn.NUMBERVALUE(convertNumberStringPointToNumberComma(LEFT(Q936,FIND("x",Q936)-2)))</f>
        <v>76.599999999999994</v>
      </c>
      <c r="S936" s="52">
        <f>_xlfn.NUMBERVALUE(convertNumberStringPointToNumberComma(LEFT(RIGHT(Q936,LEN(Q936)-FIND("x",Q936)-1),LEN(RIGHT(Q936,LEN(Q936)-FIND("x",Q936)-1))-2)))</f>
        <v>122</v>
      </c>
    </row>
    <row r="937" spans="1:19" x14ac:dyDescent="0.25">
      <c r="A937" t="s">
        <v>1209</v>
      </c>
      <c r="B937" t="s">
        <v>927</v>
      </c>
      <c r="C937" s="5">
        <f>convertNumberStringPointToNumberComma(IFERROR(LEFT(B937,(FIND("-",B937)-1)),LEFT(B937,FIND("mm",B937)-1)))</f>
        <v>70</v>
      </c>
      <c r="D937" s="5">
        <f>convertNumberStringPointToNumberComma(IFERROR(RIGHT(LEFT(B937,FIND("m",B937)-1),LEN(LEFT(B937,FIND("m",B937)-1))-FIND("-",LEFT(B937,FIND("m",B937)-1))-1),C937))</f>
        <v>0</v>
      </c>
      <c r="E937" t="s">
        <v>2634</v>
      </c>
      <c r="F937" s="9">
        <f>convertNumberStringPointToNumberComma(LEFT(MID(E937,3,9),IFERROR(FIND("-",MID(E937,3,9))-2,3)))</f>
        <v>4</v>
      </c>
      <c r="G937" s="9">
        <f>convertNumberStringPointToNumberComma(RIGHT(E937,IF(ISERROR(FIND(".",RIGHT(E937,3))),1,3)))</f>
        <v>5.6</v>
      </c>
      <c r="H937" t="s">
        <v>91</v>
      </c>
      <c r="I937" s="5" t="str">
        <f>IF(H937="none",0,LEFT(H937,LEN(H937)-2))</f>
        <v>58</v>
      </c>
      <c r="J937" s="5" t="s">
        <v>133</v>
      </c>
      <c r="K937" s="10">
        <f>IF(J937="",0,convertNumberStringPointToNumberComma(LEFT(J937,LEN(J937)-1)))</f>
        <v>0.125</v>
      </c>
      <c r="L937" t="s">
        <v>2842</v>
      </c>
      <c r="M937" t="s">
        <v>8</v>
      </c>
      <c r="N937" t="s">
        <v>913</v>
      </c>
      <c r="O937" t="s">
        <v>108</v>
      </c>
      <c r="P937" s="5" t="str">
        <f>LEFT(O937,LEN(O937)-1)</f>
        <v>550</v>
      </c>
      <c r="Q937" t="s">
        <v>3366</v>
      </c>
      <c r="R937" s="52">
        <f>_xlfn.NUMBERVALUE(convertNumberStringPointToNumberComma(LEFT(Q937,FIND("x",Q937)-2)))</f>
        <v>76.599999999999994</v>
      </c>
      <c r="S937" s="52">
        <f>_xlfn.NUMBERVALUE(convertNumberStringPointToNumberComma(LEFT(RIGHT(Q937,LEN(Q937)-FIND("x",Q937)-1),LEN(RIGHT(Q937,LEN(Q937)-FIND("x",Q937)-1))-2)))</f>
        <v>122</v>
      </c>
    </row>
    <row r="938" spans="1:19" x14ac:dyDescent="0.25">
      <c r="A938" t="s">
        <v>1508</v>
      </c>
      <c r="B938" t="s">
        <v>927</v>
      </c>
      <c r="E938" t="s">
        <v>2634</v>
      </c>
      <c r="H938" t="s">
        <v>91</v>
      </c>
      <c r="L938" t="s">
        <v>2842</v>
      </c>
      <c r="M938" t="s">
        <v>2757</v>
      </c>
      <c r="N938" t="s">
        <v>913</v>
      </c>
      <c r="O938" t="s">
        <v>108</v>
      </c>
      <c r="Q938" t="s">
        <v>3366</v>
      </c>
      <c r="R938" s="52">
        <f>_xlfn.NUMBERVALUE(convertNumberStringPointToNumberComma(LEFT(Q938,FIND("x",Q938)-2)))</f>
        <v>76.599999999999994</v>
      </c>
      <c r="S938" s="52">
        <f>_xlfn.NUMBERVALUE(convertNumberStringPointToNumberComma(LEFT(RIGHT(Q938,LEN(Q938)-FIND("x",Q938)-1),LEN(RIGHT(Q938,LEN(Q938)-FIND("x",Q938)-1))-2)))</f>
        <v>122</v>
      </c>
    </row>
    <row r="939" spans="1:19" x14ac:dyDescent="0.25">
      <c r="A939" t="s">
        <v>1935</v>
      </c>
      <c r="B939" t="s">
        <v>927</v>
      </c>
      <c r="E939" t="s">
        <v>2634</v>
      </c>
      <c r="H939" t="s">
        <v>91</v>
      </c>
      <c r="L939" t="s">
        <v>2842</v>
      </c>
      <c r="M939" t="s">
        <v>2793</v>
      </c>
      <c r="N939" t="s">
        <v>903</v>
      </c>
      <c r="O939" t="s">
        <v>108</v>
      </c>
      <c r="Q939" t="s">
        <v>3366</v>
      </c>
      <c r="R939" s="52">
        <f>_xlfn.NUMBERVALUE(convertNumberStringPointToNumberComma(LEFT(Q939,FIND("x",Q939)-2)))</f>
        <v>76.599999999999994</v>
      </c>
      <c r="S939" s="52">
        <f>_xlfn.NUMBERVALUE(convertNumberStringPointToNumberComma(LEFT(RIGHT(Q939,LEN(Q939)-FIND("x",Q939)-1),LEN(RIGHT(Q939,LEN(Q939)-FIND("x",Q939)-1))-2)))</f>
        <v>122</v>
      </c>
    </row>
    <row r="940" spans="1:19" x14ac:dyDescent="0.25">
      <c r="A940" t="s">
        <v>1364</v>
      </c>
      <c r="B940" t="s">
        <v>586</v>
      </c>
      <c r="E940" t="s">
        <v>2643</v>
      </c>
      <c r="H940" t="s">
        <v>84</v>
      </c>
      <c r="L940" t="s">
        <v>2882</v>
      </c>
      <c r="M940" t="s">
        <v>2708</v>
      </c>
      <c r="N940" t="s">
        <v>903</v>
      </c>
      <c r="O940" t="s">
        <v>327</v>
      </c>
      <c r="Q940" t="s">
        <v>3451</v>
      </c>
      <c r="R940" s="52">
        <f>_xlfn.NUMBERVALUE(convertNumberStringPointToNumberComma(LEFT(Q940,FIND("x",Q940)-2)))</f>
        <v>76.599999999999994</v>
      </c>
      <c r="S940" s="52">
        <f>_xlfn.NUMBERVALUE(convertNumberStringPointToNumberComma(LEFT(RIGHT(Q940,LEN(Q940)-FIND("x",Q940)-1),LEN(RIGHT(Q940,LEN(Q940)-FIND("x",Q940)-1))-2)))</f>
        <v>59</v>
      </c>
    </row>
    <row r="941" spans="1:19" x14ac:dyDescent="0.25">
      <c r="A941" t="s">
        <v>1366</v>
      </c>
      <c r="B941" t="s">
        <v>586</v>
      </c>
      <c r="E941" t="s">
        <v>2643</v>
      </c>
      <c r="H941" t="s">
        <v>84</v>
      </c>
      <c r="L941" t="s">
        <v>2882</v>
      </c>
      <c r="M941" t="s">
        <v>8</v>
      </c>
      <c r="N941" t="s">
        <v>903</v>
      </c>
      <c r="O941" t="s">
        <v>327</v>
      </c>
      <c r="Q941" t="s">
        <v>3451</v>
      </c>
      <c r="R941" s="52">
        <f>_xlfn.NUMBERVALUE(convertNumberStringPointToNumberComma(LEFT(Q941,FIND("x",Q941)-2)))</f>
        <v>76.599999999999994</v>
      </c>
      <c r="S941" s="52">
        <f>_xlfn.NUMBERVALUE(convertNumberStringPointToNumberComma(LEFT(RIGHT(Q941,LEN(Q941)-FIND("x",Q941)-1),LEN(RIGHT(Q941,LEN(Q941)-FIND("x",Q941)-1))-2)))</f>
        <v>59</v>
      </c>
    </row>
    <row r="942" spans="1:19" x14ac:dyDescent="0.25">
      <c r="A942" t="s">
        <v>1015</v>
      </c>
      <c r="B942" t="s">
        <v>952</v>
      </c>
      <c r="C942" s="5">
        <f>convertNumberStringPointToNumberComma(IFERROR(LEFT(B942,(FIND("-",B942)-1)),LEFT(B942,FIND("mm",B942)-1)))</f>
        <v>18</v>
      </c>
      <c r="D942" s="5">
        <f>convertNumberStringPointToNumberComma(IFERROR(RIGHT(LEFT(B942,FIND("m",B942)-1),LEN(LEFT(B942,FIND("m",B942)-1))-FIND("-",LEFT(B942,FIND("m",B942)-1))-1),C942))</f>
        <v>35</v>
      </c>
      <c r="E942" t="s">
        <v>2639</v>
      </c>
      <c r="F942" s="9">
        <f>convertNumberStringPointToNumberComma(LEFT(MID(E942,3,9),IFERROR(FIND("-",MID(E942,3,9))-2,3)))</f>
        <v>3</v>
      </c>
      <c r="G942" s="9">
        <f>convertNumberStringPointToNumberComma(RIGHT(E942,IF(ISERROR(FIND(".",RIGHT(E942,3))),1,3)))</f>
        <v>5.6</v>
      </c>
      <c r="H942" t="s">
        <v>56</v>
      </c>
      <c r="I942" s="5" t="str">
        <f>IF(H942="none",0,LEFT(H942,LEN(H942)-2))</f>
        <v>67</v>
      </c>
      <c r="J942" s="5" t="s">
        <v>22</v>
      </c>
      <c r="K942" s="10">
        <f>IF(J942="",0,convertNumberStringPointToNumberComma(LEFT(J942,LEN(J942)-1)))</f>
        <v>0.15</v>
      </c>
      <c r="L942" t="s">
        <v>2710</v>
      </c>
      <c r="M942" t="s">
        <v>2708</v>
      </c>
      <c r="N942" t="s">
        <v>903</v>
      </c>
      <c r="O942" t="s">
        <v>252</v>
      </c>
      <c r="P942" s="5" t="str">
        <f>LEFT(O942,LEN(O942)-1)</f>
        <v>480</v>
      </c>
      <c r="Q942" t="s">
        <v>3264</v>
      </c>
      <c r="R942" s="52">
        <f>_xlfn.NUMBERVALUE(convertNumberStringPointToNumberComma(LEFT(Q942,FIND("x",Q942)-2)))</f>
        <v>76.599999999999994</v>
      </c>
      <c r="S942" s="52">
        <f>_xlfn.NUMBERVALUE(convertNumberStringPointToNumberComma(LEFT(RIGHT(Q942,LEN(Q942)-FIND("x",Q942)-1),LEN(RIGHT(Q942,LEN(Q942)-FIND("x",Q942)-1))-2)))</f>
        <v>96</v>
      </c>
    </row>
    <row r="943" spans="1:19" x14ac:dyDescent="0.25">
      <c r="A943" t="s">
        <v>1092</v>
      </c>
      <c r="B943" t="s">
        <v>952</v>
      </c>
      <c r="C943" s="5">
        <f>convertNumberStringPointToNumberComma(IFERROR(LEFT(B943,(FIND("-",B943)-1)),LEFT(B943,FIND("mm",B943)-1)))</f>
        <v>18</v>
      </c>
      <c r="D943" s="5">
        <f>convertNumberStringPointToNumberComma(IFERROR(RIGHT(LEFT(B943,FIND("m",B943)-1),LEN(LEFT(B943,FIND("m",B943)-1))-FIND("-",LEFT(B943,FIND("m",B943)-1))-1),C943))</f>
        <v>35</v>
      </c>
      <c r="E943" t="s">
        <v>2639</v>
      </c>
      <c r="F943" s="9">
        <f>convertNumberStringPointToNumberComma(LEFT(MID(E943,3,9),IFERROR(FIND("-",MID(E943,3,9))-2,3)))</f>
        <v>3</v>
      </c>
      <c r="G943" s="9">
        <f>convertNumberStringPointToNumberComma(RIGHT(E943,IF(ISERROR(FIND(".",RIGHT(E943,3))),1,3)))</f>
        <v>5.6</v>
      </c>
      <c r="H943" t="s">
        <v>56</v>
      </c>
      <c r="I943" s="5" t="str">
        <f>IF(H943="none",0,LEFT(H943,LEN(H943)-2))</f>
        <v>67</v>
      </c>
      <c r="J943" s="5" t="s">
        <v>238</v>
      </c>
      <c r="K943" s="10">
        <f>IF(J943="",0,convertNumberStringPointToNumberComma(LEFT(J943,LEN(J943)-1)))</f>
        <v>0.34</v>
      </c>
      <c r="L943" t="s">
        <v>2710</v>
      </c>
      <c r="M943" t="s">
        <v>2708</v>
      </c>
      <c r="N943" t="s">
        <v>903</v>
      </c>
      <c r="O943" t="s">
        <v>252</v>
      </c>
      <c r="P943" s="5" t="str">
        <f>LEFT(O943,LEN(O943)-1)</f>
        <v>480</v>
      </c>
      <c r="Q943" t="s">
        <v>3264</v>
      </c>
      <c r="R943" s="52">
        <f>_xlfn.NUMBERVALUE(convertNumberStringPointToNumberComma(LEFT(Q943,FIND("x",Q943)-2)))</f>
        <v>76.599999999999994</v>
      </c>
      <c r="S943" s="52">
        <f>_xlfn.NUMBERVALUE(convertNumberStringPointToNumberComma(LEFT(RIGHT(Q943,LEN(Q943)-FIND("x",Q943)-1),LEN(RIGHT(Q943,LEN(Q943)-FIND("x",Q943)-1))-2)))</f>
        <v>96</v>
      </c>
    </row>
    <row r="944" spans="1:19" x14ac:dyDescent="0.25">
      <c r="B944" t="s">
        <v>863</v>
      </c>
      <c r="E944" t="s">
        <v>2659</v>
      </c>
      <c r="H944" t="s">
        <v>56</v>
      </c>
      <c r="L944" t="s">
        <v>2861</v>
      </c>
      <c r="M944" t="s">
        <v>3147</v>
      </c>
      <c r="N944" t="s">
        <v>2959</v>
      </c>
      <c r="O944" t="s">
        <v>3151</v>
      </c>
      <c r="Q944" t="s">
        <v>3961</v>
      </c>
      <c r="R944" s="52">
        <f>_xlfn.NUMBERVALUE(convertNumberStringPointToNumberComma(LEFT(Q944,FIND("x",Q944)-2)))</f>
        <v>77</v>
      </c>
      <c r="S944" s="52">
        <f>_xlfn.NUMBERVALUE(convertNumberStringPointToNumberComma(LEFT(RIGHT(Q944,LEN(Q944)-FIND("x",Q944)-1),LEN(RIGHT(Q944,LEN(Q944)-FIND("x",Q944)-1))-2)))</f>
        <v>100</v>
      </c>
    </row>
    <row r="945" spans="1:19" x14ac:dyDescent="0.25">
      <c r="A945" t="s">
        <v>1715</v>
      </c>
      <c r="B945" t="s">
        <v>856</v>
      </c>
      <c r="E945" t="s">
        <v>2649</v>
      </c>
      <c r="H945" t="s">
        <v>2668</v>
      </c>
      <c r="M945" t="s">
        <v>2680</v>
      </c>
      <c r="N945" t="s">
        <v>903</v>
      </c>
      <c r="O945" t="s">
        <v>2987</v>
      </c>
      <c r="Q945" t="s">
        <v>3649</v>
      </c>
      <c r="R945" s="52">
        <f>_xlfn.NUMBERVALUE(convertNumberStringPointToNumberComma(LEFT(Q945,FIND("x",Q945)-2)))</f>
        <v>77</v>
      </c>
      <c r="S945" s="52">
        <f>_xlfn.NUMBERVALUE(convertNumberStringPointToNumberComma(LEFT(RIGHT(Q945,LEN(Q945)-FIND("x",Q945)-1),LEN(RIGHT(Q945,LEN(Q945)-FIND("x",Q945)-1))-2)))</f>
        <v>109</v>
      </c>
    </row>
    <row r="946" spans="1:19" x14ac:dyDescent="0.25">
      <c r="A946" t="s">
        <v>1250</v>
      </c>
      <c r="B946" t="s">
        <v>1251</v>
      </c>
      <c r="C946" s="5">
        <f>convertNumberStringPointToNumberComma(IFERROR(LEFT(B946,(FIND("-",B946)-1)),LEFT(B946,FIND("mm",B946)-1)))</f>
        <v>55</v>
      </c>
      <c r="D946" s="5">
        <f>convertNumberStringPointToNumberComma(IFERROR(RIGHT(LEFT(B946,FIND("m",B946)-1),LEN(LEFT(B946,FIND("m",B946)-1))-FIND("-",LEFT(B946,FIND("m",B946)-1))-1),C946))</f>
        <v>0</v>
      </c>
      <c r="E946" t="s">
        <v>2636</v>
      </c>
      <c r="F946" s="9">
        <f>convertNumberStringPointToNumberComma(LEFT(MID(E946,3,9),IFERROR(FIND("-",MID(E946,3,9))-2,3)))</f>
        <v>4</v>
      </c>
      <c r="G946" s="9">
        <f>convertNumberStringPointToNumberComma(RIGHT(E946,IF(ISERROR(FIND(".",RIGHT(E946,3))),1,3)))</f>
        <v>5.6</v>
      </c>
      <c r="H946" t="s">
        <v>84</v>
      </c>
      <c r="I946" s="5" t="str">
        <f>IF(H946="none",0,LEFT(H946,LEN(H946)-2))</f>
        <v>62</v>
      </c>
      <c r="J946" s="5" t="s">
        <v>122</v>
      </c>
      <c r="K946" s="10">
        <f>IF(J946="",0,convertNumberStringPointToNumberComma(LEFT(J946,LEN(J946)-1)))</f>
        <v>0.14000000000000001</v>
      </c>
      <c r="L946" t="s">
        <v>2725</v>
      </c>
      <c r="M946" t="s">
        <v>2757</v>
      </c>
      <c r="N946" t="s">
        <v>903</v>
      </c>
      <c r="O946" t="s">
        <v>33</v>
      </c>
      <c r="P946" s="5" t="str">
        <f>LEFT(O946,LEN(O946)-1)</f>
        <v>460</v>
      </c>
      <c r="Q946" t="s">
        <v>3392</v>
      </c>
      <c r="R946" s="52">
        <f>_xlfn.NUMBERVALUE(convertNumberStringPointToNumberComma(LEFT(Q946,FIND("x",Q946)-2)))</f>
        <v>77</v>
      </c>
      <c r="S946" s="52">
        <f>_xlfn.NUMBERVALUE(convertNumberStringPointToNumberComma(LEFT(RIGHT(Q946,LEN(Q946)-FIND("x",Q946)-1),LEN(RIGHT(Q946,LEN(Q946)-FIND("x",Q946)-1))-2)))</f>
        <v>116.5</v>
      </c>
    </row>
    <row r="947" spans="1:19" x14ac:dyDescent="0.25">
      <c r="B947" t="s">
        <v>822</v>
      </c>
      <c r="E947" t="s">
        <v>2643</v>
      </c>
      <c r="H947" t="s">
        <v>15</v>
      </c>
      <c r="M947" t="s">
        <v>8</v>
      </c>
      <c r="N947" t="s">
        <v>913</v>
      </c>
      <c r="O947" t="s">
        <v>105</v>
      </c>
      <c r="Q947" t="s">
        <v>3604</v>
      </c>
      <c r="R947" s="52">
        <f>_xlfn.NUMBERVALUE(convertNumberStringPointToNumberComma(LEFT(Q947,FIND("x",Q947)-2)))</f>
        <v>77</v>
      </c>
      <c r="S947" s="52">
        <f>_xlfn.NUMBERVALUE(convertNumberStringPointToNumberComma(LEFT(RIGHT(Q947,LEN(Q947)-FIND("x",Q947)-1),LEN(RIGHT(Q947,LEN(Q947)-FIND("x",Q947)-1))-2)))</f>
        <v>62</v>
      </c>
    </row>
    <row r="948" spans="1:19" x14ac:dyDescent="0.25">
      <c r="A948" t="s">
        <v>2363</v>
      </c>
      <c r="B948" t="s">
        <v>822</v>
      </c>
      <c r="E948" t="s">
        <v>2643</v>
      </c>
      <c r="H948" t="s">
        <v>15</v>
      </c>
      <c r="M948" t="s">
        <v>8</v>
      </c>
      <c r="N948" t="s">
        <v>913</v>
      </c>
      <c r="O948" t="s">
        <v>105</v>
      </c>
      <c r="Q948" t="s">
        <v>3604</v>
      </c>
      <c r="R948" s="52">
        <f>_xlfn.NUMBERVALUE(convertNumberStringPointToNumberComma(LEFT(Q948,FIND("x",Q948)-2)))</f>
        <v>77</v>
      </c>
      <c r="S948" s="52">
        <f>_xlfn.NUMBERVALUE(convertNumberStringPointToNumberComma(LEFT(RIGHT(Q948,LEN(Q948)-FIND("x",Q948)-1),LEN(RIGHT(Q948,LEN(Q948)-FIND("x",Q948)-1))-2)))</f>
        <v>62</v>
      </c>
    </row>
    <row r="949" spans="1:19" x14ac:dyDescent="0.25">
      <c r="A949" t="s">
        <v>944</v>
      </c>
      <c r="B949" t="s">
        <v>945</v>
      </c>
      <c r="C949" s="5">
        <f>convertNumberStringPointToNumberComma(IFERROR(LEFT(B949,(FIND("-",B949)-1)),LEFT(B949,FIND("mm",B949)-1)))</f>
        <v>10</v>
      </c>
      <c r="D949" s="5">
        <f>convertNumberStringPointToNumberComma(IFERROR(RIGHT(LEFT(B949,FIND("m",B949)-1),LEN(LEFT(B949,FIND("m",B949)-1))-FIND("-",LEFT(B949,FIND("m",B949)-1))-1),C949))</f>
        <v>0</v>
      </c>
      <c r="E949" t="s">
        <v>2636</v>
      </c>
      <c r="F949" s="9">
        <f>convertNumberStringPointToNumberComma(LEFT(MID(E949,3,9),IFERROR(FIND("-",MID(E949,3,9))-2,3)))</f>
        <v>4</v>
      </c>
      <c r="G949" s="9">
        <f>convertNumberStringPointToNumberComma(RIGHT(E949,IF(ISERROR(FIND(".",RIGHT(E949,3))),1,3)))</f>
        <v>5.6</v>
      </c>
      <c r="H949" t="s">
        <v>15</v>
      </c>
      <c r="I949" s="5" t="str">
        <f>IF(H949="none",0,LEFT(H949,LEN(H949)-2))</f>
        <v>72</v>
      </c>
      <c r="J949" s="5" t="s">
        <v>118</v>
      </c>
      <c r="K949" s="10">
        <f>IF(J949="",0,convertNumberStringPointToNumberComma(LEFT(J949,LEN(J949)-1)))</f>
        <v>0.16</v>
      </c>
      <c r="L949" t="s">
        <v>2706</v>
      </c>
      <c r="M949" t="s">
        <v>8</v>
      </c>
      <c r="N949" t="s">
        <v>903</v>
      </c>
      <c r="O949" t="s">
        <v>17</v>
      </c>
      <c r="P949" s="5" t="str">
        <f>LEFT(O949,LEN(O949)-1)</f>
        <v>230</v>
      </c>
      <c r="Q949" t="s">
        <v>18</v>
      </c>
      <c r="R949" s="52">
        <f>_xlfn.NUMBERVALUE(convertNumberStringPointToNumberComma(LEFT(Q949,FIND("x",Q949)-2)))</f>
        <v>77</v>
      </c>
      <c r="S949" s="52">
        <f>_xlfn.NUMBERVALUE(convertNumberStringPointToNumberComma(LEFT(RIGHT(Q949,LEN(Q949)-FIND("x",Q949)-1),LEN(RIGHT(Q949,LEN(Q949)-FIND("x",Q949)-1))-2)))</f>
        <v>73</v>
      </c>
    </row>
    <row r="950" spans="1:19" x14ac:dyDescent="0.25">
      <c r="B950" t="s">
        <v>635</v>
      </c>
      <c r="E950" t="s">
        <v>2649</v>
      </c>
      <c r="H950" t="s">
        <v>56</v>
      </c>
      <c r="L950" t="s">
        <v>2979</v>
      </c>
      <c r="M950" t="s">
        <v>3147</v>
      </c>
      <c r="N950" t="s">
        <v>2959</v>
      </c>
      <c r="O950" t="s">
        <v>3148</v>
      </c>
      <c r="Q950" t="s">
        <v>3955</v>
      </c>
      <c r="R950" s="52">
        <f>_xlfn.NUMBERVALUE(convertNumberStringPointToNumberComma(LEFT(Q950,FIND("x",Q950)-2)))</f>
        <v>77</v>
      </c>
      <c r="S950" s="52">
        <f>_xlfn.NUMBERVALUE(convertNumberStringPointToNumberComma(LEFT(RIGHT(Q950,LEN(Q950)-FIND("x",Q950)-1),LEN(RIGHT(Q950,LEN(Q950)-FIND("x",Q950)-1))-2)))</f>
        <v>75</v>
      </c>
    </row>
    <row r="951" spans="1:19" x14ac:dyDescent="0.25">
      <c r="A951" t="s">
        <v>1996</v>
      </c>
      <c r="B951" t="s">
        <v>592</v>
      </c>
      <c r="E951" t="s">
        <v>2638</v>
      </c>
      <c r="H951" t="s">
        <v>91</v>
      </c>
      <c r="L951" t="s">
        <v>2732</v>
      </c>
      <c r="M951" t="s">
        <v>8</v>
      </c>
      <c r="N951" t="s">
        <v>913</v>
      </c>
      <c r="O951" t="s">
        <v>3055</v>
      </c>
      <c r="Q951" t="s">
        <v>3787</v>
      </c>
      <c r="R951" s="52">
        <f>_xlfn.NUMBERVALUE(convertNumberStringPointToNumberComma(LEFT(Q951,FIND("x",Q951)-2)))</f>
        <v>77</v>
      </c>
      <c r="S951" s="52">
        <f>_xlfn.NUMBERVALUE(convertNumberStringPointToNumberComma(LEFT(RIGHT(Q951,LEN(Q951)-FIND("x",Q951)-1),LEN(RIGHT(Q951,LEN(Q951)-FIND("x",Q951)-1))-2)))</f>
        <v>81.3</v>
      </c>
    </row>
    <row r="952" spans="1:19" x14ac:dyDescent="0.25">
      <c r="A952" t="s">
        <v>1162</v>
      </c>
      <c r="B952" t="s">
        <v>43</v>
      </c>
      <c r="E952" t="s">
        <v>2663</v>
      </c>
      <c r="H952" t="s">
        <v>15</v>
      </c>
      <c r="M952" t="s">
        <v>2680</v>
      </c>
      <c r="N952" t="s">
        <v>2681</v>
      </c>
      <c r="O952" t="s">
        <v>2974</v>
      </c>
      <c r="Q952" t="s">
        <v>3911</v>
      </c>
      <c r="R952" s="52">
        <f>_xlfn.NUMBERVALUE(convertNumberStringPointToNumberComma(LEFT(Q952,FIND("x",Q952)-2)))</f>
        <v>77</v>
      </c>
      <c r="S952" s="52">
        <f>_xlfn.NUMBERVALUE(convertNumberStringPointToNumberComma(LEFT(RIGHT(Q952,LEN(Q952)-FIND("x",Q952)-1),LEN(RIGHT(Q952,LEN(Q952)-FIND("x",Q952)-1))-2)))</f>
        <v>82.4</v>
      </c>
    </row>
    <row r="953" spans="1:19" x14ac:dyDescent="0.25">
      <c r="A953" t="s">
        <v>1279</v>
      </c>
      <c r="B953" t="s">
        <v>1159</v>
      </c>
      <c r="E953" t="s">
        <v>2657</v>
      </c>
      <c r="H953" t="s">
        <v>15</v>
      </c>
      <c r="L953" t="s">
        <v>2865</v>
      </c>
      <c r="M953" t="s">
        <v>2757</v>
      </c>
      <c r="N953" t="s">
        <v>903</v>
      </c>
      <c r="O953" t="s">
        <v>297</v>
      </c>
      <c r="Q953" t="s">
        <v>3407</v>
      </c>
      <c r="R953" s="52">
        <f>_xlfn.NUMBERVALUE(convertNumberStringPointToNumberComma(LEFT(Q953,FIND("x",Q953)-2)))</f>
        <v>77</v>
      </c>
      <c r="S953" s="52">
        <f>_xlfn.NUMBERVALUE(convertNumberStringPointToNumberComma(LEFT(RIGHT(Q953,LEN(Q953)-FIND("x",Q953)-1),LEN(RIGHT(Q953,LEN(Q953)-FIND("x",Q953)-1))-2)))</f>
        <v>82.5</v>
      </c>
    </row>
    <row r="954" spans="1:19" x14ac:dyDescent="0.25">
      <c r="A954" t="s">
        <v>1995</v>
      </c>
      <c r="B954" t="s">
        <v>592</v>
      </c>
      <c r="E954" t="s">
        <v>2638</v>
      </c>
      <c r="H954" t="s">
        <v>91</v>
      </c>
      <c r="L954" t="s">
        <v>2732</v>
      </c>
      <c r="M954" t="s">
        <v>2682</v>
      </c>
      <c r="N954" t="s">
        <v>913</v>
      </c>
      <c r="O954" t="s">
        <v>618</v>
      </c>
      <c r="Q954" t="s">
        <v>619</v>
      </c>
      <c r="R954" s="52">
        <f>_xlfn.NUMBERVALUE(convertNumberStringPointToNumberComma(LEFT(Q954,FIND("x",Q954)-2)))</f>
        <v>77</v>
      </c>
      <c r="S954" s="52">
        <f>_xlfn.NUMBERVALUE(convertNumberStringPointToNumberComma(LEFT(RIGHT(Q954,LEN(Q954)-FIND("x",Q954)-1),LEN(RIGHT(Q954,LEN(Q954)-FIND("x",Q954)-1))-2)))</f>
        <v>83</v>
      </c>
    </row>
    <row r="955" spans="1:19" x14ac:dyDescent="0.25">
      <c r="A955" t="s">
        <v>1716</v>
      </c>
      <c r="B955" t="s">
        <v>856</v>
      </c>
      <c r="E955" t="s">
        <v>2649</v>
      </c>
      <c r="H955" t="s">
        <v>2668</v>
      </c>
      <c r="M955" t="s">
        <v>2682</v>
      </c>
      <c r="N955" t="s">
        <v>913</v>
      </c>
      <c r="O955" t="s">
        <v>2988</v>
      </c>
      <c r="Q955" t="s">
        <v>3650</v>
      </c>
      <c r="R955" s="52">
        <f>_xlfn.NUMBERVALUE(convertNumberStringPointToNumberComma(LEFT(Q955,FIND("x",Q955)-2)))</f>
        <v>77</v>
      </c>
      <c r="S955" s="52">
        <f>_xlfn.NUMBERVALUE(convertNumberStringPointToNumberComma(LEFT(RIGHT(Q955,LEN(Q955)-FIND("x",Q955)-1),LEN(RIGHT(Q955,LEN(Q955)-FIND("x",Q955)-1))-2)))</f>
        <v>84</v>
      </c>
    </row>
    <row r="956" spans="1:19" x14ac:dyDescent="0.25">
      <c r="A956" t="s">
        <v>1717</v>
      </c>
      <c r="B956" t="s">
        <v>856</v>
      </c>
      <c r="E956" t="s">
        <v>2649</v>
      </c>
      <c r="H956" t="s">
        <v>2668</v>
      </c>
      <c r="M956" t="s">
        <v>8</v>
      </c>
      <c r="N956" t="s">
        <v>913</v>
      </c>
      <c r="O956" t="s">
        <v>2988</v>
      </c>
      <c r="Q956" t="s">
        <v>3650</v>
      </c>
      <c r="R956" s="52">
        <f>_xlfn.NUMBERVALUE(convertNumberStringPointToNumberComma(LEFT(Q956,FIND("x",Q956)-2)))</f>
        <v>77</v>
      </c>
      <c r="S956" s="52">
        <f>_xlfn.NUMBERVALUE(convertNumberStringPointToNumberComma(LEFT(RIGHT(Q956,LEN(Q956)-FIND("x",Q956)-1),LEN(RIGHT(Q956,LEN(Q956)-FIND("x",Q956)-1))-2)))</f>
        <v>84</v>
      </c>
    </row>
    <row r="957" spans="1:19" x14ac:dyDescent="0.25">
      <c r="A957" t="s">
        <v>1220</v>
      </c>
      <c r="B957" t="s">
        <v>592</v>
      </c>
      <c r="C957" s="5">
        <f>convertNumberStringPointToNumberComma(IFERROR(LEFT(B957,(FIND("-",B957)-1)),LEFT(B957,FIND("mm",B957)-1)))</f>
        <v>35</v>
      </c>
      <c r="D957" s="5">
        <f>convertNumberStringPointToNumberComma(IFERROR(RIGHT(LEFT(B957,FIND("m",B957)-1),LEN(LEFT(B957,FIND("m",B957)-1))-FIND("-",LEFT(B957,FIND("m",B957)-1))-1),C957))</f>
        <v>35</v>
      </c>
      <c r="E957" t="s">
        <v>2643</v>
      </c>
      <c r="F957" s="9">
        <f>convertNumberStringPointToNumberComma(LEFT(MID(E957,3,9),IFERROR(FIND("-",MID(E957,3,9))-2,3)))</f>
        <v>1.4</v>
      </c>
      <c r="G957" s="9">
        <f>convertNumberStringPointToNumberComma(RIGHT(E957,IF(ISERROR(FIND(".",RIGHT(E957,3))),1,3)))</f>
        <v>1.4</v>
      </c>
      <c r="H957" t="s">
        <v>56</v>
      </c>
      <c r="I957" s="5" t="str">
        <f>IF(H957="none",0,LEFT(H957,LEN(H957)-2))</f>
        <v>67</v>
      </c>
      <c r="J957" s="5" t="s">
        <v>40</v>
      </c>
      <c r="K957" s="10">
        <f>IF(J957="",0,convertNumberStringPointToNumberComma(LEFT(J957,LEN(J957)-1)))</f>
        <v>0.2</v>
      </c>
      <c r="L957" t="s">
        <v>2846</v>
      </c>
      <c r="M957" t="s">
        <v>2682</v>
      </c>
      <c r="N957" t="s">
        <v>913</v>
      </c>
      <c r="O957" t="s">
        <v>523</v>
      </c>
      <c r="P957" s="5" t="str">
        <f>LEFT(O957,LEN(O957)-1)</f>
        <v>665</v>
      </c>
      <c r="Q957" t="s">
        <v>473</v>
      </c>
      <c r="R957" s="52">
        <f>_xlfn.NUMBERVALUE(convertNumberStringPointToNumberComma(LEFT(Q957,FIND("x",Q957)-2)))</f>
        <v>77</v>
      </c>
      <c r="S957" s="52">
        <f>_xlfn.NUMBERVALUE(convertNumberStringPointToNumberComma(LEFT(RIGHT(Q957,LEN(Q957)-FIND("x",Q957)-1),LEN(RIGHT(Q957,LEN(Q957)-FIND("x",Q957)-1))-2)))</f>
        <v>94</v>
      </c>
    </row>
    <row r="958" spans="1:19" x14ac:dyDescent="0.25">
      <c r="A958" t="s">
        <v>1221</v>
      </c>
      <c r="B958" t="s">
        <v>592</v>
      </c>
      <c r="C958" s="5">
        <f>convertNumberStringPointToNumberComma(IFERROR(LEFT(B958,(FIND("-",B958)-1)),LEFT(B958,FIND("mm",B958)-1)))</f>
        <v>35</v>
      </c>
      <c r="D958" s="5">
        <f>convertNumberStringPointToNumberComma(IFERROR(RIGHT(LEFT(B958,FIND("m",B958)-1),LEN(LEFT(B958,FIND("m",B958)-1))-FIND("-",LEFT(B958,FIND("m",B958)-1))-1),C958))</f>
        <v>35</v>
      </c>
      <c r="E958" t="s">
        <v>2643</v>
      </c>
      <c r="F958" s="9">
        <f>convertNumberStringPointToNumberComma(LEFT(MID(E958,3,9),IFERROR(FIND("-",MID(E958,3,9))-2,3)))</f>
        <v>1.4</v>
      </c>
      <c r="G958" s="9">
        <f>convertNumberStringPointToNumberComma(RIGHT(E958,IF(ISERROR(FIND(".",RIGHT(E958,3))),1,3)))</f>
        <v>1.4</v>
      </c>
      <c r="H958" t="s">
        <v>56</v>
      </c>
      <c r="I958" s="5" t="str">
        <f>IF(H958="none",0,LEFT(H958,LEN(H958)-2))</f>
        <v>67</v>
      </c>
      <c r="J958" s="5" t="s">
        <v>40</v>
      </c>
      <c r="K958" s="10">
        <f>IF(J958="",0,convertNumberStringPointToNumberComma(LEFT(J958,LEN(J958)-1)))</f>
        <v>0.2</v>
      </c>
      <c r="L958" t="s">
        <v>2846</v>
      </c>
      <c r="M958" t="s">
        <v>2802</v>
      </c>
      <c r="N958" t="s">
        <v>913</v>
      </c>
      <c r="O958" t="s">
        <v>523</v>
      </c>
      <c r="P958" s="5" t="str">
        <f>LEFT(O958,LEN(O958)-1)</f>
        <v>665</v>
      </c>
      <c r="Q958" t="s">
        <v>473</v>
      </c>
      <c r="R958" s="52">
        <f>_xlfn.NUMBERVALUE(convertNumberStringPointToNumberComma(LEFT(Q958,FIND("x",Q958)-2)))</f>
        <v>77</v>
      </c>
      <c r="S958" s="52">
        <f>_xlfn.NUMBERVALUE(convertNumberStringPointToNumberComma(LEFT(RIGHT(Q958,LEN(Q958)-FIND("x",Q958)-1),LEN(RIGHT(Q958,LEN(Q958)-FIND("x",Q958)-1))-2)))</f>
        <v>94</v>
      </c>
    </row>
    <row r="959" spans="1:19" x14ac:dyDescent="0.25">
      <c r="A959" t="s">
        <v>1222</v>
      </c>
      <c r="B959" t="s">
        <v>592</v>
      </c>
      <c r="C959" s="5">
        <f>convertNumberStringPointToNumberComma(IFERROR(LEFT(B959,(FIND("-",B959)-1)),LEFT(B959,FIND("mm",B959)-1)))</f>
        <v>35</v>
      </c>
      <c r="D959" s="5">
        <f>convertNumberStringPointToNumberComma(IFERROR(RIGHT(LEFT(B959,FIND("m",B959)-1),LEN(LEFT(B959,FIND("m",B959)-1))-FIND("-",LEFT(B959,FIND("m",B959)-1))-1),C959))</f>
        <v>35</v>
      </c>
      <c r="E959" t="s">
        <v>2643</v>
      </c>
      <c r="F959" s="9">
        <f>convertNumberStringPointToNumberComma(LEFT(MID(E959,3,9),IFERROR(FIND("-",MID(E959,3,9))-2,3)))</f>
        <v>1.4</v>
      </c>
      <c r="G959" s="9">
        <f>convertNumberStringPointToNumberComma(RIGHT(E959,IF(ISERROR(FIND(".",RIGHT(E959,3))),1,3)))</f>
        <v>1.4</v>
      </c>
      <c r="H959" t="s">
        <v>56</v>
      </c>
      <c r="I959" s="5" t="str">
        <f>IF(H959="none",0,LEFT(H959,LEN(H959)-2))</f>
        <v>67</v>
      </c>
      <c r="J959" s="5" t="s">
        <v>162</v>
      </c>
      <c r="K959" s="10">
        <f>IF(J959="",0,convertNumberStringPointToNumberComma(LEFT(J959,LEN(J959)-1)))</f>
        <v>0.25</v>
      </c>
      <c r="L959" t="s">
        <v>2846</v>
      </c>
      <c r="M959" t="s">
        <v>2757</v>
      </c>
      <c r="N959" t="s">
        <v>913</v>
      </c>
      <c r="O959" t="s">
        <v>523</v>
      </c>
      <c r="P959" s="5" t="str">
        <f>LEFT(O959,LEN(O959)-1)</f>
        <v>665</v>
      </c>
      <c r="Q959" t="s">
        <v>473</v>
      </c>
      <c r="R959" s="52">
        <f>_xlfn.NUMBERVALUE(convertNumberStringPointToNumberComma(LEFT(Q959,FIND("x",Q959)-2)))</f>
        <v>77</v>
      </c>
      <c r="S959" s="52">
        <f>_xlfn.NUMBERVALUE(convertNumberStringPointToNumberComma(LEFT(RIGHT(Q959,LEN(Q959)-FIND("x",Q959)-1),LEN(RIGHT(Q959,LEN(Q959)-FIND("x",Q959)-1))-2)))</f>
        <v>94</v>
      </c>
    </row>
    <row r="960" spans="1:19" x14ac:dyDescent="0.25">
      <c r="A960" t="s">
        <v>2013</v>
      </c>
      <c r="B960" t="s">
        <v>592</v>
      </c>
      <c r="E960" t="s">
        <v>2643</v>
      </c>
      <c r="H960" t="s">
        <v>56</v>
      </c>
      <c r="L960" t="s">
        <v>2846</v>
      </c>
      <c r="M960" t="s">
        <v>2793</v>
      </c>
      <c r="N960" t="s">
        <v>913</v>
      </c>
      <c r="O960" t="s">
        <v>523</v>
      </c>
      <c r="Q960" t="s">
        <v>473</v>
      </c>
      <c r="R960" s="52">
        <f>_xlfn.NUMBERVALUE(convertNumberStringPointToNumberComma(LEFT(Q960,FIND("x",Q960)-2)))</f>
        <v>77</v>
      </c>
      <c r="S960" s="52">
        <f>_xlfn.NUMBERVALUE(convertNumberStringPointToNumberComma(LEFT(RIGHT(Q960,LEN(Q960)-FIND("x",Q960)-1),LEN(RIGHT(Q960,LEN(Q960)-FIND("x",Q960)-1))-2)))</f>
        <v>94</v>
      </c>
    </row>
    <row r="961" spans="1:19" x14ac:dyDescent="0.25">
      <c r="A961" t="s">
        <v>2456</v>
      </c>
      <c r="B961" t="s">
        <v>592</v>
      </c>
      <c r="E961" t="s">
        <v>2643</v>
      </c>
      <c r="H961" t="s">
        <v>56</v>
      </c>
      <c r="L961" t="s">
        <v>2846</v>
      </c>
      <c r="M961" t="s">
        <v>8</v>
      </c>
      <c r="N961" t="s">
        <v>913</v>
      </c>
      <c r="O961" t="s">
        <v>523</v>
      </c>
      <c r="Q961" t="s">
        <v>473</v>
      </c>
      <c r="R961" s="52">
        <f>_xlfn.NUMBERVALUE(convertNumberStringPointToNumberComma(LEFT(Q961,FIND("x",Q961)-2)))</f>
        <v>77</v>
      </c>
      <c r="S961" s="52">
        <f>_xlfn.NUMBERVALUE(convertNumberStringPointToNumberComma(LEFT(RIGHT(Q961,LEN(Q961)-FIND("x",Q961)-1),LEN(RIGHT(Q961,LEN(Q961)-FIND("x",Q961)-1))-2)))</f>
        <v>94</v>
      </c>
    </row>
    <row r="962" spans="1:19" x14ac:dyDescent="0.25">
      <c r="A962" t="s">
        <v>1891</v>
      </c>
      <c r="B962" t="s">
        <v>1386</v>
      </c>
      <c r="E962" t="s">
        <v>2636</v>
      </c>
      <c r="H962" t="s">
        <v>15</v>
      </c>
      <c r="L962" t="s">
        <v>2695</v>
      </c>
      <c r="M962" t="s">
        <v>2782</v>
      </c>
      <c r="N962" t="s">
        <v>2783</v>
      </c>
      <c r="O962" t="s">
        <v>612</v>
      </c>
      <c r="Q962" t="s">
        <v>3737</v>
      </c>
      <c r="R962" s="52">
        <f>_xlfn.NUMBERVALUE(convertNumberStringPointToNumberComma(LEFT(Q962,FIND("x",Q962)-2)))</f>
        <v>77</v>
      </c>
      <c r="S962" s="52">
        <f>_xlfn.NUMBERVALUE(convertNumberStringPointToNumberComma(LEFT(RIGHT(Q962,LEN(Q962)-FIND("x",Q962)-1),LEN(RIGHT(Q962,LEN(Q962)-FIND("x",Q962)-1))-2)))</f>
        <v>95</v>
      </c>
    </row>
    <row r="963" spans="1:19" x14ac:dyDescent="0.25">
      <c r="A963" t="s">
        <v>1188</v>
      </c>
      <c r="B963" t="s">
        <v>1001</v>
      </c>
      <c r="C963" s="5">
        <f>convertNumberStringPointToNumberComma(IFERROR(LEFT(B963,(FIND("-",B963)-1)),LEFT(B963,FIND("mm",B963)-1)))</f>
        <v>18</v>
      </c>
      <c r="D963" s="5">
        <f>convertNumberStringPointToNumberComma(IFERROR(RIGHT(LEFT(B963,FIND("m",B963)-1),LEN(LEFT(B963,FIND("m",B963)-1))-FIND("-",LEFT(B963,FIND("m",B963)-1))-1),C963))</f>
        <v>0</v>
      </c>
      <c r="E963" t="s">
        <v>2639</v>
      </c>
      <c r="F963" s="9">
        <f>convertNumberStringPointToNumberComma(LEFT(MID(E963,3,9),IFERROR(FIND("-",MID(E963,3,9))-2,3)))</f>
        <v>3</v>
      </c>
      <c r="G963" s="9">
        <f>convertNumberStringPointToNumberComma(RIGHT(E963,IF(ISERROR(FIND(".",RIGHT(E963,3))),1,3)))</f>
        <v>5.6</v>
      </c>
      <c r="H963" t="s">
        <v>15</v>
      </c>
      <c r="I963" s="5" t="str">
        <f>IF(H963="none",0,LEFT(H963,LEN(H963)-2))</f>
        <v>72</v>
      </c>
      <c r="J963" s="5" t="s">
        <v>32</v>
      </c>
      <c r="K963" s="10">
        <f>IF(J963="",0,convertNumberStringPointToNumberComma(LEFT(J963,LEN(J963)-1)))</f>
        <v>0.12</v>
      </c>
      <c r="L963" t="s">
        <v>2832</v>
      </c>
      <c r="M963" t="s">
        <v>8</v>
      </c>
      <c r="N963" t="s">
        <v>903</v>
      </c>
      <c r="O963" t="s">
        <v>111</v>
      </c>
      <c r="P963" s="5" t="str">
        <f>LEFT(O963,LEN(O963)-1)</f>
        <v>560</v>
      </c>
      <c r="Q963" t="s">
        <v>3353</v>
      </c>
      <c r="R963" s="52">
        <f>_xlfn.NUMBERVALUE(convertNumberStringPointToNumberComma(LEFT(Q963,FIND("x",Q963)-2)))</f>
        <v>77</v>
      </c>
      <c r="S963" s="52">
        <f>_xlfn.NUMBERVALUE(convertNumberStringPointToNumberComma(LEFT(RIGHT(Q963,LEN(Q963)-FIND("x",Q963)-1),LEN(RIGHT(Q963,LEN(Q963)-FIND("x",Q963)-1))-2)))</f>
        <v>96.5</v>
      </c>
    </row>
    <row r="964" spans="1:19" x14ac:dyDescent="0.25">
      <c r="A964" t="s">
        <v>2503</v>
      </c>
      <c r="B964" t="s">
        <v>1001</v>
      </c>
      <c r="E964" t="s">
        <v>2639</v>
      </c>
      <c r="H964" t="s">
        <v>15</v>
      </c>
      <c r="L964" t="s">
        <v>2832</v>
      </c>
      <c r="M964" t="s">
        <v>8</v>
      </c>
      <c r="N964" t="s">
        <v>903</v>
      </c>
      <c r="O964" t="s">
        <v>278</v>
      </c>
      <c r="Q964" t="s">
        <v>3353</v>
      </c>
      <c r="R964" s="52">
        <f>_xlfn.NUMBERVALUE(convertNumberStringPointToNumberComma(LEFT(Q964,FIND("x",Q964)-2)))</f>
        <v>77</v>
      </c>
      <c r="S964" s="52">
        <f>_xlfn.NUMBERVALUE(convertNumberStringPointToNumberComma(LEFT(RIGHT(Q964,LEN(Q964)-FIND("x",Q964)-1),LEN(RIGHT(Q964,LEN(Q964)-FIND("x",Q964)-1))-2)))</f>
        <v>96.5</v>
      </c>
    </row>
    <row r="965" spans="1:19" x14ac:dyDescent="0.25">
      <c r="B965" t="s">
        <v>1259</v>
      </c>
      <c r="E965" t="s">
        <v>2638</v>
      </c>
      <c r="H965" t="s">
        <v>56</v>
      </c>
      <c r="L965" t="s">
        <v>2703</v>
      </c>
      <c r="M965" t="s">
        <v>2674</v>
      </c>
      <c r="N965" t="s">
        <v>913</v>
      </c>
      <c r="Q965" t="s">
        <v>4076</v>
      </c>
      <c r="R965" s="52">
        <f>_xlfn.NUMBERVALUE(convertNumberStringPointToNumberComma(LEFT(Q965,FIND("x",Q965)-2)))</f>
        <v>77.2</v>
      </c>
      <c r="S965" s="52">
        <f>_xlfn.NUMBERVALUE(convertNumberStringPointToNumberComma(LEFT(RIGHT(Q965,LEN(Q965)-FIND("x",Q965)-1),LEN(RIGHT(Q965,LEN(Q965)-FIND("x",Q965)-1))-2)))</f>
        <v>98.5</v>
      </c>
    </row>
    <row r="966" spans="1:19" x14ac:dyDescent="0.25">
      <c r="A966" t="s">
        <v>2338</v>
      </c>
      <c r="B966" t="s">
        <v>960</v>
      </c>
      <c r="E966" t="s">
        <v>2632</v>
      </c>
      <c r="H966" t="s">
        <v>2668</v>
      </c>
      <c r="M966" t="s">
        <v>8</v>
      </c>
      <c r="N966" t="s">
        <v>913</v>
      </c>
      <c r="O966" t="s">
        <v>562</v>
      </c>
      <c r="Q966" t="s">
        <v>3916</v>
      </c>
      <c r="R966" s="52">
        <f>_xlfn.NUMBERVALUE(convertNumberStringPointToNumberComma(LEFT(Q966,FIND("x",Q966)-2)))</f>
        <v>77.3</v>
      </c>
      <c r="S966" s="52">
        <f>_xlfn.NUMBERVALUE(convertNumberStringPointToNumberComma(LEFT(RIGHT(Q966,LEN(Q966)-FIND("x",Q966)-1),LEN(RIGHT(Q966,LEN(Q966)-FIND("x",Q966)-1))-2)))</f>
        <v>70.2</v>
      </c>
    </row>
    <row r="967" spans="1:19" x14ac:dyDescent="0.25">
      <c r="A967" t="s">
        <v>2339</v>
      </c>
      <c r="B967" t="s">
        <v>960</v>
      </c>
      <c r="E967" t="s">
        <v>2632</v>
      </c>
      <c r="H967" t="s">
        <v>2668</v>
      </c>
      <c r="M967" t="s">
        <v>2802</v>
      </c>
      <c r="N967" t="s">
        <v>913</v>
      </c>
      <c r="O967" t="s">
        <v>308</v>
      </c>
      <c r="Q967" t="s">
        <v>3917</v>
      </c>
      <c r="R967" s="52">
        <f>_xlfn.NUMBERVALUE(convertNumberStringPointToNumberComma(LEFT(Q967,FIND("x",Q967)-2)))</f>
        <v>77.3</v>
      </c>
      <c r="S967" s="52">
        <f>_xlfn.NUMBERVALUE(convertNumberStringPointToNumberComma(LEFT(RIGHT(Q967,LEN(Q967)-FIND("x",Q967)-1),LEN(RIGHT(Q967,LEN(Q967)-FIND("x",Q967)-1))-2)))</f>
        <v>71.2</v>
      </c>
    </row>
    <row r="968" spans="1:19" x14ac:dyDescent="0.25">
      <c r="A968" t="s">
        <v>2340</v>
      </c>
      <c r="B968" t="s">
        <v>960</v>
      </c>
      <c r="E968" t="s">
        <v>2632</v>
      </c>
      <c r="H968" t="s">
        <v>2668</v>
      </c>
      <c r="M968" t="s">
        <v>2757</v>
      </c>
      <c r="N968" t="s">
        <v>913</v>
      </c>
      <c r="O968" t="s">
        <v>549</v>
      </c>
      <c r="Q968" t="s">
        <v>3918</v>
      </c>
      <c r="R968" s="52">
        <f>_xlfn.NUMBERVALUE(convertNumberStringPointToNumberComma(LEFT(Q968,FIND("x",Q968)-2)))</f>
        <v>77.3</v>
      </c>
      <c r="S968" s="52">
        <f>_xlfn.NUMBERVALUE(convertNumberStringPointToNumberComma(LEFT(RIGHT(Q968,LEN(Q968)-FIND("x",Q968)-1),LEN(RIGHT(Q968,LEN(Q968)-FIND("x",Q968)-1))-2)))</f>
        <v>72.2</v>
      </c>
    </row>
    <row r="969" spans="1:19" x14ac:dyDescent="0.25">
      <c r="A969" t="s">
        <v>2334</v>
      </c>
      <c r="B969" t="s">
        <v>960</v>
      </c>
      <c r="E969" t="s">
        <v>2632</v>
      </c>
      <c r="H969" t="s">
        <v>2668</v>
      </c>
      <c r="M969" t="s">
        <v>2682</v>
      </c>
      <c r="N969" t="s">
        <v>913</v>
      </c>
      <c r="O969" t="s">
        <v>2711</v>
      </c>
      <c r="Q969" t="s">
        <v>3914</v>
      </c>
      <c r="R969" s="52">
        <f>_xlfn.NUMBERVALUE(convertNumberStringPointToNumberComma(LEFT(Q969,FIND("x",Q969)-2)))</f>
        <v>77.3</v>
      </c>
      <c r="S969" s="52">
        <f>_xlfn.NUMBERVALUE(convertNumberStringPointToNumberComma(LEFT(RIGHT(Q969,LEN(Q969)-FIND("x",Q969)-1),LEN(RIGHT(Q969,LEN(Q969)-FIND("x",Q969)-1))-2)))</f>
        <v>72.7</v>
      </c>
    </row>
    <row r="970" spans="1:19" x14ac:dyDescent="0.25">
      <c r="A970" t="s">
        <v>2345</v>
      </c>
      <c r="B970" t="s">
        <v>960</v>
      </c>
      <c r="E970" t="s">
        <v>2632</v>
      </c>
      <c r="H970" t="s">
        <v>2668</v>
      </c>
      <c r="M970" t="s">
        <v>2681</v>
      </c>
      <c r="N970" t="s">
        <v>2681</v>
      </c>
      <c r="O970" t="s">
        <v>612</v>
      </c>
      <c r="Q970" t="s">
        <v>3922</v>
      </c>
      <c r="R970" s="52">
        <f>_xlfn.NUMBERVALUE(convertNumberStringPointToNumberComma(LEFT(Q970,FIND("x",Q970)-2)))</f>
        <v>77.3</v>
      </c>
      <c r="S970" s="52">
        <f>_xlfn.NUMBERVALUE(convertNumberStringPointToNumberComma(LEFT(RIGHT(Q970,LEN(Q970)-FIND("x",Q970)-1),LEN(RIGHT(Q970,LEN(Q970)-FIND("x",Q970)-1))-2)))</f>
        <v>78</v>
      </c>
    </row>
    <row r="971" spans="1:19" x14ac:dyDescent="0.25">
      <c r="A971" t="s">
        <v>2344</v>
      </c>
      <c r="B971" t="s">
        <v>960</v>
      </c>
      <c r="E971" t="s">
        <v>2632</v>
      </c>
      <c r="H971" t="s">
        <v>2668</v>
      </c>
      <c r="M971" t="s">
        <v>2804</v>
      </c>
      <c r="N971" t="s">
        <v>903</v>
      </c>
      <c r="O971" t="s">
        <v>2711</v>
      </c>
      <c r="Q971" t="s">
        <v>3921</v>
      </c>
      <c r="R971" s="52">
        <f>_xlfn.NUMBERVALUE(convertNumberStringPointToNumberComma(LEFT(Q971,FIND("x",Q971)-2)))</f>
        <v>77.3</v>
      </c>
      <c r="S971" s="52">
        <f>_xlfn.NUMBERVALUE(convertNumberStringPointToNumberComma(LEFT(RIGHT(Q971,LEN(Q971)-FIND("x",Q971)-1),LEN(RIGHT(Q971,LEN(Q971)-FIND("x",Q971)-1))-2)))</f>
        <v>91.2</v>
      </c>
    </row>
    <row r="972" spans="1:19" x14ac:dyDescent="0.25">
      <c r="A972" t="s">
        <v>2346</v>
      </c>
      <c r="B972" t="s">
        <v>960</v>
      </c>
      <c r="E972" t="s">
        <v>2632</v>
      </c>
      <c r="H972" t="s">
        <v>2668</v>
      </c>
      <c r="M972" t="s">
        <v>2680</v>
      </c>
      <c r="N972" t="s">
        <v>2681</v>
      </c>
      <c r="O972" t="s">
        <v>23</v>
      </c>
      <c r="Q972" t="s">
        <v>3923</v>
      </c>
      <c r="R972" s="52">
        <f>_xlfn.NUMBERVALUE(convertNumberStringPointToNumberComma(LEFT(Q972,FIND("x",Q972)-2)))</f>
        <v>77.3</v>
      </c>
      <c r="S972" s="52">
        <f>_xlfn.NUMBERVALUE(convertNumberStringPointToNumberComma(LEFT(RIGHT(Q972,LEN(Q972)-FIND("x",Q972)-1),LEN(RIGHT(Q972,LEN(Q972)-FIND("x",Q972)-1))-2)))</f>
        <v>97.5</v>
      </c>
    </row>
    <row r="973" spans="1:19" x14ac:dyDescent="0.25">
      <c r="A973" t="s">
        <v>2337</v>
      </c>
      <c r="B973" t="s">
        <v>960</v>
      </c>
      <c r="E973" t="s">
        <v>2632</v>
      </c>
      <c r="H973" t="s">
        <v>2668</v>
      </c>
      <c r="M973" t="s">
        <v>2763</v>
      </c>
      <c r="N973" t="s">
        <v>903</v>
      </c>
      <c r="O973" t="s">
        <v>794</v>
      </c>
      <c r="Q973" t="s">
        <v>3915</v>
      </c>
      <c r="R973" s="52">
        <f>_xlfn.NUMBERVALUE(convertNumberStringPointToNumberComma(LEFT(Q973,FIND("x",Q973)-2)))</f>
        <v>77.3</v>
      </c>
      <c r="S973" s="52">
        <f>_xlfn.NUMBERVALUE(convertNumberStringPointToNumberComma(LEFT(RIGHT(Q973,LEN(Q973)-FIND("x",Q973)-1),LEN(RIGHT(Q973,LEN(Q973)-FIND("x",Q973)-1))-2)))</f>
        <v>98.6</v>
      </c>
    </row>
    <row r="974" spans="1:19" x14ac:dyDescent="0.25">
      <c r="A974" t="s">
        <v>2341</v>
      </c>
      <c r="B974" t="s">
        <v>960</v>
      </c>
      <c r="E974" t="s">
        <v>2632</v>
      </c>
      <c r="H974" t="s">
        <v>2668</v>
      </c>
      <c r="M974" t="s">
        <v>2674</v>
      </c>
      <c r="N974" t="s">
        <v>913</v>
      </c>
      <c r="O974" t="s">
        <v>794</v>
      </c>
      <c r="Q974" t="s">
        <v>3919</v>
      </c>
      <c r="R974" s="52">
        <f>_xlfn.NUMBERVALUE(convertNumberStringPointToNumberComma(LEFT(Q974,FIND("x",Q974)-2)))</f>
        <v>77.3</v>
      </c>
      <c r="S974" s="52">
        <f>_xlfn.NUMBERVALUE(convertNumberStringPointToNumberComma(LEFT(RIGHT(Q974,LEN(Q974)-FIND("x",Q974)-1),LEN(RIGHT(Q974,LEN(Q974)-FIND("x",Q974)-1))-2)))</f>
        <v>98.7</v>
      </c>
    </row>
    <row r="975" spans="1:19" x14ac:dyDescent="0.25">
      <c r="A975" t="s">
        <v>2342</v>
      </c>
      <c r="B975" t="s">
        <v>960</v>
      </c>
      <c r="E975" t="s">
        <v>2632</v>
      </c>
      <c r="H975" t="s">
        <v>2668</v>
      </c>
      <c r="M975" t="s">
        <v>2748</v>
      </c>
      <c r="N975" t="s">
        <v>903</v>
      </c>
      <c r="O975" t="s">
        <v>278</v>
      </c>
      <c r="Q975" t="s">
        <v>3920</v>
      </c>
      <c r="R975" s="52">
        <f>_xlfn.NUMBERVALUE(convertNumberStringPointToNumberComma(LEFT(Q975,FIND("x",Q975)-2)))</f>
        <v>77.3</v>
      </c>
      <c r="S975" s="52">
        <f>_xlfn.NUMBERVALUE(convertNumberStringPointToNumberComma(LEFT(RIGHT(Q975,LEN(Q975)-FIND("x",Q975)-1),LEN(RIGHT(Q975,LEN(Q975)-FIND("x",Q975)-1))-2)))</f>
        <v>99</v>
      </c>
    </row>
    <row r="976" spans="1:19" x14ac:dyDescent="0.25">
      <c r="A976" t="s">
        <v>951</v>
      </c>
      <c r="B976" t="s">
        <v>952</v>
      </c>
      <c r="C976" s="5">
        <f>convertNumberStringPointToNumberComma(IFERROR(LEFT(B976,(FIND("-",B976)-1)),LEFT(B976,FIND("mm",B976)-1)))</f>
        <v>18</v>
      </c>
      <c r="D976" s="5">
        <f>convertNumberStringPointToNumberComma(IFERROR(RIGHT(LEFT(B976,FIND("m",B976)-1),LEN(LEFT(B976,FIND("m",B976)-1))-FIND("-",LEFT(B976,FIND("m",B976)-1))-1),C976))</f>
        <v>35</v>
      </c>
      <c r="E976" t="s">
        <v>2639</v>
      </c>
      <c r="F976" s="9">
        <f>convertNumberStringPointToNumberComma(LEFT(MID(E976,3,9),IFERROR(FIND("-",MID(E976,3,9))-2,3)))</f>
        <v>3</v>
      </c>
      <c r="G976" s="9">
        <f>convertNumberStringPointToNumberComma(RIGHT(E976,IF(ISERROR(FIND(".",RIGHT(E976,3))),1,3)))</f>
        <v>5.6</v>
      </c>
      <c r="H976" t="s">
        <v>56</v>
      </c>
      <c r="I976" s="5" t="str">
        <f>IF(H976="none",0,LEFT(H976,LEN(H976)-2))</f>
        <v>67</v>
      </c>
      <c r="J976" s="5" t="s">
        <v>32</v>
      </c>
      <c r="K976" s="10">
        <f>IF(J976="",0,convertNumberStringPointToNumberComma(LEFT(J976,LEN(J976)-1)))</f>
        <v>0.12</v>
      </c>
      <c r="L976" t="s">
        <v>2710</v>
      </c>
      <c r="M976" t="s">
        <v>2708</v>
      </c>
      <c r="N976" t="s">
        <v>903</v>
      </c>
      <c r="O976" t="s">
        <v>2711</v>
      </c>
      <c r="P976" s="5" t="str">
        <f>LEFT(O976,LEN(O976)-1)</f>
        <v>515</v>
      </c>
      <c r="Q976" t="s">
        <v>3220</v>
      </c>
      <c r="R976" s="52">
        <f>_xlfn.NUMBERVALUE(convertNumberStringPointToNumberComma(LEFT(Q976,FIND("x",Q976)-2)))</f>
        <v>77.400000000000006</v>
      </c>
      <c r="S976" s="52">
        <f>_xlfn.NUMBERVALUE(convertNumberStringPointToNumberComma(LEFT(RIGHT(Q976,LEN(Q976)-FIND("x",Q976)-1),LEN(RIGHT(Q976,LEN(Q976)-FIND("x",Q976)-1))-2)))</f>
        <v>96</v>
      </c>
    </row>
    <row r="977" spans="1:19" x14ac:dyDescent="0.25">
      <c r="A977" t="s">
        <v>1050</v>
      </c>
      <c r="B977" t="s">
        <v>1051</v>
      </c>
      <c r="C977" s="5">
        <f>convertNumberStringPointToNumberComma(IFERROR(LEFT(B977,(FIND("-",B977)-1)),LEFT(B977,FIND("mm",B977)-1)))</f>
        <v>12</v>
      </c>
      <c r="D977" s="5">
        <f>convertNumberStringPointToNumberComma(IFERROR(RIGHT(LEFT(B977,FIND("m",B977)-1),LEN(LEFT(B977,FIND("m",B977)-1))-FIND("-",LEFT(B977,FIND("m",B977)-1))-1),C977))</f>
        <v>0</v>
      </c>
      <c r="E977" t="s">
        <v>2633</v>
      </c>
      <c r="F977" s="9">
        <f>convertNumberStringPointToNumberComma(LEFT(MID(E977,3,9),IFERROR(FIND("-",MID(E977,3,9))-2,3)))</f>
        <v>4</v>
      </c>
      <c r="G977" s="9">
        <f>convertNumberStringPointToNumberComma(RIGHT(E977,IF(ISERROR(FIND(".",RIGHT(E977,3))),1,3)))</f>
        <v>4</v>
      </c>
      <c r="H977" t="s">
        <v>15</v>
      </c>
      <c r="I977" s="5" t="str">
        <f>IF(H977="none",0,LEFT(H977,LEN(H977)-2))</f>
        <v>72</v>
      </c>
      <c r="J977" s="5" t="s">
        <v>466</v>
      </c>
      <c r="K977" s="10">
        <f>IF(J977="",0,convertNumberStringPointToNumberComma(LEFT(J977,LEN(J977)-1)))</f>
        <v>0.21</v>
      </c>
      <c r="L977" t="s">
        <v>2701</v>
      </c>
      <c r="M977" t="s">
        <v>2680</v>
      </c>
      <c r="N977" t="s">
        <v>2681</v>
      </c>
      <c r="O977" t="s">
        <v>2764</v>
      </c>
      <c r="P977" s="5" t="str">
        <f>LEFT(O977,LEN(O977)-1)</f>
        <v>561</v>
      </c>
      <c r="Q977" t="s">
        <v>3284</v>
      </c>
      <c r="R977" s="52">
        <f>_xlfn.NUMBERVALUE(convertNumberStringPointToNumberComma(LEFT(Q977,FIND("x",Q977)-2)))</f>
        <v>77.5</v>
      </c>
      <c r="S977" s="52">
        <f>_xlfn.NUMBERVALUE(convertNumberStringPointToNumberComma(LEFT(RIGHT(Q977,LEN(Q977)-FIND("x",Q977)-1),LEN(RIGHT(Q977,LEN(Q977)-FIND("x",Q977)-1))-2)))</f>
        <v>116.5</v>
      </c>
    </row>
    <row r="978" spans="1:19" x14ac:dyDescent="0.25">
      <c r="A978" t="s">
        <v>1544</v>
      </c>
      <c r="B978" t="s">
        <v>441</v>
      </c>
      <c r="E978" t="s">
        <v>2632</v>
      </c>
      <c r="H978" t="s">
        <v>15</v>
      </c>
      <c r="L978" t="s">
        <v>2709</v>
      </c>
      <c r="M978" t="s">
        <v>2682</v>
      </c>
      <c r="N978" t="s">
        <v>913</v>
      </c>
      <c r="O978" t="s">
        <v>321</v>
      </c>
      <c r="Q978" t="s">
        <v>3546</v>
      </c>
      <c r="R978" s="52">
        <f>_xlfn.NUMBERVALUE(convertNumberStringPointToNumberComma(LEFT(Q978,FIND("x",Q978)-2)))</f>
        <v>77.5</v>
      </c>
      <c r="S978" s="52">
        <f>_xlfn.NUMBERVALUE(convertNumberStringPointToNumberComma(LEFT(RIGHT(Q978,LEN(Q978)-FIND("x",Q978)-1),LEN(RIGHT(Q978,LEN(Q978)-FIND("x",Q978)-1))-2)))</f>
        <v>70.599999999999994</v>
      </c>
    </row>
    <row r="979" spans="1:19" x14ac:dyDescent="0.25">
      <c r="A979" t="s">
        <v>1004</v>
      </c>
      <c r="B979" t="s">
        <v>1005</v>
      </c>
      <c r="C979" s="5">
        <f>convertNumberStringPointToNumberComma(IFERROR(LEFT(B979,(FIND("-",B979)-1)),LEFT(B979,FIND("mm",B979)-1)))</f>
        <v>8</v>
      </c>
      <c r="D979" s="5">
        <f>convertNumberStringPointToNumberComma(IFERROR(RIGHT(LEFT(B979,FIND("m",B979)-1),LEN(LEFT(B979,FIND("m",B979)-1))-FIND("-",LEFT(B979,FIND("m",B979)-1))-1),C979))</f>
        <v>5</v>
      </c>
      <c r="E979" t="s">
        <v>2645</v>
      </c>
      <c r="F979" s="9">
        <f>convertNumberStringPointToNumberComma(LEFT(MID(E979,3,9),IFERROR(FIND("-",MID(E979,3,9))-2,3)))</f>
        <v>3</v>
      </c>
      <c r="G979" s="9">
        <f>convertNumberStringPointToNumberComma(RIGHT(E979,IF(ISERROR(FIND(".",RIGHT(E979,3))),1,3)))</f>
        <v>4.5</v>
      </c>
      <c r="H979" t="s">
        <v>2671</v>
      </c>
      <c r="I979" s="5" t="str">
        <f>IF(H979="none",0,LEFT(H979,LEN(H979)-2))</f>
        <v>29x27</v>
      </c>
      <c r="J979" s="5" t="s">
        <v>333</v>
      </c>
      <c r="K979" s="10">
        <f>IF(J979="",0,convertNumberStringPointToNumberComma(LEFT(J979,LEN(J979)-1)))</f>
        <v>0.27</v>
      </c>
      <c r="L979" t="s">
        <v>2743</v>
      </c>
      <c r="M979" t="s">
        <v>8</v>
      </c>
      <c r="N979" t="s">
        <v>913</v>
      </c>
      <c r="O979" t="s">
        <v>257</v>
      </c>
      <c r="P979" s="5" t="str">
        <f>LEFT(O979,LEN(O979)-1)</f>
        <v>485</v>
      </c>
      <c r="Q979" t="s">
        <v>3256</v>
      </c>
      <c r="R979" s="52">
        <f>_xlfn.NUMBERVALUE(convertNumberStringPointToNumberComma(LEFT(Q979,FIND("x",Q979)-2)))</f>
        <v>77.5</v>
      </c>
      <c r="S979" s="52">
        <f>_xlfn.NUMBERVALUE(convertNumberStringPointToNumberComma(LEFT(RIGHT(Q979,LEN(Q979)-FIND("x",Q979)-1),LEN(RIGHT(Q979,LEN(Q979)-FIND("x",Q979)-1))-2)))</f>
        <v>83</v>
      </c>
    </row>
    <row r="980" spans="1:19" x14ac:dyDescent="0.25">
      <c r="A980" t="s">
        <v>2512</v>
      </c>
      <c r="B980" t="s">
        <v>505</v>
      </c>
      <c r="E980" t="s">
        <v>2635</v>
      </c>
      <c r="H980" t="s">
        <v>15</v>
      </c>
      <c r="L980" t="s">
        <v>2698</v>
      </c>
      <c r="M980" t="s">
        <v>8</v>
      </c>
      <c r="N980" t="s">
        <v>913</v>
      </c>
      <c r="O980" t="s">
        <v>445</v>
      </c>
      <c r="Q980" t="s">
        <v>3256</v>
      </c>
      <c r="R980" s="52">
        <f>_xlfn.NUMBERVALUE(convertNumberStringPointToNumberComma(LEFT(Q980,FIND("x",Q980)-2)))</f>
        <v>77.5</v>
      </c>
      <c r="S980" s="52">
        <f>_xlfn.NUMBERVALUE(convertNumberStringPointToNumberComma(LEFT(RIGHT(Q980,LEN(Q980)-FIND("x",Q980)-1),LEN(RIGHT(Q980,LEN(Q980)-FIND("x",Q980)-1))-2)))</f>
        <v>83</v>
      </c>
    </row>
    <row r="981" spans="1:19" x14ac:dyDescent="0.25">
      <c r="A981" t="s">
        <v>1299</v>
      </c>
      <c r="B981" t="s">
        <v>1142</v>
      </c>
      <c r="E981" t="s">
        <v>2632</v>
      </c>
      <c r="H981" t="s">
        <v>56</v>
      </c>
      <c r="L981" t="s">
        <v>2832</v>
      </c>
      <c r="M981" t="s">
        <v>2757</v>
      </c>
      <c r="N981" t="s">
        <v>913</v>
      </c>
      <c r="O981" t="s">
        <v>278</v>
      </c>
      <c r="Q981" t="s">
        <v>3418</v>
      </c>
      <c r="R981" s="52">
        <f>_xlfn.NUMBERVALUE(convertNumberStringPointToNumberComma(LEFT(Q981,FIND("x",Q981)-2)))</f>
        <v>77.5</v>
      </c>
      <c r="S981" s="52">
        <f>_xlfn.NUMBERVALUE(convertNumberStringPointToNumberComma(LEFT(RIGHT(Q981,LEN(Q981)-FIND("x",Q981)-1),LEN(RIGHT(Q981,LEN(Q981)-FIND("x",Q981)-1))-2)))</f>
        <v>94</v>
      </c>
    </row>
    <row r="982" spans="1:19" x14ac:dyDescent="0.25">
      <c r="A982" t="s">
        <v>997</v>
      </c>
      <c r="B982" t="s">
        <v>61</v>
      </c>
      <c r="C982" s="5">
        <f>convertNumberStringPointToNumberComma(IFERROR(LEFT(B982,(FIND("-",B982)-1)),LEFT(B982,FIND("mm",B982)-1)))</f>
        <v>100</v>
      </c>
      <c r="D982" s="5">
        <f>convertNumberStringPointToNumberComma(IFERROR(RIGHT(LEFT(B982,FIND("m",B982)-1),LEN(LEFT(B982,FIND("m",B982)-1))-FIND("-",LEFT(B982,FIND("m",B982)-1))-1),C982))</f>
        <v>100</v>
      </c>
      <c r="E982" t="s">
        <v>2632</v>
      </c>
      <c r="F982" s="9">
        <f>convertNumberStringPointToNumberComma(LEFT(MID(E982,3,9),IFERROR(FIND("-",MID(E982,3,9))-2,3)))</f>
        <v>2.8</v>
      </c>
      <c r="G982" s="9">
        <f>convertNumberStringPointToNumberComma(RIGHT(E982,IF(ISERROR(FIND(".",RIGHT(E982,3))),1,3)))</f>
        <v>2.8</v>
      </c>
      <c r="H982" t="s">
        <v>56</v>
      </c>
      <c r="I982" s="5" t="str">
        <f>IF(H982="none",0,LEFT(H982,LEN(H982)-2))</f>
        <v>67</v>
      </c>
      <c r="J982" s="5" t="s">
        <v>251</v>
      </c>
      <c r="K982" s="10">
        <f>IF(J982="",0,convertNumberStringPointToNumberComma(LEFT(J982,LEN(J982)-1)))</f>
        <v>0.22</v>
      </c>
      <c r="L982" t="s">
        <v>2707</v>
      </c>
      <c r="M982" t="s">
        <v>2682</v>
      </c>
      <c r="N982" t="s">
        <v>913</v>
      </c>
      <c r="O982" t="s">
        <v>96</v>
      </c>
      <c r="P982" s="5" t="str">
        <f>LEFT(O982,LEN(O982)-1)</f>
        <v>625</v>
      </c>
      <c r="Q982" t="s">
        <v>3250</v>
      </c>
      <c r="R982" s="52">
        <f>_xlfn.NUMBERVALUE(convertNumberStringPointToNumberComma(LEFT(Q982,FIND("x",Q982)-2)))</f>
        <v>77.7</v>
      </c>
      <c r="S982" s="52">
        <f>_xlfn.NUMBERVALUE(convertNumberStringPointToNumberComma(LEFT(RIGHT(Q982,LEN(Q982)-FIND("x",Q982)-1),LEN(RIGHT(Q982,LEN(Q982)-FIND("x",Q982)-1))-2)))</f>
        <v>123</v>
      </c>
    </row>
    <row r="983" spans="1:19" x14ac:dyDescent="0.25">
      <c r="A983" t="s">
        <v>1681</v>
      </c>
      <c r="B983" t="s">
        <v>856</v>
      </c>
      <c r="E983" t="s">
        <v>2978</v>
      </c>
      <c r="H983" t="s">
        <v>2668</v>
      </c>
      <c r="M983" t="s">
        <v>2674</v>
      </c>
      <c r="N983" t="s">
        <v>903</v>
      </c>
      <c r="O983" t="s">
        <v>115</v>
      </c>
      <c r="Q983" t="s">
        <v>3627</v>
      </c>
      <c r="R983" s="52">
        <f>_xlfn.NUMBERVALUE(convertNumberStringPointToNumberComma(LEFT(Q983,FIND("x",Q983)-2)))</f>
        <v>77.8</v>
      </c>
      <c r="S983" s="52">
        <f>_xlfn.NUMBERVALUE(convertNumberStringPointToNumberComma(LEFT(RIGHT(Q983,LEN(Q983)-FIND("x",Q983)-1),LEN(RIGHT(Q983,LEN(Q983)-FIND("x",Q983)-1))-2)))</f>
        <v>101.1</v>
      </c>
    </row>
    <row r="984" spans="1:19" x14ac:dyDescent="0.25">
      <c r="A984" t="s">
        <v>2021</v>
      </c>
      <c r="B984" t="s">
        <v>856</v>
      </c>
      <c r="E984" t="s">
        <v>2649</v>
      </c>
      <c r="H984" t="s">
        <v>2668</v>
      </c>
      <c r="M984" t="s">
        <v>2674</v>
      </c>
      <c r="N984" t="s">
        <v>903</v>
      </c>
      <c r="O984" t="s">
        <v>92</v>
      </c>
      <c r="Q984" t="s">
        <v>3627</v>
      </c>
      <c r="R984" s="52">
        <f>_xlfn.NUMBERVALUE(convertNumberStringPointToNumberComma(LEFT(Q984,FIND("x",Q984)-2)))</f>
        <v>77.8</v>
      </c>
      <c r="S984" s="52">
        <f>_xlfn.NUMBERVALUE(convertNumberStringPointToNumberComma(LEFT(RIGHT(Q984,LEN(Q984)-FIND("x",Q984)-1),LEN(RIGHT(Q984,LEN(Q984)-FIND("x",Q984)-1))-2)))</f>
        <v>101.1</v>
      </c>
    </row>
    <row r="985" spans="1:19" x14ac:dyDescent="0.25">
      <c r="A985" t="s">
        <v>1682</v>
      </c>
      <c r="B985" t="s">
        <v>856</v>
      </c>
      <c r="E985" t="s">
        <v>2978</v>
      </c>
      <c r="H985" t="s">
        <v>2668</v>
      </c>
      <c r="M985" t="s">
        <v>2748</v>
      </c>
      <c r="N985" t="s">
        <v>903</v>
      </c>
      <c r="O985" t="s">
        <v>612</v>
      </c>
      <c r="Q985" t="s">
        <v>3628</v>
      </c>
      <c r="R985" s="52">
        <f>_xlfn.NUMBERVALUE(convertNumberStringPointToNumberComma(LEFT(Q985,FIND("x",Q985)-2)))</f>
        <v>77.8</v>
      </c>
      <c r="S985" s="52">
        <f>_xlfn.NUMBERVALUE(convertNumberStringPointToNumberComma(LEFT(RIGHT(Q985,LEN(Q985)-FIND("x",Q985)-1),LEN(RIGHT(Q985,LEN(Q985)-FIND("x",Q985)-1))-2)))</f>
        <v>101.4</v>
      </c>
    </row>
    <row r="986" spans="1:19" x14ac:dyDescent="0.25">
      <c r="A986" t="s">
        <v>2019</v>
      </c>
      <c r="B986" t="s">
        <v>856</v>
      </c>
      <c r="E986" t="s">
        <v>2649</v>
      </c>
      <c r="H986" t="s">
        <v>2668</v>
      </c>
      <c r="M986" t="s">
        <v>2748</v>
      </c>
      <c r="N986" t="s">
        <v>903</v>
      </c>
      <c r="O986" t="s">
        <v>2711</v>
      </c>
      <c r="Q986" t="s">
        <v>3628</v>
      </c>
      <c r="R986" s="52">
        <f>_xlfn.NUMBERVALUE(convertNumberStringPointToNumberComma(LEFT(Q986,FIND("x",Q986)-2)))</f>
        <v>77.8</v>
      </c>
      <c r="S986" s="52">
        <f>_xlfn.NUMBERVALUE(convertNumberStringPointToNumberComma(LEFT(RIGHT(Q986,LEN(Q986)-FIND("x",Q986)-1),LEN(RIGHT(Q986,LEN(Q986)-FIND("x",Q986)-1))-2)))</f>
        <v>101.4</v>
      </c>
    </row>
    <row r="987" spans="1:19" x14ac:dyDescent="0.25">
      <c r="A987" t="s">
        <v>1673</v>
      </c>
      <c r="B987" t="s">
        <v>856</v>
      </c>
      <c r="E987" t="s">
        <v>2978</v>
      </c>
      <c r="H987" t="s">
        <v>2668</v>
      </c>
      <c r="M987" t="s">
        <v>2763</v>
      </c>
      <c r="N987" t="s">
        <v>903</v>
      </c>
      <c r="O987" t="s">
        <v>28</v>
      </c>
      <c r="Q987" t="s">
        <v>3622</v>
      </c>
      <c r="R987" s="52">
        <f>_xlfn.NUMBERVALUE(convertNumberStringPointToNumberComma(LEFT(Q987,FIND("x",Q987)-2)))</f>
        <v>77.8</v>
      </c>
      <c r="S987" s="52">
        <f>_xlfn.NUMBERVALUE(convertNumberStringPointToNumberComma(LEFT(RIGHT(Q987,LEN(Q987)-FIND("x",Q987)-1),LEN(RIGHT(Q987,LEN(Q987)-FIND("x",Q987)-1))-2)))</f>
        <v>101</v>
      </c>
    </row>
    <row r="988" spans="1:19" x14ac:dyDescent="0.25">
      <c r="A988" t="s">
        <v>2018</v>
      </c>
      <c r="B988" t="s">
        <v>856</v>
      </c>
      <c r="E988" t="s">
        <v>2649</v>
      </c>
      <c r="H988" t="s">
        <v>2668</v>
      </c>
      <c r="M988" t="s">
        <v>2763</v>
      </c>
      <c r="N988" t="s">
        <v>903</v>
      </c>
      <c r="O988" t="s">
        <v>33</v>
      </c>
      <c r="Q988" t="s">
        <v>3622</v>
      </c>
      <c r="R988" s="52">
        <f>_xlfn.NUMBERVALUE(convertNumberStringPointToNumberComma(LEFT(Q988,FIND("x",Q988)-2)))</f>
        <v>77.8</v>
      </c>
      <c r="S988" s="52">
        <f>_xlfn.NUMBERVALUE(convertNumberStringPointToNumberComma(LEFT(RIGHT(Q988,LEN(Q988)-FIND("x",Q988)-1),LEN(RIGHT(Q988,LEN(Q988)-FIND("x",Q988)-1))-2)))</f>
        <v>101</v>
      </c>
    </row>
    <row r="989" spans="1:19" x14ac:dyDescent="0.25">
      <c r="A989" t="s">
        <v>1675</v>
      </c>
      <c r="B989" t="s">
        <v>856</v>
      </c>
      <c r="E989" t="s">
        <v>2978</v>
      </c>
      <c r="H989" t="s">
        <v>2668</v>
      </c>
      <c r="M989" t="s">
        <v>8</v>
      </c>
      <c r="N989" t="s">
        <v>903</v>
      </c>
      <c r="O989" t="s">
        <v>327</v>
      </c>
      <c r="Q989" t="s">
        <v>3624</v>
      </c>
      <c r="R989" s="52">
        <f>_xlfn.NUMBERVALUE(convertNumberStringPointToNumberComma(LEFT(Q989,FIND("x",Q989)-2)))</f>
        <v>77.8</v>
      </c>
      <c r="S989" s="52">
        <f>_xlfn.NUMBERVALUE(convertNumberStringPointToNumberComma(LEFT(RIGHT(Q989,LEN(Q989)-FIND("x",Q989)-1),LEN(RIGHT(Q989,LEN(Q989)-FIND("x",Q989)-1))-2)))</f>
        <v>72.599999999999994</v>
      </c>
    </row>
    <row r="990" spans="1:19" x14ac:dyDescent="0.25">
      <c r="A990" t="s">
        <v>2024</v>
      </c>
      <c r="B990" t="s">
        <v>856</v>
      </c>
      <c r="E990" t="s">
        <v>2649</v>
      </c>
      <c r="H990" t="s">
        <v>2668</v>
      </c>
      <c r="M990" t="s">
        <v>8</v>
      </c>
      <c r="N990" t="s">
        <v>903</v>
      </c>
      <c r="O990" t="s">
        <v>2749</v>
      </c>
      <c r="Q990" t="s">
        <v>3624</v>
      </c>
      <c r="R990" s="52">
        <f>_xlfn.NUMBERVALUE(convertNumberStringPointToNumberComma(LEFT(Q990,FIND("x",Q990)-2)))</f>
        <v>77.8</v>
      </c>
      <c r="S990" s="52">
        <f>_xlfn.NUMBERVALUE(convertNumberStringPointToNumberComma(LEFT(RIGHT(Q990,LEN(Q990)-FIND("x",Q990)-1),LEN(RIGHT(Q990,LEN(Q990)-FIND("x",Q990)-1))-2)))</f>
        <v>72.599999999999994</v>
      </c>
    </row>
    <row r="991" spans="1:19" x14ac:dyDescent="0.25">
      <c r="A991" t="s">
        <v>1678</v>
      </c>
      <c r="B991" t="s">
        <v>856</v>
      </c>
      <c r="E991" t="s">
        <v>2978</v>
      </c>
      <c r="H991" t="s">
        <v>2668</v>
      </c>
      <c r="M991" t="s">
        <v>2802</v>
      </c>
      <c r="N991" t="s">
        <v>903</v>
      </c>
      <c r="O991" t="s">
        <v>778</v>
      </c>
      <c r="Q991" t="s">
        <v>3625</v>
      </c>
      <c r="R991" s="52">
        <f>_xlfn.NUMBERVALUE(convertNumberStringPointToNumberComma(LEFT(Q991,FIND("x",Q991)-2)))</f>
        <v>77.8</v>
      </c>
      <c r="S991" s="52">
        <f>_xlfn.NUMBERVALUE(convertNumberStringPointToNumberComma(LEFT(RIGHT(Q991,LEN(Q991)-FIND("x",Q991)-1),LEN(RIGHT(Q991,LEN(Q991)-FIND("x",Q991)-1))-2)))</f>
        <v>73.599999999999994</v>
      </c>
    </row>
    <row r="992" spans="1:19" x14ac:dyDescent="0.25">
      <c r="A992" t="s">
        <v>2023</v>
      </c>
      <c r="B992" t="s">
        <v>856</v>
      </c>
      <c r="E992" t="s">
        <v>2649</v>
      </c>
      <c r="H992" t="s">
        <v>2668</v>
      </c>
      <c r="M992" t="s">
        <v>2802</v>
      </c>
      <c r="N992" t="s">
        <v>903</v>
      </c>
      <c r="O992" t="s">
        <v>778</v>
      </c>
      <c r="Q992" t="s">
        <v>3625</v>
      </c>
      <c r="R992" s="52">
        <f>_xlfn.NUMBERVALUE(convertNumberStringPointToNumberComma(LEFT(Q992,FIND("x",Q992)-2)))</f>
        <v>77.8</v>
      </c>
      <c r="S992" s="52">
        <f>_xlfn.NUMBERVALUE(convertNumberStringPointToNumberComma(LEFT(RIGHT(Q992,LEN(Q992)-FIND("x",Q992)-1),LEN(RIGHT(Q992,LEN(Q992)-FIND("x",Q992)-1))-2)))</f>
        <v>73.599999999999994</v>
      </c>
    </row>
    <row r="993" spans="1:19" x14ac:dyDescent="0.25">
      <c r="A993" t="s">
        <v>1679</v>
      </c>
      <c r="B993" t="s">
        <v>856</v>
      </c>
      <c r="E993" t="s">
        <v>2978</v>
      </c>
      <c r="H993" t="s">
        <v>2668</v>
      </c>
      <c r="M993" t="s">
        <v>2757</v>
      </c>
      <c r="N993" t="s">
        <v>903</v>
      </c>
      <c r="O993" t="s">
        <v>589</v>
      </c>
      <c r="Q993" t="s">
        <v>3626</v>
      </c>
      <c r="R993" s="52">
        <f>_xlfn.NUMBERVALUE(convertNumberStringPointToNumberComma(LEFT(Q993,FIND("x",Q993)-2)))</f>
        <v>77.8</v>
      </c>
      <c r="S993" s="52">
        <f>_xlfn.NUMBERVALUE(convertNumberStringPointToNumberComma(LEFT(RIGHT(Q993,LEN(Q993)-FIND("x",Q993)-1),LEN(RIGHT(Q993,LEN(Q993)-FIND("x",Q993)-1))-2)))</f>
        <v>74.599999999999994</v>
      </c>
    </row>
    <row r="994" spans="1:19" x14ac:dyDescent="0.25">
      <c r="A994" t="s">
        <v>2020</v>
      </c>
      <c r="B994" t="s">
        <v>856</v>
      </c>
      <c r="E994" t="s">
        <v>2649</v>
      </c>
      <c r="H994" t="s">
        <v>2668</v>
      </c>
      <c r="M994" t="s">
        <v>2757</v>
      </c>
      <c r="N994" t="s">
        <v>903</v>
      </c>
      <c r="O994" t="s">
        <v>744</v>
      </c>
      <c r="Q994" t="s">
        <v>3626</v>
      </c>
      <c r="R994" s="52">
        <f>_xlfn.NUMBERVALUE(convertNumberStringPointToNumberComma(LEFT(Q994,FIND("x",Q994)-2)))</f>
        <v>77.8</v>
      </c>
      <c r="S994" s="52">
        <f>_xlfn.NUMBERVALUE(convertNumberStringPointToNumberComma(LEFT(RIGHT(Q994,LEN(Q994)-FIND("x",Q994)-1),LEN(RIGHT(Q994,LEN(Q994)-FIND("x",Q994)-1))-2)))</f>
        <v>74.599999999999994</v>
      </c>
    </row>
    <row r="995" spans="1:19" x14ac:dyDescent="0.25">
      <c r="A995" t="s">
        <v>1672</v>
      </c>
      <c r="B995" t="s">
        <v>856</v>
      </c>
      <c r="E995" t="s">
        <v>2978</v>
      </c>
      <c r="H995" t="s">
        <v>2668</v>
      </c>
      <c r="M995" t="s">
        <v>2682</v>
      </c>
      <c r="N995" t="s">
        <v>903</v>
      </c>
      <c r="O995" t="s">
        <v>297</v>
      </c>
      <c r="Q995" t="s">
        <v>3621</v>
      </c>
      <c r="R995" s="52">
        <f>_xlfn.NUMBERVALUE(convertNumberStringPointToNumberComma(LEFT(Q995,FIND("x",Q995)-2)))</f>
        <v>77.8</v>
      </c>
      <c r="S995" s="52">
        <f>_xlfn.NUMBERVALUE(convertNumberStringPointToNumberComma(LEFT(RIGHT(Q995,LEN(Q995)-FIND("x",Q995)-1),LEN(RIGHT(Q995,LEN(Q995)-FIND("x",Q995)-1))-2)))</f>
        <v>75.099999999999994</v>
      </c>
    </row>
    <row r="996" spans="1:19" x14ac:dyDescent="0.25">
      <c r="A996" t="s">
        <v>2016</v>
      </c>
      <c r="B996" t="s">
        <v>856</v>
      </c>
      <c r="E996" t="s">
        <v>2649</v>
      </c>
      <c r="H996" t="s">
        <v>2668</v>
      </c>
      <c r="M996" t="s">
        <v>2682</v>
      </c>
      <c r="N996" t="s">
        <v>903</v>
      </c>
      <c r="O996" t="s">
        <v>37</v>
      </c>
      <c r="Q996" t="s">
        <v>3621</v>
      </c>
      <c r="R996" s="52">
        <f>_xlfn.NUMBERVALUE(convertNumberStringPointToNumberComma(LEFT(Q996,FIND("x",Q996)-2)))</f>
        <v>77.8</v>
      </c>
      <c r="S996" s="52">
        <f>_xlfn.NUMBERVALUE(convertNumberStringPointToNumberComma(LEFT(RIGHT(Q996,LEN(Q996)-FIND("x",Q996)-1),LEN(RIGHT(Q996,LEN(Q996)-FIND("x",Q996)-1))-2)))</f>
        <v>75.099999999999994</v>
      </c>
    </row>
    <row r="997" spans="1:19" x14ac:dyDescent="0.25">
      <c r="A997" t="s">
        <v>1684</v>
      </c>
      <c r="B997" t="s">
        <v>856</v>
      </c>
      <c r="E997" t="s">
        <v>2978</v>
      </c>
      <c r="H997" t="s">
        <v>2668</v>
      </c>
      <c r="M997" t="s">
        <v>2681</v>
      </c>
      <c r="N997" t="s">
        <v>2681</v>
      </c>
      <c r="O997" t="s">
        <v>37</v>
      </c>
      <c r="Q997" t="s">
        <v>3630</v>
      </c>
      <c r="R997" s="52">
        <f>_xlfn.NUMBERVALUE(convertNumberStringPointToNumberComma(LEFT(Q997,FIND("x",Q997)-2)))</f>
        <v>77.8</v>
      </c>
      <c r="S997" s="52">
        <f>_xlfn.NUMBERVALUE(convertNumberStringPointToNumberComma(LEFT(RIGHT(Q997,LEN(Q997)-FIND("x",Q997)-1),LEN(RIGHT(Q997,LEN(Q997)-FIND("x",Q997)-1))-2)))</f>
        <v>80.400000000000006</v>
      </c>
    </row>
    <row r="998" spans="1:19" x14ac:dyDescent="0.25">
      <c r="A998" t="s">
        <v>2027</v>
      </c>
      <c r="B998" t="s">
        <v>856</v>
      </c>
      <c r="E998" t="s">
        <v>2649</v>
      </c>
      <c r="H998" t="s">
        <v>2668</v>
      </c>
      <c r="M998" t="s">
        <v>2681</v>
      </c>
      <c r="N998" t="s">
        <v>2681</v>
      </c>
      <c r="O998" t="s">
        <v>327</v>
      </c>
      <c r="Q998" t="s">
        <v>3630</v>
      </c>
      <c r="R998" s="52">
        <f>_xlfn.NUMBERVALUE(convertNumberStringPointToNumberComma(LEFT(Q998,FIND("x",Q998)-2)))</f>
        <v>77.8</v>
      </c>
      <c r="S998" s="52">
        <f>_xlfn.NUMBERVALUE(convertNumberStringPointToNumberComma(LEFT(RIGHT(Q998,LEN(Q998)-FIND("x",Q998)-1),LEN(RIGHT(Q998,LEN(Q998)-FIND("x",Q998)-1))-2)))</f>
        <v>80.400000000000006</v>
      </c>
    </row>
    <row r="999" spans="1:19" x14ac:dyDescent="0.25">
      <c r="A999" t="s">
        <v>1683</v>
      </c>
      <c r="B999" t="s">
        <v>856</v>
      </c>
      <c r="E999" t="s">
        <v>2978</v>
      </c>
      <c r="H999" t="s">
        <v>2668</v>
      </c>
      <c r="M999" t="s">
        <v>2804</v>
      </c>
      <c r="N999" t="s">
        <v>903</v>
      </c>
      <c r="O999" t="s">
        <v>100</v>
      </c>
      <c r="Q999" t="s">
        <v>3629</v>
      </c>
      <c r="R999" s="52">
        <f>_xlfn.NUMBERVALUE(convertNumberStringPointToNumberComma(LEFT(Q999,FIND("x",Q999)-2)))</f>
        <v>77.8</v>
      </c>
      <c r="S999" s="52">
        <f>_xlfn.NUMBERVALUE(convertNumberStringPointToNumberComma(LEFT(RIGHT(Q999,LEN(Q999)-FIND("x",Q999)-1),LEN(RIGHT(Q999,LEN(Q999)-FIND("x",Q999)-1))-2)))</f>
        <v>93.6</v>
      </c>
    </row>
    <row r="1000" spans="1:19" x14ac:dyDescent="0.25">
      <c r="A1000" t="s">
        <v>2022</v>
      </c>
      <c r="B1000" t="s">
        <v>856</v>
      </c>
      <c r="E1000" t="s">
        <v>2649</v>
      </c>
      <c r="H1000" t="s">
        <v>2668</v>
      </c>
      <c r="M1000" t="s">
        <v>2804</v>
      </c>
      <c r="N1000" t="s">
        <v>903</v>
      </c>
      <c r="O1000" t="s">
        <v>115</v>
      </c>
      <c r="Q1000" t="s">
        <v>3629</v>
      </c>
      <c r="R1000" s="52">
        <f>_xlfn.NUMBERVALUE(convertNumberStringPointToNumberComma(LEFT(Q1000,FIND("x",Q1000)-2)))</f>
        <v>77.8</v>
      </c>
      <c r="S1000" s="52">
        <f>_xlfn.NUMBERVALUE(convertNumberStringPointToNumberComma(LEFT(RIGHT(Q1000,LEN(Q1000)-FIND("x",Q1000)-1),LEN(RIGHT(Q1000,LEN(Q1000)-FIND("x",Q1000)-1))-2)))</f>
        <v>93.6</v>
      </c>
    </row>
    <row r="1001" spans="1:19" x14ac:dyDescent="0.25">
      <c r="A1001" t="s">
        <v>1685</v>
      </c>
      <c r="B1001" t="s">
        <v>856</v>
      </c>
      <c r="E1001" t="s">
        <v>2978</v>
      </c>
      <c r="H1001" t="s">
        <v>2668</v>
      </c>
      <c r="M1001" t="s">
        <v>2680</v>
      </c>
      <c r="N1001" t="s">
        <v>2681</v>
      </c>
      <c r="O1001" t="s">
        <v>92</v>
      </c>
      <c r="Q1001" t="s">
        <v>3631</v>
      </c>
      <c r="R1001" s="52">
        <f>_xlfn.NUMBERVALUE(convertNumberStringPointToNumberComma(LEFT(Q1001,FIND("x",Q1001)-2)))</f>
        <v>77.8</v>
      </c>
      <c r="S1001" s="52">
        <f>_xlfn.NUMBERVALUE(convertNumberStringPointToNumberComma(LEFT(RIGHT(Q1001,LEN(Q1001)-FIND("x",Q1001)-1),LEN(RIGHT(Q1001,LEN(Q1001)-FIND("x",Q1001)-1))-2)))</f>
        <v>99.9</v>
      </c>
    </row>
    <row r="1002" spans="1:19" x14ac:dyDescent="0.25">
      <c r="A1002" t="s">
        <v>2025</v>
      </c>
      <c r="B1002" t="s">
        <v>856</v>
      </c>
      <c r="E1002" t="s">
        <v>2649</v>
      </c>
      <c r="H1002" t="s">
        <v>2668</v>
      </c>
      <c r="M1002" t="s">
        <v>2680</v>
      </c>
      <c r="N1002" t="s">
        <v>2681</v>
      </c>
      <c r="O1002" t="s">
        <v>37</v>
      </c>
      <c r="Q1002" t="s">
        <v>3631</v>
      </c>
      <c r="R1002" s="52">
        <f>_xlfn.NUMBERVALUE(convertNumberStringPointToNumberComma(LEFT(Q1002,FIND("x",Q1002)-2)))</f>
        <v>77.8</v>
      </c>
      <c r="S1002" s="52">
        <f>_xlfn.NUMBERVALUE(convertNumberStringPointToNumberComma(LEFT(RIGHT(Q1002,LEN(Q1002)-FIND("x",Q1002)-1),LEN(RIGHT(Q1002,LEN(Q1002)-FIND("x",Q1002)-1))-2)))</f>
        <v>99.9</v>
      </c>
    </row>
    <row r="1003" spans="1:19" x14ac:dyDescent="0.25">
      <c r="A1003" t="s">
        <v>1014</v>
      </c>
      <c r="B1003" t="s">
        <v>592</v>
      </c>
      <c r="C1003" s="5">
        <f>convertNumberStringPointToNumberComma(IFERROR(LEFT(B1003,(FIND("-",B1003)-1)),LEFT(B1003,FIND("mm",B1003)-1)))</f>
        <v>35</v>
      </c>
      <c r="D1003" s="5">
        <f>convertNumberStringPointToNumberComma(IFERROR(RIGHT(LEFT(B1003,FIND("m",B1003)-1),LEN(LEFT(B1003,FIND("m",B1003)-1))-FIND("-",LEFT(B1003,FIND("m",B1003)-1))-1),C1003))</f>
        <v>35</v>
      </c>
      <c r="E1003" t="s">
        <v>2638</v>
      </c>
      <c r="F1003" s="9">
        <f>convertNumberStringPointToNumberComma(LEFT(MID(E1003,3,9),IFERROR(FIND("-",MID(E1003,3,9))-2,3)))</f>
        <v>2</v>
      </c>
      <c r="G1003" s="9">
        <f>convertNumberStringPointToNumberComma(RIGHT(E1003,IF(ISERROR(FIND(".",RIGHT(E1003,3))),1,3)))</f>
        <v>2</v>
      </c>
      <c r="H1003" t="s">
        <v>56</v>
      </c>
      <c r="I1003" s="5" t="str">
        <f>IF(H1003="none",0,LEFT(H1003,LEN(H1003)-2))</f>
        <v>67</v>
      </c>
      <c r="J1003" s="5" t="s">
        <v>326</v>
      </c>
      <c r="K1003" s="10">
        <f>IF(J1003="",0,convertNumberStringPointToNumberComma(LEFT(J1003,LEN(J1003)-1)))</f>
        <v>0.33</v>
      </c>
      <c r="L1003" t="s">
        <v>2677</v>
      </c>
      <c r="M1003" t="s">
        <v>2682</v>
      </c>
      <c r="N1003" t="s">
        <v>913</v>
      </c>
      <c r="O1003" t="s">
        <v>719</v>
      </c>
      <c r="P1003" s="5" t="str">
        <f>LEFT(O1003,LEN(O1003)-1)</f>
        <v>335</v>
      </c>
      <c r="Q1003" t="s">
        <v>3263</v>
      </c>
      <c r="R1003" s="52">
        <f>_xlfn.NUMBERVALUE(convertNumberStringPointToNumberComma(LEFT(Q1003,FIND("x",Q1003)-2)))</f>
        <v>77.900000000000006</v>
      </c>
      <c r="S1003" s="52">
        <f>_xlfn.NUMBERVALUE(convertNumberStringPointToNumberComma(LEFT(RIGHT(Q1003,LEN(Q1003)-FIND("x",Q1003)-1),LEN(RIGHT(Q1003,LEN(Q1003)-FIND("x",Q1003)-1))-2)))</f>
        <v>62.6</v>
      </c>
    </row>
    <row r="1004" spans="1:19" x14ac:dyDescent="0.25">
      <c r="A1004" t="s">
        <v>1956</v>
      </c>
      <c r="B1004" t="s">
        <v>822</v>
      </c>
      <c r="E1004" t="s">
        <v>2980</v>
      </c>
      <c r="H1004" t="s">
        <v>15</v>
      </c>
      <c r="M1004" t="s">
        <v>2763</v>
      </c>
      <c r="N1004" t="s">
        <v>903</v>
      </c>
      <c r="O1004" t="s">
        <v>77</v>
      </c>
      <c r="Q1004" t="s">
        <v>3772</v>
      </c>
      <c r="R1004" s="52">
        <f>_xlfn.NUMBERVALUE(convertNumberStringPointToNumberComma(LEFT(Q1004,FIND("x",Q1004)-2)))</f>
        <v>78</v>
      </c>
      <c r="S1004" s="52">
        <f>_xlfn.NUMBERVALUE(convertNumberStringPointToNumberComma(LEFT(RIGHT(Q1004,LEN(Q1004)-FIND("x",Q1004)-1),LEN(RIGHT(Q1004,LEN(Q1004)-FIND("x",Q1004)-1))-2)))</f>
        <v>100.6</v>
      </c>
    </row>
    <row r="1005" spans="1:19" x14ac:dyDescent="0.25">
      <c r="A1005" t="s">
        <v>1967</v>
      </c>
      <c r="B1005" t="s">
        <v>822</v>
      </c>
      <c r="E1005" t="s">
        <v>2643</v>
      </c>
      <c r="H1005" t="s">
        <v>15</v>
      </c>
      <c r="M1005" t="s">
        <v>2763</v>
      </c>
      <c r="N1005" t="s">
        <v>903</v>
      </c>
      <c r="O1005" t="s">
        <v>105</v>
      </c>
      <c r="Q1005" t="s">
        <v>3772</v>
      </c>
      <c r="R1005" s="52">
        <f>_xlfn.NUMBERVALUE(convertNumberStringPointToNumberComma(LEFT(Q1005,FIND("x",Q1005)-2)))</f>
        <v>78</v>
      </c>
      <c r="S1005" s="52">
        <f>_xlfn.NUMBERVALUE(convertNumberStringPointToNumberComma(LEFT(RIGHT(Q1005,LEN(Q1005)-FIND("x",Q1005)-1),LEN(RIGHT(Q1005,LEN(Q1005)-FIND("x",Q1005)-1))-2)))</f>
        <v>100.6</v>
      </c>
    </row>
    <row r="1006" spans="1:19" x14ac:dyDescent="0.25">
      <c r="A1006" t="s">
        <v>1776</v>
      </c>
      <c r="B1006" t="s">
        <v>822</v>
      </c>
      <c r="E1006" t="s">
        <v>2643</v>
      </c>
      <c r="H1006" t="s">
        <v>15</v>
      </c>
      <c r="M1006" t="s">
        <v>2674</v>
      </c>
      <c r="N1006" t="s">
        <v>913</v>
      </c>
      <c r="O1006" t="s">
        <v>105</v>
      </c>
      <c r="Q1006" t="s">
        <v>3682</v>
      </c>
      <c r="R1006" s="52">
        <f>_xlfn.NUMBERVALUE(convertNumberStringPointToNumberComma(LEFT(Q1006,FIND("x",Q1006)-2)))</f>
        <v>78</v>
      </c>
      <c r="S1006" s="52">
        <f>_xlfn.NUMBERVALUE(convertNumberStringPointToNumberComma(LEFT(RIGHT(Q1006,LEN(Q1006)-FIND("x",Q1006)-1),LEN(RIGHT(Q1006,LEN(Q1006)-FIND("x",Q1006)-1))-2)))</f>
        <v>100.7</v>
      </c>
    </row>
    <row r="1007" spans="1:19" x14ac:dyDescent="0.25">
      <c r="A1007" t="s">
        <v>1964</v>
      </c>
      <c r="B1007" t="s">
        <v>822</v>
      </c>
      <c r="E1007" t="s">
        <v>2980</v>
      </c>
      <c r="H1007" t="s">
        <v>15</v>
      </c>
      <c r="M1007" t="s">
        <v>2674</v>
      </c>
      <c r="N1007" t="s">
        <v>913</v>
      </c>
      <c r="O1007" t="s">
        <v>2986</v>
      </c>
      <c r="Q1007" t="s">
        <v>3682</v>
      </c>
      <c r="R1007" s="52">
        <f>_xlfn.NUMBERVALUE(convertNumberStringPointToNumberComma(LEFT(Q1007,FIND("x",Q1007)-2)))</f>
        <v>78</v>
      </c>
      <c r="S1007" s="52">
        <f>_xlfn.NUMBERVALUE(convertNumberStringPointToNumberComma(LEFT(RIGHT(Q1007,LEN(Q1007)-FIND("x",Q1007)-1),LEN(RIGHT(Q1007,LEN(Q1007)-FIND("x",Q1007)-1))-2)))</f>
        <v>100.7</v>
      </c>
    </row>
    <row r="1008" spans="1:19" x14ac:dyDescent="0.25">
      <c r="A1008" t="s">
        <v>1876</v>
      </c>
      <c r="B1008" t="s">
        <v>822</v>
      </c>
      <c r="E1008" t="s">
        <v>2980</v>
      </c>
      <c r="H1008" t="s">
        <v>15</v>
      </c>
      <c r="M1008" t="s">
        <v>2748</v>
      </c>
      <c r="N1008" t="s">
        <v>913</v>
      </c>
      <c r="O1008" t="s">
        <v>555</v>
      </c>
      <c r="Q1008" t="s">
        <v>3728</v>
      </c>
      <c r="R1008" s="52">
        <f>_xlfn.NUMBERVALUE(convertNumberStringPointToNumberComma(LEFT(Q1008,FIND("x",Q1008)-2)))</f>
        <v>78</v>
      </c>
      <c r="S1008" s="52">
        <f>_xlfn.NUMBERVALUE(convertNumberStringPointToNumberComma(LEFT(RIGHT(Q1008,LEN(Q1008)-FIND("x",Q1008)-1),LEN(RIGHT(Q1008,LEN(Q1008)-FIND("x",Q1008)-1))-2)))</f>
        <v>101</v>
      </c>
    </row>
    <row r="1009" spans="1:19" x14ac:dyDescent="0.25">
      <c r="A1009" t="s">
        <v>1957</v>
      </c>
      <c r="B1009" t="s">
        <v>822</v>
      </c>
      <c r="E1009" t="s">
        <v>2980</v>
      </c>
      <c r="H1009" t="s">
        <v>15</v>
      </c>
      <c r="M1009" t="s">
        <v>2748</v>
      </c>
      <c r="N1009" t="s">
        <v>903</v>
      </c>
      <c r="O1009" t="s">
        <v>555</v>
      </c>
      <c r="Q1009" t="s">
        <v>3728</v>
      </c>
      <c r="R1009" s="52">
        <f>_xlfn.NUMBERVALUE(convertNumberStringPointToNumberComma(LEFT(Q1009,FIND("x",Q1009)-2)))</f>
        <v>78</v>
      </c>
      <c r="S1009" s="52">
        <f>_xlfn.NUMBERVALUE(convertNumberStringPointToNumberComma(LEFT(RIGHT(Q1009,LEN(Q1009)-FIND("x",Q1009)-1),LEN(RIGHT(Q1009,LEN(Q1009)-FIND("x",Q1009)-1))-2)))</f>
        <v>101</v>
      </c>
    </row>
    <row r="1010" spans="1:19" x14ac:dyDescent="0.25">
      <c r="A1010" t="s">
        <v>1968</v>
      </c>
      <c r="B1010" t="s">
        <v>822</v>
      </c>
      <c r="E1010" t="s">
        <v>2643</v>
      </c>
      <c r="H1010" t="s">
        <v>15</v>
      </c>
      <c r="M1010" t="s">
        <v>2748</v>
      </c>
      <c r="N1010" t="s">
        <v>903</v>
      </c>
      <c r="O1010" t="s">
        <v>246</v>
      </c>
      <c r="Q1010" t="s">
        <v>3728</v>
      </c>
      <c r="R1010" s="52">
        <f>_xlfn.NUMBERVALUE(convertNumberStringPointToNumberComma(LEFT(Q1010,FIND("x",Q1010)-2)))</f>
        <v>78</v>
      </c>
      <c r="S1010" s="52">
        <f>_xlfn.NUMBERVALUE(convertNumberStringPointToNumberComma(LEFT(RIGHT(Q1010,LEN(Q1010)-FIND("x",Q1010)-1),LEN(RIGHT(Q1010,LEN(Q1010)-FIND("x",Q1010)-1))-2)))</f>
        <v>101</v>
      </c>
    </row>
    <row r="1011" spans="1:19" x14ac:dyDescent="0.25">
      <c r="A1011" t="s">
        <v>930</v>
      </c>
      <c r="B1011" t="s">
        <v>931</v>
      </c>
      <c r="C1011" s="5">
        <f>convertNumberStringPointToNumberComma(IFERROR(LEFT(B1011,(FIND("-",B1011)-1)),LEFT(B1011,FIND("mm",B1011)-1)))</f>
        <v>18</v>
      </c>
      <c r="D1011" s="5">
        <f>convertNumberStringPointToNumberComma(IFERROR(RIGHT(LEFT(B1011,FIND("m",B1011)-1),LEN(LEFT(B1011,FIND("m",B1011)-1))-FIND("-",LEFT(B1011,FIND("m",B1011)-1))-1),C1011))</f>
        <v>5</v>
      </c>
      <c r="E1011" t="s">
        <v>2633</v>
      </c>
      <c r="F1011" s="9">
        <f>convertNumberStringPointToNumberComma(LEFT(MID(E1011,3,9),IFERROR(FIND("-",MID(E1011,3,9))-2,3)))</f>
        <v>4</v>
      </c>
      <c r="G1011" s="9">
        <f>convertNumberStringPointToNumberComma(RIGHT(E1011,IF(ISERROR(FIND(".",RIGHT(E1011,3))),1,3)))</f>
        <v>4</v>
      </c>
      <c r="H1011" t="s">
        <v>15</v>
      </c>
      <c r="I1011" s="5" t="str">
        <f>IF(H1011="none",0,LEFT(H1011,LEN(H1011)-2))</f>
        <v>72</v>
      </c>
      <c r="J1011" s="5" t="s">
        <v>32</v>
      </c>
      <c r="K1011" s="10">
        <f>IF(J1011="",0,convertNumberStringPointToNumberComma(LEFT(J1011,LEN(J1011)-1)))</f>
        <v>0.12</v>
      </c>
      <c r="L1011" t="s">
        <v>2692</v>
      </c>
      <c r="M1011" t="s">
        <v>2674</v>
      </c>
      <c r="N1011" t="s">
        <v>903</v>
      </c>
      <c r="O1011" t="s">
        <v>2693</v>
      </c>
      <c r="P1011" s="5" t="str">
        <f>LEFT(O1011,LEN(O1011)-1)</f>
        <v>427</v>
      </c>
      <c r="Q1011" t="s">
        <v>3206</v>
      </c>
      <c r="R1011" s="52">
        <f>_xlfn.NUMBERVALUE(convertNumberStringPointToNumberComma(LEFT(Q1011,FIND("x",Q1011)-2)))</f>
        <v>78</v>
      </c>
      <c r="S1011" s="52">
        <f>_xlfn.NUMBERVALUE(convertNumberStringPointToNumberComma(LEFT(RIGHT(Q1011,LEN(Q1011)-FIND("x",Q1011)-1),LEN(RIGHT(Q1011,LEN(Q1011)-FIND("x",Q1011)-1))-2)))</f>
        <v>110</v>
      </c>
    </row>
    <row r="1012" spans="1:19" x14ac:dyDescent="0.25">
      <c r="A1012" t="s">
        <v>969</v>
      </c>
      <c r="B1012" t="s">
        <v>970</v>
      </c>
      <c r="C1012" s="5">
        <f>convertNumberStringPointToNumberComma(IFERROR(LEFT(B1012,(FIND("-",B1012)-1)),LEFT(B1012,FIND("mm",B1012)-1)))</f>
        <v>18</v>
      </c>
      <c r="D1012" s="5">
        <f>convertNumberStringPointToNumberComma(IFERROR(RIGHT(LEFT(B1012,FIND("m",B1012)-1),LEN(LEFT(B1012,FIND("m",B1012)-1))-FIND("-",LEFT(B1012,FIND("m",B1012)-1))-1),C1012))</f>
        <v>5</v>
      </c>
      <c r="E1012" t="s">
        <v>2635</v>
      </c>
      <c r="F1012" s="9">
        <f>convertNumberStringPointToNumberComma(LEFT(MID(E1012,3,9),IFERROR(FIND("-",MID(E1012,3,9))-2,3)))</f>
        <v>1.8</v>
      </c>
      <c r="G1012" s="9">
        <f>convertNumberStringPointToNumberComma(RIGHT(E1012,IF(ISERROR(FIND(".",RIGHT(E1012,3))),1,3)))</f>
        <v>1.8</v>
      </c>
      <c r="H1012" t="s">
        <v>15</v>
      </c>
      <c r="I1012" s="5" t="str">
        <f>IF(H1012="none",0,LEFT(H1012,LEN(H1012)-2))</f>
        <v>72</v>
      </c>
      <c r="J1012" s="5" t="s">
        <v>198</v>
      </c>
      <c r="K1012" s="10">
        <f>IF(J1012="",0,convertNumberStringPointToNumberComma(LEFT(J1012,LEN(J1012)-1)))</f>
        <v>0.19</v>
      </c>
      <c r="L1012" t="s">
        <v>2721</v>
      </c>
      <c r="M1012" t="s">
        <v>8</v>
      </c>
      <c r="N1012" t="s">
        <v>903</v>
      </c>
      <c r="O1012" t="s">
        <v>366</v>
      </c>
      <c r="P1012" s="5" t="str">
        <f>LEFT(O1012,LEN(O1012)-1)</f>
        <v>810</v>
      </c>
      <c r="Q1012" t="s">
        <v>367</v>
      </c>
      <c r="R1012" s="52">
        <f>_xlfn.NUMBERVALUE(convertNumberStringPointToNumberComma(LEFT(Q1012,FIND("x",Q1012)-2)))</f>
        <v>78</v>
      </c>
      <c r="S1012" s="52">
        <f>_xlfn.NUMBERVALUE(convertNumberStringPointToNumberComma(LEFT(RIGHT(Q1012,LEN(Q1012)-FIND("x",Q1012)-1),LEN(RIGHT(Q1012,LEN(Q1012)-FIND("x",Q1012)-1))-2)))</f>
        <v>121</v>
      </c>
    </row>
    <row r="1013" spans="1:19" x14ac:dyDescent="0.25">
      <c r="A1013" t="s">
        <v>978</v>
      </c>
      <c r="B1013" t="s">
        <v>970</v>
      </c>
      <c r="C1013" s="5">
        <f>convertNumberStringPointToNumberComma(IFERROR(LEFT(B1013,(FIND("-",B1013)-1)),LEFT(B1013,FIND("mm",B1013)-1)))</f>
        <v>18</v>
      </c>
      <c r="D1013" s="5">
        <f>convertNumberStringPointToNumberComma(IFERROR(RIGHT(LEFT(B1013,FIND("m",B1013)-1),LEN(LEFT(B1013,FIND("m",B1013)-1))-FIND("-",LEFT(B1013,FIND("m",B1013)-1))-1),C1013))</f>
        <v>5</v>
      </c>
      <c r="E1013" t="s">
        <v>2635</v>
      </c>
      <c r="F1013" s="9">
        <f>convertNumberStringPointToNumberComma(LEFT(MID(E1013,3,9),IFERROR(FIND("-",MID(E1013,3,9))-2,3)))</f>
        <v>1.8</v>
      </c>
      <c r="G1013" s="9">
        <f>convertNumberStringPointToNumberComma(RIGHT(E1013,IF(ISERROR(FIND(".",RIGHT(E1013,3))),1,3)))</f>
        <v>1.8</v>
      </c>
      <c r="H1013" t="s">
        <v>15</v>
      </c>
      <c r="I1013" s="5" t="str">
        <f>IF(H1013="none",0,LEFT(H1013,LEN(H1013)-2))</f>
        <v>72</v>
      </c>
      <c r="J1013" s="5"/>
      <c r="K1013" s="10">
        <f>IF(J1013="",0,convertNumberStringPointToNumberComma(LEFT(J1013,LEN(J1013)-1)))</f>
        <v>0</v>
      </c>
      <c r="L1013" t="s">
        <v>2721</v>
      </c>
      <c r="M1013" t="s">
        <v>2708</v>
      </c>
      <c r="N1013" t="s">
        <v>903</v>
      </c>
      <c r="O1013" t="s">
        <v>366</v>
      </c>
      <c r="P1013" s="5" t="str">
        <f>LEFT(O1013,LEN(O1013)-1)</f>
        <v>810</v>
      </c>
      <c r="Q1013" t="s">
        <v>367</v>
      </c>
      <c r="R1013" s="52">
        <f>_xlfn.NUMBERVALUE(convertNumberStringPointToNumberComma(LEFT(Q1013,FIND("x",Q1013)-2)))</f>
        <v>78</v>
      </c>
      <c r="S1013" s="52">
        <f>_xlfn.NUMBERVALUE(convertNumberStringPointToNumberComma(LEFT(RIGHT(Q1013,LEN(Q1013)-FIND("x",Q1013)-1),LEN(RIGHT(Q1013,LEN(Q1013)-FIND("x",Q1013)-1))-2)))</f>
        <v>121</v>
      </c>
    </row>
    <row r="1014" spans="1:19" x14ac:dyDescent="0.25">
      <c r="A1014" t="s">
        <v>1180</v>
      </c>
      <c r="B1014" t="s">
        <v>970</v>
      </c>
      <c r="C1014" s="5">
        <f>convertNumberStringPointToNumberComma(IFERROR(LEFT(B1014,(FIND("-",B1014)-1)),LEFT(B1014,FIND("mm",B1014)-1)))</f>
        <v>18</v>
      </c>
      <c r="D1014" s="5">
        <f>convertNumberStringPointToNumberComma(IFERROR(RIGHT(LEFT(B1014,FIND("m",B1014)-1),LEN(LEFT(B1014,FIND("m",B1014)-1))-FIND("-",LEFT(B1014,FIND("m",B1014)-1))-1),C1014))</f>
        <v>5</v>
      </c>
      <c r="E1014" t="s">
        <v>2635</v>
      </c>
      <c r="F1014" s="9">
        <f>convertNumberStringPointToNumberComma(LEFT(MID(E1014,3,9),IFERROR(FIND("-",MID(E1014,3,9))-2,3)))</f>
        <v>1.8</v>
      </c>
      <c r="G1014" s="9">
        <f>convertNumberStringPointToNumberComma(RIGHT(E1014,IF(ISERROR(FIND(".",RIGHT(E1014,3))),1,3)))</f>
        <v>1.8</v>
      </c>
      <c r="H1014" t="s">
        <v>15</v>
      </c>
      <c r="I1014" s="5" t="str">
        <f>IF(H1014="none",0,LEFT(H1014,LEN(H1014)-2))</f>
        <v>72</v>
      </c>
      <c r="J1014" s="5" t="s">
        <v>63</v>
      </c>
      <c r="K1014" s="10">
        <f>IF(J1014="",0,convertNumberStringPointToNumberComma(LEFT(J1014,LEN(J1014)-1)))</f>
        <v>1</v>
      </c>
      <c r="L1014" t="s">
        <v>2721</v>
      </c>
      <c r="M1014" t="s">
        <v>2757</v>
      </c>
      <c r="N1014" t="s">
        <v>903</v>
      </c>
      <c r="O1014" t="s">
        <v>366</v>
      </c>
      <c r="P1014" s="5" t="str">
        <f>LEFT(O1014,LEN(O1014)-1)</f>
        <v>810</v>
      </c>
      <c r="Q1014" t="s">
        <v>367</v>
      </c>
      <c r="R1014" s="52">
        <f>_xlfn.NUMBERVALUE(convertNumberStringPointToNumberComma(LEFT(Q1014,FIND("x",Q1014)-2)))</f>
        <v>78</v>
      </c>
      <c r="S1014" s="52">
        <f>_xlfn.NUMBERVALUE(convertNumberStringPointToNumberComma(LEFT(RIGHT(Q1014,LEN(Q1014)-FIND("x",Q1014)-1),LEN(RIGHT(Q1014,LEN(Q1014)-FIND("x",Q1014)-1))-2)))</f>
        <v>121</v>
      </c>
    </row>
    <row r="1015" spans="1:19" x14ac:dyDescent="0.25">
      <c r="A1015" t="s">
        <v>1845</v>
      </c>
      <c r="B1015" t="s">
        <v>970</v>
      </c>
      <c r="E1015" t="s">
        <v>2635</v>
      </c>
      <c r="H1015" t="s">
        <v>15</v>
      </c>
      <c r="L1015" t="s">
        <v>2721</v>
      </c>
      <c r="M1015" t="s">
        <v>2802</v>
      </c>
      <c r="N1015" t="s">
        <v>903</v>
      </c>
      <c r="O1015" t="s">
        <v>366</v>
      </c>
      <c r="Q1015" t="s">
        <v>367</v>
      </c>
      <c r="R1015" s="52">
        <f>_xlfn.NUMBERVALUE(convertNumberStringPointToNumberComma(LEFT(Q1015,FIND("x",Q1015)-2)))</f>
        <v>78</v>
      </c>
      <c r="S1015" s="52">
        <f>_xlfn.NUMBERVALUE(convertNumberStringPointToNumberComma(LEFT(RIGHT(Q1015,LEN(Q1015)-FIND("x",Q1015)-1),LEN(RIGHT(Q1015,LEN(Q1015)-FIND("x",Q1015)-1))-2)))</f>
        <v>121</v>
      </c>
    </row>
    <row r="1016" spans="1:19" x14ac:dyDescent="0.25">
      <c r="A1016" t="s">
        <v>2621</v>
      </c>
      <c r="B1016" t="s">
        <v>970</v>
      </c>
      <c r="E1016" t="s">
        <v>2635</v>
      </c>
      <c r="H1016" t="s">
        <v>15</v>
      </c>
      <c r="L1016" t="s">
        <v>2721</v>
      </c>
      <c r="M1016" t="s">
        <v>2793</v>
      </c>
      <c r="N1016" t="s">
        <v>903</v>
      </c>
      <c r="O1016" t="s">
        <v>366</v>
      </c>
      <c r="Q1016" t="s">
        <v>367</v>
      </c>
      <c r="R1016" s="52">
        <f>_xlfn.NUMBERVALUE(convertNumberStringPointToNumberComma(LEFT(Q1016,FIND("x",Q1016)-2)))</f>
        <v>78</v>
      </c>
      <c r="S1016" s="52">
        <f>_xlfn.NUMBERVALUE(convertNumberStringPointToNumberComma(LEFT(RIGHT(Q1016,LEN(Q1016)-FIND("x",Q1016)-1),LEN(RIGHT(Q1016,LEN(Q1016)-FIND("x",Q1016)-1))-2)))</f>
        <v>121</v>
      </c>
    </row>
    <row r="1017" spans="1:19" x14ac:dyDescent="0.25">
      <c r="A1017" t="s">
        <v>1057</v>
      </c>
      <c r="B1017" t="s">
        <v>933</v>
      </c>
      <c r="C1017" s="5">
        <f>convertNumberStringPointToNumberComma(IFERROR(LEFT(B1017,(FIND("-",B1017)-1)),LEFT(B1017,FIND("mm",B1017)-1)))</f>
        <v>70</v>
      </c>
      <c r="D1017" s="5">
        <f>convertNumberStringPointToNumberComma(IFERROR(RIGHT(LEFT(B1017,FIND("m",B1017)-1),LEN(LEFT(B1017,FIND("m",B1017)-1))-FIND("-",LEFT(B1017,FIND("m",B1017)-1))-1),C1017))</f>
        <v>0</v>
      </c>
      <c r="E1017" t="s">
        <v>2633</v>
      </c>
      <c r="F1017" s="9">
        <f>convertNumberStringPointToNumberComma(LEFT(MID(E1017,3,9),IFERROR(FIND("-",MID(E1017,3,9))-2,3)))</f>
        <v>4</v>
      </c>
      <c r="G1017" s="9">
        <f>convertNumberStringPointToNumberComma(RIGHT(E1017,IF(ISERROR(FIND(".",RIGHT(E1017,3))),1,3)))</f>
        <v>4</v>
      </c>
      <c r="H1017" t="s">
        <v>56</v>
      </c>
      <c r="I1017" s="5" t="str">
        <f>IF(H1017="none",0,LEFT(H1017,LEN(H1017)-2))</f>
        <v>67</v>
      </c>
      <c r="J1017" s="5" t="s">
        <v>333</v>
      </c>
      <c r="K1017" s="10">
        <f>IF(J1017="",0,convertNumberStringPointToNumberComma(LEFT(J1017,LEN(J1017)-1)))</f>
        <v>0.27</v>
      </c>
      <c r="L1017" t="s">
        <v>2768</v>
      </c>
      <c r="M1017" t="s">
        <v>8</v>
      </c>
      <c r="N1017" t="s">
        <v>913</v>
      </c>
      <c r="O1017" t="s">
        <v>759</v>
      </c>
      <c r="P1017" s="5" t="str">
        <f>LEFT(O1017,LEN(O1017)-1)</f>
        <v>850</v>
      </c>
      <c r="Q1017" t="s">
        <v>760</v>
      </c>
      <c r="R1017" s="52">
        <f>_xlfn.NUMBERVALUE(convertNumberStringPointToNumberComma(LEFT(Q1017,FIND("x",Q1017)-2)))</f>
        <v>78</v>
      </c>
      <c r="S1017" s="52">
        <f>_xlfn.NUMBERVALUE(convertNumberStringPointToNumberComma(LEFT(RIGHT(Q1017,LEN(Q1017)-FIND("x",Q1017)-1),LEN(RIGHT(Q1017,LEN(Q1017)-FIND("x",Q1017)-1))-2)))</f>
        <v>179</v>
      </c>
    </row>
    <row r="1018" spans="1:19" x14ac:dyDescent="0.25">
      <c r="A1018" t="s">
        <v>1710</v>
      </c>
      <c r="B1018" t="s">
        <v>960</v>
      </c>
      <c r="E1018" t="s">
        <v>2632</v>
      </c>
      <c r="H1018" t="s">
        <v>15</v>
      </c>
      <c r="L1018" t="s">
        <v>2985</v>
      </c>
      <c r="M1018" t="s">
        <v>2748</v>
      </c>
      <c r="N1018" t="s">
        <v>903</v>
      </c>
      <c r="O1018" t="s">
        <v>2826</v>
      </c>
      <c r="Q1018" t="s">
        <v>3646</v>
      </c>
      <c r="R1018" s="52">
        <f>_xlfn.NUMBERVALUE(convertNumberStringPointToNumberComma(LEFT(Q1018,FIND("x",Q1018)-2)))</f>
        <v>78</v>
      </c>
      <c r="S1018" s="52">
        <f>_xlfn.NUMBERVALUE(convertNumberStringPointToNumberComma(LEFT(RIGHT(Q1018,LEN(Q1018)-FIND("x",Q1018)-1),LEN(RIGHT(Q1018,LEN(Q1018)-FIND("x",Q1018)-1))-2)))</f>
        <v>65.8</v>
      </c>
    </row>
    <row r="1019" spans="1:19" x14ac:dyDescent="0.25">
      <c r="A1019" t="s">
        <v>1134</v>
      </c>
      <c r="B1019" t="s">
        <v>822</v>
      </c>
      <c r="C1019" s="5">
        <f>convertNumberStringPointToNumberComma(IFERROR(LEFT(B1019,(FIND("-",B1019)-1)),LEFT(B1019,FIND("mm",B1019)-1)))</f>
        <v>85</v>
      </c>
      <c r="D1019" s="5">
        <f>convertNumberStringPointToNumberComma(IFERROR(RIGHT(LEFT(B1019,FIND("m",B1019)-1),LEN(LEFT(B1019,FIND("m",B1019)-1))-FIND("-",LEFT(B1019,FIND("m",B1019)-1))-1),C1019))</f>
        <v>85</v>
      </c>
      <c r="E1019" t="s">
        <v>2643</v>
      </c>
      <c r="F1019" s="9">
        <f>convertNumberStringPointToNumberComma(LEFT(MID(E1019,3,9),IFERROR(FIND("-",MID(E1019,3,9))-2,3)))</f>
        <v>1.4</v>
      </c>
      <c r="G1019" s="9">
        <f>convertNumberStringPointToNumberComma(RIGHT(E1019,IF(ISERROR(FIND(".",RIGHT(E1019,3))),1,3)))</f>
        <v>1.4</v>
      </c>
      <c r="H1019" t="s">
        <v>15</v>
      </c>
      <c r="I1019" s="5" t="str">
        <f>IF(H1019="none",0,LEFT(H1019,LEN(H1019)-2))</f>
        <v>72</v>
      </c>
      <c r="J1019" s="5" t="s">
        <v>68</v>
      </c>
      <c r="K1019" s="10">
        <f>IF(J1019="",0,convertNumberStringPointToNumberComma(LEFT(J1019,LEN(J1019)-1)))</f>
        <v>0.5</v>
      </c>
      <c r="M1019" t="s">
        <v>8</v>
      </c>
      <c r="N1019" t="s">
        <v>913</v>
      </c>
      <c r="O1019" t="s">
        <v>549</v>
      </c>
      <c r="P1019" s="5" t="str">
        <f>LEFT(O1019,LEN(O1019)-1)</f>
        <v>510</v>
      </c>
      <c r="Q1019" t="s">
        <v>3325</v>
      </c>
      <c r="R1019" s="52">
        <f>_xlfn.NUMBERVALUE(convertNumberStringPointToNumberComma(LEFT(Q1019,FIND("x",Q1019)-2)))</f>
        <v>78</v>
      </c>
      <c r="S1019" s="52">
        <f>_xlfn.NUMBERVALUE(convertNumberStringPointToNumberComma(LEFT(RIGHT(Q1019,LEN(Q1019)-FIND("x",Q1019)-1),LEN(RIGHT(Q1019,LEN(Q1019)-FIND("x",Q1019)-1))-2)))</f>
        <v>72.2</v>
      </c>
    </row>
    <row r="1020" spans="1:19" x14ac:dyDescent="0.25">
      <c r="A1020" t="s">
        <v>1302</v>
      </c>
      <c r="B1020" t="s">
        <v>822</v>
      </c>
      <c r="E1020" t="s">
        <v>2643</v>
      </c>
      <c r="H1020" t="s">
        <v>15</v>
      </c>
      <c r="M1020" t="s">
        <v>8</v>
      </c>
      <c r="N1020" t="s">
        <v>913</v>
      </c>
      <c r="O1020" t="s">
        <v>837</v>
      </c>
      <c r="Q1020" t="s">
        <v>3325</v>
      </c>
      <c r="R1020" s="52">
        <f>_xlfn.NUMBERVALUE(convertNumberStringPointToNumberComma(LEFT(Q1020,FIND("x",Q1020)-2)))</f>
        <v>78</v>
      </c>
      <c r="S1020" s="52">
        <f>_xlfn.NUMBERVALUE(convertNumberStringPointToNumberComma(LEFT(RIGHT(Q1020,LEN(Q1020)-FIND("x",Q1020)-1),LEN(RIGHT(Q1020,LEN(Q1020)-FIND("x",Q1020)-1))-2)))</f>
        <v>72.2</v>
      </c>
    </row>
    <row r="1021" spans="1:19" x14ac:dyDescent="0.25">
      <c r="A1021" t="s">
        <v>1590</v>
      </c>
      <c r="B1021" t="s">
        <v>822</v>
      </c>
      <c r="E1021" t="s">
        <v>2643</v>
      </c>
      <c r="H1021" t="s">
        <v>15</v>
      </c>
      <c r="M1021" t="s">
        <v>2682</v>
      </c>
      <c r="N1021" t="s">
        <v>913</v>
      </c>
      <c r="O1021" t="s">
        <v>2950</v>
      </c>
      <c r="Q1021" t="s">
        <v>3325</v>
      </c>
      <c r="R1021" s="52">
        <f>_xlfn.NUMBERVALUE(convertNumberStringPointToNumberComma(LEFT(Q1021,FIND("x",Q1021)-2)))</f>
        <v>78</v>
      </c>
      <c r="S1021" s="52">
        <f>_xlfn.NUMBERVALUE(convertNumberStringPointToNumberComma(LEFT(RIGHT(Q1021,LEN(Q1021)-FIND("x",Q1021)-1),LEN(RIGHT(Q1021,LEN(Q1021)-FIND("x",Q1021)-1))-2)))</f>
        <v>72.2</v>
      </c>
    </row>
    <row r="1022" spans="1:19" x14ac:dyDescent="0.25">
      <c r="A1022" t="s">
        <v>1896</v>
      </c>
      <c r="B1022" t="s">
        <v>822</v>
      </c>
      <c r="E1022" t="s">
        <v>2643</v>
      </c>
      <c r="H1022" t="s">
        <v>15</v>
      </c>
      <c r="M1022" t="s">
        <v>2804</v>
      </c>
      <c r="N1022" t="s">
        <v>903</v>
      </c>
      <c r="O1022" t="s">
        <v>2950</v>
      </c>
      <c r="Q1022" t="s">
        <v>3325</v>
      </c>
      <c r="R1022" s="52">
        <f>_xlfn.NUMBERVALUE(convertNumberStringPointToNumberComma(LEFT(Q1022,FIND("x",Q1022)-2)))</f>
        <v>78</v>
      </c>
      <c r="S1022" s="52">
        <f>_xlfn.NUMBERVALUE(convertNumberStringPointToNumberComma(LEFT(RIGHT(Q1022,LEN(Q1022)-FIND("x",Q1022)-1),LEN(RIGHT(Q1022,LEN(Q1022)-FIND("x",Q1022)-1))-2)))</f>
        <v>72.2</v>
      </c>
    </row>
    <row r="1023" spans="1:19" x14ac:dyDescent="0.25">
      <c r="A1023" t="s">
        <v>1960</v>
      </c>
      <c r="B1023" t="s">
        <v>822</v>
      </c>
      <c r="E1023" t="s">
        <v>2980</v>
      </c>
      <c r="H1023" t="s">
        <v>15</v>
      </c>
      <c r="M1023" t="s">
        <v>8</v>
      </c>
      <c r="N1023" t="s">
        <v>913</v>
      </c>
      <c r="O1023" t="s">
        <v>111</v>
      </c>
      <c r="Q1023" t="s">
        <v>3325</v>
      </c>
      <c r="R1023" s="52">
        <f>_xlfn.NUMBERVALUE(convertNumberStringPointToNumberComma(LEFT(Q1023,FIND("x",Q1023)-2)))</f>
        <v>78</v>
      </c>
      <c r="S1023" s="52">
        <f>_xlfn.NUMBERVALUE(convertNumberStringPointToNumberComma(LEFT(RIGHT(Q1023,LEN(Q1023)-FIND("x",Q1023)-1),LEN(RIGHT(Q1023,LEN(Q1023)-FIND("x",Q1023)-1))-2)))</f>
        <v>72.2</v>
      </c>
    </row>
    <row r="1024" spans="1:19" x14ac:dyDescent="0.25">
      <c r="A1024" t="s">
        <v>2182</v>
      </c>
      <c r="B1024" t="s">
        <v>822</v>
      </c>
      <c r="E1024" t="s">
        <v>2643</v>
      </c>
      <c r="H1024" t="s">
        <v>15</v>
      </c>
      <c r="M1024" t="s">
        <v>2802</v>
      </c>
      <c r="N1024" t="s">
        <v>913</v>
      </c>
      <c r="O1024" t="s">
        <v>2950</v>
      </c>
      <c r="Q1024" t="s">
        <v>3325</v>
      </c>
      <c r="R1024" s="52">
        <f>_xlfn.NUMBERVALUE(convertNumberStringPointToNumberComma(LEFT(Q1024,FIND("x",Q1024)-2)))</f>
        <v>78</v>
      </c>
      <c r="S1024" s="52">
        <f>_xlfn.NUMBERVALUE(convertNumberStringPointToNumberComma(LEFT(RIGHT(Q1024,LEN(Q1024)-FIND("x",Q1024)-1),LEN(RIGHT(Q1024,LEN(Q1024)-FIND("x",Q1024)-1))-2)))</f>
        <v>72.2</v>
      </c>
    </row>
    <row r="1025" spans="1:19" x14ac:dyDescent="0.25">
      <c r="A1025" t="s">
        <v>2183</v>
      </c>
      <c r="B1025" t="s">
        <v>822</v>
      </c>
      <c r="E1025" t="s">
        <v>2643</v>
      </c>
      <c r="H1025" t="s">
        <v>15</v>
      </c>
      <c r="M1025" t="s">
        <v>2757</v>
      </c>
      <c r="N1025" t="s">
        <v>913</v>
      </c>
      <c r="O1025" t="s">
        <v>2950</v>
      </c>
      <c r="Q1025" t="s">
        <v>3325</v>
      </c>
      <c r="R1025" s="52">
        <f>_xlfn.NUMBERVALUE(convertNumberStringPointToNumberComma(LEFT(Q1025,FIND("x",Q1025)-2)))</f>
        <v>78</v>
      </c>
      <c r="S1025" s="52">
        <f>_xlfn.NUMBERVALUE(convertNumberStringPointToNumberComma(LEFT(RIGHT(Q1025,LEN(Q1025)-FIND("x",Q1025)-1),LEN(RIGHT(Q1025,LEN(Q1025)-FIND("x",Q1025)-1))-2)))</f>
        <v>72.2</v>
      </c>
    </row>
    <row r="1026" spans="1:19" x14ac:dyDescent="0.25">
      <c r="A1026" t="s">
        <v>1962</v>
      </c>
      <c r="B1026" t="s">
        <v>822</v>
      </c>
      <c r="E1026" t="s">
        <v>2980</v>
      </c>
      <c r="H1026" t="s">
        <v>15</v>
      </c>
      <c r="M1026" t="s">
        <v>2802</v>
      </c>
      <c r="N1026" t="s">
        <v>913</v>
      </c>
      <c r="O1026" t="s">
        <v>108</v>
      </c>
      <c r="Q1026" t="s">
        <v>3775</v>
      </c>
      <c r="R1026" s="52">
        <f>_xlfn.NUMBERVALUE(convertNumberStringPointToNumberComma(LEFT(Q1026,FIND("x",Q1026)-2)))</f>
        <v>78</v>
      </c>
      <c r="S1026" s="52">
        <f>_xlfn.NUMBERVALUE(convertNumberStringPointToNumberComma(LEFT(RIGHT(Q1026,LEN(Q1026)-FIND("x",Q1026)-1),LEN(RIGHT(Q1026,LEN(Q1026)-FIND("x",Q1026)-1))-2)))</f>
        <v>73.2</v>
      </c>
    </row>
    <row r="1027" spans="1:19" x14ac:dyDescent="0.25">
      <c r="A1027" t="s">
        <v>1702</v>
      </c>
      <c r="B1027" t="s">
        <v>822</v>
      </c>
      <c r="E1027" t="s">
        <v>2643</v>
      </c>
      <c r="H1027" t="s">
        <v>15</v>
      </c>
      <c r="M1027" t="s">
        <v>2757</v>
      </c>
      <c r="N1027" t="s">
        <v>903</v>
      </c>
      <c r="O1027" t="s">
        <v>612</v>
      </c>
      <c r="Q1027" t="s">
        <v>3638</v>
      </c>
      <c r="R1027" s="52">
        <f>_xlfn.NUMBERVALUE(convertNumberStringPointToNumberComma(LEFT(Q1027,FIND("x",Q1027)-2)))</f>
        <v>78</v>
      </c>
      <c r="S1027" s="52">
        <f>_xlfn.NUMBERVALUE(convertNumberStringPointToNumberComma(LEFT(RIGHT(Q1027,LEN(Q1027)-FIND("x",Q1027)-1),LEN(RIGHT(Q1027,LEN(Q1027)-FIND("x",Q1027)-1))-2)))</f>
        <v>74.2</v>
      </c>
    </row>
    <row r="1028" spans="1:19" x14ac:dyDescent="0.25">
      <c r="A1028" t="s">
        <v>1965</v>
      </c>
      <c r="B1028" t="s">
        <v>822</v>
      </c>
      <c r="E1028" t="s">
        <v>2980</v>
      </c>
      <c r="H1028" t="s">
        <v>15</v>
      </c>
      <c r="M1028" t="s">
        <v>2757</v>
      </c>
      <c r="N1028" t="s">
        <v>913</v>
      </c>
      <c r="O1028" t="s">
        <v>105</v>
      </c>
      <c r="Q1028" t="s">
        <v>3638</v>
      </c>
      <c r="R1028" s="52">
        <f>_xlfn.NUMBERVALUE(convertNumberStringPointToNumberComma(LEFT(Q1028,FIND("x",Q1028)-2)))</f>
        <v>78</v>
      </c>
      <c r="S1028" s="52">
        <f>_xlfn.NUMBERVALUE(convertNumberStringPointToNumberComma(LEFT(RIGHT(Q1028,LEN(Q1028)-FIND("x",Q1028)-1),LEN(RIGHT(Q1028,LEN(Q1028)-FIND("x",Q1028)-1))-2)))</f>
        <v>74.2</v>
      </c>
    </row>
    <row r="1029" spans="1:19" x14ac:dyDescent="0.25">
      <c r="A1029" t="s">
        <v>1955</v>
      </c>
      <c r="B1029" t="s">
        <v>822</v>
      </c>
      <c r="E1029" t="s">
        <v>2980</v>
      </c>
      <c r="H1029" t="s">
        <v>15</v>
      </c>
      <c r="M1029" t="s">
        <v>2682</v>
      </c>
      <c r="N1029" t="s">
        <v>913</v>
      </c>
      <c r="O1029" t="s">
        <v>726</v>
      </c>
      <c r="Q1029" t="s">
        <v>3771</v>
      </c>
      <c r="R1029" s="52">
        <f>_xlfn.NUMBERVALUE(convertNumberStringPointToNumberComma(LEFT(Q1029,FIND("x",Q1029)-2)))</f>
        <v>78</v>
      </c>
      <c r="S1029" s="52">
        <f>_xlfn.NUMBERVALUE(convertNumberStringPointToNumberComma(LEFT(RIGHT(Q1029,LEN(Q1029)-FIND("x",Q1029)-1),LEN(RIGHT(Q1029,LEN(Q1029)-FIND("x",Q1029)-1))-2)))</f>
        <v>74.7</v>
      </c>
    </row>
    <row r="1030" spans="1:19" x14ac:dyDescent="0.25">
      <c r="A1030" t="s">
        <v>1294</v>
      </c>
      <c r="B1030" t="s">
        <v>822</v>
      </c>
      <c r="E1030" t="s">
        <v>2643</v>
      </c>
      <c r="H1030" t="s">
        <v>15</v>
      </c>
      <c r="M1030" t="s">
        <v>2802</v>
      </c>
      <c r="N1030" t="s">
        <v>913</v>
      </c>
      <c r="O1030" t="s">
        <v>2866</v>
      </c>
      <c r="Q1030" t="s">
        <v>3415</v>
      </c>
      <c r="R1030" s="52">
        <f>_xlfn.NUMBERVALUE(convertNumberStringPointToNumberComma(LEFT(Q1030,FIND("x",Q1030)-2)))</f>
        <v>78</v>
      </c>
      <c r="S1030" s="52">
        <f>_xlfn.NUMBERVALUE(convertNumberStringPointToNumberComma(LEFT(RIGHT(Q1030,LEN(Q1030)-FIND("x",Q1030)-1),LEN(RIGHT(Q1030,LEN(Q1030)-FIND("x",Q1030)-1))-2)))</f>
        <v>75</v>
      </c>
    </row>
    <row r="1031" spans="1:19" x14ac:dyDescent="0.25">
      <c r="A1031" t="s">
        <v>1295</v>
      </c>
      <c r="B1031" t="s">
        <v>822</v>
      </c>
      <c r="E1031" t="s">
        <v>2643</v>
      </c>
      <c r="H1031" t="s">
        <v>15</v>
      </c>
      <c r="M1031" t="s">
        <v>2682</v>
      </c>
      <c r="N1031" t="s">
        <v>913</v>
      </c>
      <c r="O1031" t="s">
        <v>2866</v>
      </c>
      <c r="Q1031" t="s">
        <v>3415</v>
      </c>
      <c r="R1031" s="52">
        <f>_xlfn.NUMBERVALUE(convertNumberStringPointToNumberComma(LEFT(Q1031,FIND("x",Q1031)-2)))</f>
        <v>78</v>
      </c>
      <c r="S1031" s="52">
        <f>_xlfn.NUMBERVALUE(convertNumberStringPointToNumberComma(LEFT(RIGHT(Q1031,LEN(Q1031)-FIND("x",Q1031)-1),LEN(RIGHT(Q1031,LEN(Q1031)-FIND("x",Q1031)-1))-2)))</f>
        <v>75</v>
      </c>
    </row>
    <row r="1032" spans="1:19" x14ac:dyDescent="0.25">
      <c r="A1032" t="s">
        <v>2116</v>
      </c>
      <c r="B1032" t="s">
        <v>822</v>
      </c>
      <c r="E1032" t="s">
        <v>2643</v>
      </c>
      <c r="H1032" t="s">
        <v>15</v>
      </c>
      <c r="M1032" t="s">
        <v>2757</v>
      </c>
      <c r="N1032" t="s">
        <v>913</v>
      </c>
      <c r="O1032" t="s">
        <v>2866</v>
      </c>
      <c r="Q1032" t="s">
        <v>3415</v>
      </c>
      <c r="R1032" s="52">
        <f>_xlfn.NUMBERVALUE(convertNumberStringPointToNumberComma(LEFT(Q1032,FIND("x",Q1032)-2)))</f>
        <v>78</v>
      </c>
      <c r="S1032" s="52">
        <f>_xlfn.NUMBERVALUE(convertNumberStringPointToNumberComma(LEFT(RIGHT(Q1032,LEN(Q1032)-FIND("x",Q1032)-1),LEN(RIGHT(Q1032,LEN(Q1032)-FIND("x",Q1032)-1))-2)))</f>
        <v>75</v>
      </c>
    </row>
    <row r="1033" spans="1:19" x14ac:dyDescent="0.25">
      <c r="A1033" t="s">
        <v>2128</v>
      </c>
      <c r="B1033" t="s">
        <v>822</v>
      </c>
      <c r="E1033" t="s">
        <v>2643</v>
      </c>
      <c r="H1033" t="s">
        <v>15</v>
      </c>
      <c r="M1033" t="s">
        <v>2804</v>
      </c>
      <c r="N1033" t="s">
        <v>903</v>
      </c>
      <c r="O1033" t="s">
        <v>2866</v>
      </c>
      <c r="Q1033" t="s">
        <v>3415</v>
      </c>
      <c r="R1033" s="52">
        <f>_xlfn.NUMBERVALUE(convertNumberStringPointToNumberComma(LEFT(Q1033,FIND("x",Q1033)-2)))</f>
        <v>78</v>
      </c>
      <c r="S1033" s="52">
        <f>_xlfn.NUMBERVALUE(convertNumberStringPointToNumberComma(LEFT(RIGHT(Q1033,LEN(Q1033)-FIND("x",Q1033)-1),LEN(RIGHT(Q1033,LEN(Q1033)-FIND("x",Q1033)-1))-2)))</f>
        <v>75</v>
      </c>
    </row>
    <row r="1034" spans="1:19" x14ac:dyDescent="0.25">
      <c r="A1034" t="s">
        <v>2129</v>
      </c>
      <c r="B1034" t="s">
        <v>822</v>
      </c>
      <c r="E1034" t="s">
        <v>2643</v>
      </c>
      <c r="H1034" t="s">
        <v>15</v>
      </c>
      <c r="M1034" t="s">
        <v>8</v>
      </c>
      <c r="N1034" t="s">
        <v>913</v>
      </c>
      <c r="O1034" t="s">
        <v>2866</v>
      </c>
      <c r="Q1034" t="s">
        <v>3415</v>
      </c>
      <c r="R1034" s="52">
        <f>_xlfn.NUMBERVALUE(convertNumberStringPointToNumberComma(LEFT(Q1034,FIND("x",Q1034)-2)))</f>
        <v>78</v>
      </c>
      <c r="S1034" s="52">
        <f>_xlfn.NUMBERVALUE(convertNumberStringPointToNumberComma(LEFT(RIGHT(Q1034,LEN(Q1034)-FIND("x",Q1034)-1),LEN(RIGHT(Q1034,LEN(Q1034)-FIND("x",Q1034)-1))-2)))</f>
        <v>75</v>
      </c>
    </row>
    <row r="1035" spans="1:19" x14ac:dyDescent="0.25">
      <c r="A1035" t="s">
        <v>2135</v>
      </c>
      <c r="B1035" t="s">
        <v>822</v>
      </c>
      <c r="E1035" t="s">
        <v>2643</v>
      </c>
      <c r="H1035" t="s">
        <v>15</v>
      </c>
      <c r="M1035" t="s">
        <v>2681</v>
      </c>
      <c r="N1035" t="s">
        <v>2681</v>
      </c>
      <c r="O1035" t="s">
        <v>2866</v>
      </c>
      <c r="Q1035" t="s">
        <v>3415</v>
      </c>
      <c r="R1035" s="52">
        <f>_xlfn.NUMBERVALUE(convertNumberStringPointToNumberComma(LEFT(Q1035,FIND("x",Q1035)-2)))</f>
        <v>78</v>
      </c>
      <c r="S1035" s="52">
        <f>_xlfn.NUMBERVALUE(convertNumberStringPointToNumberComma(LEFT(RIGHT(Q1035,LEN(Q1035)-FIND("x",Q1035)-1),LEN(RIGHT(Q1035,LEN(Q1035)-FIND("x",Q1035)-1))-2)))</f>
        <v>75</v>
      </c>
    </row>
    <row r="1036" spans="1:19" x14ac:dyDescent="0.25">
      <c r="A1036" t="s">
        <v>2137</v>
      </c>
      <c r="B1036" t="s">
        <v>822</v>
      </c>
      <c r="E1036" t="s">
        <v>2980</v>
      </c>
      <c r="M1036" t="s">
        <v>2682</v>
      </c>
      <c r="N1036" t="s">
        <v>913</v>
      </c>
      <c r="O1036" t="s">
        <v>3078</v>
      </c>
      <c r="Q1036" t="s">
        <v>3415</v>
      </c>
      <c r="R1036" s="52">
        <f>_xlfn.NUMBERVALUE(convertNumberStringPointToNumberComma(LEFT(Q1036,FIND("x",Q1036)-2)))</f>
        <v>78</v>
      </c>
      <c r="S1036" s="52">
        <f>_xlfn.NUMBERVALUE(convertNumberStringPointToNumberComma(LEFT(RIGHT(Q1036,LEN(Q1036)-FIND("x",Q1036)-1),LEN(RIGHT(Q1036,LEN(Q1036)-FIND("x",Q1036)-1))-2)))</f>
        <v>75</v>
      </c>
    </row>
    <row r="1037" spans="1:19" x14ac:dyDescent="0.25">
      <c r="A1037" t="s">
        <v>2138</v>
      </c>
      <c r="B1037" t="s">
        <v>822</v>
      </c>
      <c r="E1037" t="s">
        <v>2980</v>
      </c>
      <c r="M1037" t="s">
        <v>8</v>
      </c>
      <c r="N1037" t="s">
        <v>913</v>
      </c>
      <c r="O1037" t="s">
        <v>3078</v>
      </c>
      <c r="Q1037" t="s">
        <v>3415</v>
      </c>
      <c r="R1037" s="52">
        <f>_xlfn.NUMBERVALUE(convertNumberStringPointToNumberComma(LEFT(Q1037,FIND("x",Q1037)-2)))</f>
        <v>78</v>
      </c>
      <c r="S1037" s="52">
        <f>_xlfn.NUMBERVALUE(convertNumberStringPointToNumberComma(LEFT(RIGHT(Q1037,LEN(Q1037)-FIND("x",Q1037)-1),LEN(RIGHT(Q1037,LEN(Q1037)-FIND("x",Q1037)-1))-2)))</f>
        <v>75</v>
      </c>
    </row>
    <row r="1038" spans="1:19" x14ac:dyDescent="0.25">
      <c r="A1038" t="s">
        <v>2354</v>
      </c>
      <c r="B1038" t="s">
        <v>822</v>
      </c>
      <c r="E1038" t="s">
        <v>2643</v>
      </c>
      <c r="H1038" t="s">
        <v>15</v>
      </c>
      <c r="M1038" t="s">
        <v>2674</v>
      </c>
      <c r="N1038" t="s">
        <v>903</v>
      </c>
      <c r="O1038" t="s">
        <v>2866</v>
      </c>
      <c r="Q1038" t="s">
        <v>3415</v>
      </c>
      <c r="R1038" s="52">
        <f>_xlfn.NUMBERVALUE(convertNumberStringPointToNumberComma(LEFT(Q1038,FIND("x",Q1038)-2)))</f>
        <v>78</v>
      </c>
      <c r="S1038" s="52">
        <f>_xlfn.NUMBERVALUE(convertNumberStringPointToNumberComma(LEFT(RIGHT(Q1038,LEN(Q1038)-FIND("x",Q1038)-1),LEN(RIGHT(Q1038,LEN(Q1038)-FIND("x",Q1038)-1))-2)))</f>
        <v>75</v>
      </c>
    </row>
    <row r="1039" spans="1:19" x14ac:dyDescent="0.25">
      <c r="A1039" t="s">
        <v>2073</v>
      </c>
      <c r="B1039" t="s">
        <v>505</v>
      </c>
      <c r="E1039" t="s">
        <v>2638</v>
      </c>
      <c r="H1039" t="s">
        <v>15</v>
      </c>
      <c r="L1039" t="s">
        <v>2746</v>
      </c>
      <c r="M1039" t="s">
        <v>2757</v>
      </c>
      <c r="N1039" t="s">
        <v>913</v>
      </c>
      <c r="O1039" t="s">
        <v>545</v>
      </c>
      <c r="Q1039" t="s">
        <v>3824</v>
      </c>
      <c r="R1039" s="52">
        <f>_xlfn.NUMBERVALUE(convertNumberStringPointToNumberComma(LEFT(Q1039,FIND("x",Q1039)-2)))</f>
        <v>78</v>
      </c>
      <c r="S1039" s="52">
        <f>_xlfn.NUMBERVALUE(convertNumberStringPointToNumberComma(LEFT(RIGHT(Q1039,LEN(Q1039)-FIND("x",Q1039)-1),LEN(RIGHT(Q1039,LEN(Q1039)-FIND("x",Q1039)-1))-2)))</f>
        <v>76</v>
      </c>
    </row>
    <row r="1040" spans="1:19" x14ac:dyDescent="0.25">
      <c r="A1040" t="s">
        <v>2525</v>
      </c>
      <c r="B1040" t="s">
        <v>526</v>
      </c>
      <c r="E1040" t="s">
        <v>2638</v>
      </c>
      <c r="H1040" t="s">
        <v>56</v>
      </c>
      <c r="L1040" t="s">
        <v>2846</v>
      </c>
      <c r="M1040" t="s">
        <v>2674</v>
      </c>
      <c r="N1040" t="s">
        <v>913</v>
      </c>
      <c r="O1040" t="s">
        <v>719</v>
      </c>
      <c r="Q1040" t="s">
        <v>4036</v>
      </c>
      <c r="R1040" s="52">
        <f>_xlfn.NUMBERVALUE(convertNumberStringPointToNumberComma(LEFT(Q1040,FIND("x",Q1040)-2)))</f>
        <v>78</v>
      </c>
      <c r="S1040" s="52">
        <f>_xlfn.NUMBERVALUE(convertNumberStringPointToNumberComma(LEFT(RIGHT(Q1040,LEN(Q1040)-FIND("x",Q1040)-1),LEN(RIGHT(Q1040,LEN(Q1040)-FIND("x",Q1040)-1))-2)))</f>
        <v>78</v>
      </c>
    </row>
    <row r="1041" spans="1:19" x14ac:dyDescent="0.25">
      <c r="A1041" t="s">
        <v>1729</v>
      </c>
      <c r="B1041" t="s">
        <v>822</v>
      </c>
      <c r="E1041" t="s">
        <v>2980</v>
      </c>
      <c r="H1041" t="s">
        <v>15</v>
      </c>
      <c r="M1041" t="s">
        <v>8</v>
      </c>
      <c r="N1041" t="s">
        <v>913</v>
      </c>
      <c r="O1041" t="s">
        <v>108</v>
      </c>
      <c r="Q1041" t="s">
        <v>3654</v>
      </c>
      <c r="R1041" s="52">
        <f>_xlfn.NUMBERVALUE(convertNumberStringPointToNumberComma(LEFT(Q1041,FIND("x",Q1041)-2)))</f>
        <v>78</v>
      </c>
      <c r="S1041" s="52">
        <f>_xlfn.NUMBERVALUE(convertNumberStringPointToNumberComma(LEFT(RIGHT(Q1041,LEN(Q1041)-FIND("x",Q1041)-1),LEN(RIGHT(Q1041,LEN(Q1041)-FIND("x",Q1041)-1))-2)))</f>
        <v>80</v>
      </c>
    </row>
    <row r="1042" spans="1:19" x14ac:dyDescent="0.25">
      <c r="A1042" t="s">
        <v>1741</v>
      </c>
      <c r="B1042" t="s">
        <v>822</v>
      </c>
      <c r="E1042" t="s">
        <v>2643</v>
      </c>
      <c r="H1042" t="s">
        <v>15</v>
      </c>
      <c r="M1042" t="s">
        <v>2680</v>
      </c>
      <c r="N1042" t="s">
        <v>2681</v>
      </c>
      <c r="O1042" t="s">
        <v>23</v>
      </c>
      <c r="Q1042" t="s">
        <v>3654</v>
      </c>
      <c r="R1042" s="52">
        <f>_xlfn.NUMBERVALUE(convertNumberStringPointToNumberComma(LEFT(Q1042,FIND("x",Q1042)-2)))</f>
        <v>78</v>
      </c>
      <c r="S1042" s="52">
        <f>_xlfn.NUMBERVALUE(convertNumberStringPointToNumberComma(LEFT(RIGHT(Q1042,LEN(Q1042)-FIND("x",Q1042)-1),LEN(RIGHT(Q1042,LEN(Q1042)-FIND("x",Q1042)-1))-2)))</f>
        <v>80</v>
      </c>
    </row>
    <row r="1043" spans="1:19" x14ac:dyDescent="0.25">
      <c r="A1043" t="s">
        <v>1958</v>
      </c>
      <c r="B1043" t="s">
        <v>822</v>
      </c>
      <c r="E1043" t="s">
        <v>2980</v>
      </c>
      <c r="H1043" t="s">
        <v>15</v>
      </c>
      <c r="M1043" t="s">
        <v>2681</v>
      </c>
      <c r="N1043" t="s">
        <v>2681</v>
      </c>
      <c r="O1043" t="s">
        <v>356</v>
      </c>
      <c r="Q1043" t="s">
        <v>3654</v>
      </c>
      <c r="R1043" s="52">
        <f>_xlfn.NUMBERVALUE(convertNumberStringPointToNumberComma(LEFT(Q1043,FIND("x",Q1043)-2)))</f>
        <v>78</v>
      </c>
      <c r="S1043" s="52">
        <f>_xlfn.NUMBERVALUE(convertNumberStringPointToNumberComma(LEFT(RIGHT(Q1043,LEN(Q1043)-FIND("x",Q1043)-1),LEN(RIGHT(Q1043,LEN(Q1043)-FIND("x",Q1043)-1))-2)))</f>
        <v>80</v>
      </c>
    </row>
    <row r="1044" spans="1:19" x14ac:dyDescent="0.25">
      <c r="A1044" t="s">
        <v>923</v>
      </c>
      <c r="B1044" t="s">
        <v>822</v>
      </c>
      <c r="C1044" s="5">
        <f>convertNumberStringPointToNumberComma(IFERROR(LEFT(B1044,(FIND("-",B1044)-1)),LEFT(B1044,FIND("mm",B1044)-1)))</f>
        <v>85</v>
      </c>
      <c r="D1044" s="5">
        <f>convertNumberStringPointToNumberComma(IFERROR(RIGHT(LEFT(B1044,FIND("m",B1044)-1),LEN(LEFT(B1044,FIND("m",B1044)-1))-FIND("-",LEFT(B1044,FIND("m",B1044)-1))-1),C1044))</f>
        <v>85</v>
      </c>
      <c r="E1044" t="s">
        <v>2635</v>
      </c>
      <c r="F1044" s="9">
        <f>convertNumberStringPointToNumberComma(LEFT(MID(E1044,3,9),IFERROR(FIND("-",MID(E1044,3,9))-2,3)))</f>
        <v>1.8</v>
      </c>
      <c r="G1044" s="9">
        <f>convertNumberStringPointToNumberComma(RIGHT(E1044,IF(ISERROR(FIND(".",RIGHT(E1044,3))),1,3)))</f>
        <v>1.8</v>
      </c>
      <c r="H1044" t="s">
        <v>56</v>
      </c>
      <c r="I1044" s="5" t="str">
        <f>IF(H1044="none",0,LEFT(H1044,LEN(H1044)-2))</f>
        <v>67</v>
      </c>
      <c r="J1044" s="5"/>
      <c r="K1044" s="10">
        <f>IF(J1044="",0,convertNumberStringPointToNumberComma(LEFT(J1044,LEN(J1044)-1)))</f>
        <v>0</v>
      </c>
      <c r="L1044" t="s">
        <v>2684</v>
      </c>
      <c r="M1044" t="s">
        <v>2674</v>
      </c>
      <c r="N1044" t="s">
        <v>913</v>
      </c>
      <c r="O1044" t="s">
        <v>2685</v>
      </c>
      <c r="P1044" s="5" t="str">
        <f>LEFT(O1044,LEN(O1044)-1)</f>
        <v>371</v>
      </c>
      <c r="Q1044" t="s">
        <v>503</v>
      </c>
      <c r="R1044" s="52">
        <f>_xlfn.NUMBERVALUE(convertNumberStringPointToNumberComma(LEFT(Q1044,FIND("x",Q1044)-2)))</f>
        <v>78</v>
      </c>
      <c r="S1044" s="52">
        <f>_xlfn.NUMBERVALUE(convertNumberStringPointToNumberComma(LEFT(RIGHT(Q1044,LEN(Q1044)-FIND("x",Q1044)-1),LEN(RIGHT(Q1044,LEN(Q1044)-FIND("x",Q1044)-1))-2)))</f>
        <v>82</v>
      </c>
    </row>
    <row r="1045" spans="1:19" x14ac:dyDescent="0.25">
      <c r="A1045" t="s">
        <v>1338</v>
      </c>
      <c r="B1045" t="s">
        <v>1265</v>
      </c>
      <c r="E1045" t="s">
        <v>2645</v>
      </c>
      <c r="H1045" t="s">
        <v>15</v>
      </c>
      <c r="L1045" t="s">
        <v>2717</v>
      </c>
      <c r="M1045" t="s">
        <v>8</v>
      </c>
      <c r="N1045" t="s">
        <v>913</v>
      </c>
      <c r="O1045" t="s">
        <v>115</v>
      </c>
      <c r="Q1045" t="s">
        <v>503</v>
      </c>
      <c r="R1045" s="52">
        <f>_xlfn.NUMBERVALUE(convertNumberStringPointToNumberComma(LEFT(Q1045,FIND("x",Q1045)-2)))</f>
        <v>78</v>
      </c>
      <c r="S1045" s="52">
        <f>_xlfn.NUMBERVALUE(convertNumberStringPointToNumberComma(LEFT(RIGHT(Q1045,LEN(Q1045)-FIND("x",Q1045)-1),LEN(RIGHT(Q1045,LEN(Q1045)-FIND("x",Q1045)-1))-2)))</f>
        <v>82</v>
      </c>
    </row>
    <row r="1046" spans="1:19" x14ac:dyDescent="0.25">
      <c r="A1046" t="s">
        <v>1334</v>
      </c>
      <c r="B1046" t="s">
        <v>1335</v>
      </c>
      <c r="E1046" t="s">
        <v>2644</v>
      </c>
      <c r="H1046" t="s">
        <v>84</v>
      </c>
      <c r="L1046" t="s">
        <v>2675</v>
      </c>
      <c r="M1046" t="s">
        <v>2681</v>
      </c>
      <c r="N1046" t="s">
        <v>2681</v>
      </c>
      <c r="O1046" t="s">
        <v>589</v>
      </c>
      <c r="Q1046" t="s">
        <v>3437</v>
      </c>
      <c r="R1046" s="52">
        <f>_xlfn.NUMBERVALUE(convertNumberStringPointToNumberComma(LEFT(Q1046,FIND("x",Q1046)-2)))</f>
        <v>78</v>
      </c>
      <c r="S1046" s="52">
        <f>_xlfn.NUMBERVALUE(convertNumberStringPointToNumberComma(LEFT(RIGHT(Q1046,LEN(Q1046)-FIND("x",Q1046)-1),LEN(RIGHT(Q1046,LEN(Q1046)-FIND("x",Q1046)-1))-2)))</f>
        <v>84.5</v>
      </c>
    </row>
    <row r="1047" spans="1:19" x14ac:dyDescent="0.25">
      <c r="A1047" t="s">
        <v>1016</v>
      </c>
      <c r="B1047" t="s">
        <v>987</v>
      </c>
      <c r="C1047" s="5">
        <f>convertNumberStringPointToNumberComma(IFERROR(LEFT(B1047,(FIND("-",B1047)-1)),LEFT(B1047,FIND("mm",B1047)-1)))</f>
        <v>10</v>
      </c>
      <c r="D1047" s="5">
        <f>convertNumberStringPointToNumberComma(IFERROR(RIGHT(LEFT(B1047,FIND("m",B1047)-1),LEN(LEFT(B1047,FIND("m",B1047)-1))-FIND("-",LEFT(B1047,FIND("m",B1047)-1))-1),C1047))</f>
        <v>4</v>
      </c>
      <c r="E1047" t="s">
        <v>2633</v>
      </c>
      <c r="F1047" s="9">
        <f>convertNumberStringPointToNumberComma(LEFT(MID(E1047,3,9),IFERROR(FIND("-",MID(E1047,3,9))-2,3)))</f>
        <v>4</v>
      </c>
      <c r="G1047" s="9">
        <f>convertNumberStringPointToNumberComma(RIGHT(E1047,IF(ISERROR(FIND(".",RIGHT(E1047,3))),1,3)))</f>
        <v>4</v>
      </c>
      <c r="H1047" t="s">
        <v>15</v>
      </c>
      <c r="I1047" s="5" t="str">
        <f>IF(H1047="none",0,LEFT(H1047,LEN(H1047)-2))</f>
        <v>72</v>
      </c>
      <c r="J1047" s="5" t="s">
        <v>40</v>
      </c>
      <c r="K1047" s="10">
        <f>IF(J1047="",0,convertNumberStringPointToNumberComma(LEFT(J1047,LEN(J1047)-1)))</f>
        <v>0.2</v>
      </c>
      <c r="L1047" t="s">
        <v>2704</v>
      </c>
      <c r="M1047" t="s">
        <v>2748</v>
      </c>
      <c r="N1047" t="s">
        <v>903</v>
      </c>
      <c r="O1047" t="s">
        <v>2749</v>
      </c>
      <c r="P1047" s="5" t="str">
        <f>LEFT(O1047,LEN(O1047)-1)</f>
        <v>410</v>
      </c>
      <c r="Q1047" t="s">
        <v>3265</v>
      </c>
      <c r="R1047" s="52">
        <f>_xlfn.NUMBERVALUE(convertNumberStringPointToNumberComma(LEFT(Q1047,FIND("x",Q1047)-2)))</f>
        <v>78</v>
      </c>
      <c r="S1047" s="52">
        <f>_xlfn.NUMBERVALUE(convertNumberStringPointToNumberComma(LEFT(RIGHT(Q1047,LEN(Q1047)-FIND("x",Q1047)-1),LEN(RIGHT(Q1047,LEN(Q1047)-FIND("x",Q1047)-1))-2)))</f>
        <v>87</v>
      </c>
    </row>
    <row r="1048" spans="1:19" x14ac:dyDescent="0.25">
      <c r="A1048" t="s">
        <v>2607</v>
      </c>
      <c r="B1048" t="s">
        <v>822</v>
      </c>
      <c r="E1048" t="s">
        <v>2635</v>
      </c>
      <c r="H1048" t="s">
        <v>56</v>
      </c>
      <c r="L1048" t="s">
        <v>3190</v>
      </c>
      <c r="M1048" t="s">
        <v>2674</v>
      </c>
      <c r="N1048" t="s">
        <v>913</v>
      </c>
      <c r="O1048" t="s">
        <v>100</v>
      </c>
      <c r="Q1048" t="s">
        <v>4065</v>
      </c>
      <c r="R1048" s="52">
        <f>_xlfn.NUMBERVALUE(convertNumberStringPointToNumberComma(LEFT(Q1048,FIND("x",Q1048)-2)))</f>
        <v>78</v>
      </c>
      <c r="S1048" s="52">
        <f>_xlfn.NUMBERVALUE(convertNumberStringPointToNumberComma(LEFT(RIGHT(Q1048,LEN(Q1048)-FIND("x",Q1048)-1),LEN(RIGHT(Q1048,LEN(Q1048)-FIND("x",Q1048)-1))-2)))</f>
        <v>92</v>
      </c>
    </row>
    <row r="1049" spans="1:19" x14ac:dyDescent="0.25">
      <c r="A1049" t="s">
        <v>1963</v>
      </c>
      <c r="B1049" t="s">
        <v>822</v>
      </c>
      <c r="E1049" t="s">
        <v>2980</v>
      </c>
      <c r="H1049" t="s">
        <v>15</v>
      </c>
      <c r="M1049" t="s">
        <v>2804</v>
      </c>
      <c r="N1049" t="s">
        <v>903</v>
      </c>
      <c r="O1049" t="s">
        <v>3045</v>
      </c>
      <c r="Q1049" t="s">
        <v>3776</v>
      </c>
      <c r="R1049" s="52">
        <f>_xlfn.NUMBERVALUE(convertNumberStringPointToNumberComma(LEFT(Q1049,FIND("x",Q1049)-2)))</f>
        <v>78</v>
      </c>
      <c r="S1049" s="52">
        <f>_xlfn.NUMBERVALUE(convertNumberStringPointToNumberComma(LEFT(RIGHT(Q1049,LEN(Q1049)-FIND("x",Q1049)-1),LEN(RIGHT(Q1049,LEN(Q1049)-FIND("x",Q1049)-1))-2)))</f>
        <v>93.2</v>
      </c>
    </row>
    <row r="1050" spans="1:19" x14ac:dyDescent="0.25">
      <c r="A1050" t="s">
        <v>2599</v>
      </c>
      <c r="B1050" t="s">
        <v>2543</v>
      </c>
      <c r="E1050" t="s">
        <v>2639</v>
      </c>
      <c r="H1050" t="s">
        <v>15</v>
      </c>
      <c r="L1050" t="s">
        <v>2797</v>
      </c>
      <c r="M1050" t="s">
        <v>2802</v>
      </c>
      <c r="N1050" t="s">
        <v>903</v>
      </c>
      <c r="O1050" t="s">
        <v>448</v>
      </c>
      <c r="Q1050" t="s">
        <v>4063</v>
      </c>
      <c r="R1050" s="52">
        <f>_xlfn.NUMBERVALUE(convertNumberStringPointToNumberComma(LEFT(Q1050,FIND("x",Q1050)-2)))</f>
        <v>78</v>
      </c>
      <c r="S1050" s="52">
        <f>_xlfn.NUMBERVALUE(convertNumberStringPointToNumberComma(LEFT(RIGHT(Q1050,LEN(Q1050)-FIND("x",Q1050)-1),LEN(RIGHT(Q1050,LEN(Q1050)-FIND("x",Q1050)-1))-2)))</f>
        <v>94</v>
      </c>
    </row>
    <row r="1051" spans="1:19" x14ac:dyDescent="0.25">
      <c r="A1051" t="s">
        <v>1024</v>
      </c>
      <c r="B1051" t="s">
        <v>1025</v>
      </c>
      <c r="C1051" s="5">
        <f>convertNumberStringPointToNumberComma(IFERROR(LEFT(B1051,(FIND("-",B1051)-1)),LEFT(B1051,FIND("mm",B1051)-1)))</f>
        <v>18</v>
      </c>
      <c r="D1051" s="5">
        <f>convertNumberStringPointToNumberComma(IFERROR(RIGHT(LEFT(B1051,FIND("m",B1051)-1),LEN(LEFT(B1051,FIND("m",B1051)-1))-FIND("-",LEFT(B1051,FIND("m",B1051)-1))-1),C1051))</f>
        <v>40</v>
      </c>
      <c r="E1051" t="s">
        <v>2639</v>
      </c>
      <c r="F1051" s="9">
        <f>convertNumberStringPointToNumberComma(LEFT(MID(E1051,3,9),IFERROR(FIND("-",MID(E1051,3,9))-2,3)))</f>
        <v>3</v>
      </c>
      <c r="G1051" s="9">
        <f>convertNumberStringPointToNumberComma(RIGHT(E1051,IF(ISERROR(FIND(".",RIGHT(E1051,3))),1,3)))</f>
        <v>5.6</v>
      </c>
      <c r="H1051" t="s">
        <v>56</v>
      </c>
      <c r="I1051" s="5" t="str">
        <f>IF(H1051="none",0,LEFT(H1051,LEN(H1051)-2))</f>
        <v>67</v>
      </c>
      <c r="J1051" s="5" t="s">
        <v>379</v>
      </c>
      <c r="K1051" s="10">
        <f>IF(J1051="",0,convertNumberStringPointToNumberComma(LEFT(J1051,LEN(J1051)-1)))</f>
        <v>0.38</v>
      </c>
      <c r="L1051" t="s">
        <v>2721</v>
      </c>
      <c r="M1051" t="s">
        <v>8</v>
      </c>
      <c r="N1051" t="s">
        <v>903</v>
      </c>
      <c r="O1051" t="s">
        <v>312</v>
      </c>
      <c r="P1051" s="5" t="str">
        <f>LEFT(O1051,LEN(O1051)-1)</f>
        <v>490</v>
      </c>
      <c r="Q1051" t="s">
        <v>313</v>
      </c>
      <c r="R1051" s="52">
        <f>_xlfn.NUMBERVALUE(convertNumberStringPointToNumberComma(LEFT(Q1051,FIND("x",Q1051)-2)))</f>
        <v>78</v>
      </c>
      <c r="S1051" s="52">
        <f>_xlfn.NUMBERVALUE(convertNumberStringPointToNumberComma(LEFT(RIGHT(Q1051,LEN(Q1051)-FIND("x",Q1051)-1),LEN(RIGHT(Q1051,LEN(Q1051)-FIND("x",Q1051)-1))-2)))</f>
        <v>97</v>
      </c>
    </row>
    <row r="1052" spans="1:19" x14ac:dyDescent="0.25">
      <c r="A1052" t="s">
        <v>999</v>
      </c>
      <c r="B1052" t="s">
        <v>916</v>
      </c>
      <c r="C1052" s="5">
        <f>convertNumberStringPointToNumberComma(IFERROR(LEFT(B1052,(FIND("-",B1052)-1)),LEFT(B1052,FIND("mm",B1052)-1)))</f>
        <v>16</v>
      </c>
      <c r="D1052" s="5">
        <f>convertNumberStringPointToNumberComma(IFERROR(RIGHT(LEFT(B1052,FIND("m",B1052)-1),LEN(LEFT(B1052,FIND("m",B1052)-1))-FIND("-",LEFT(B1052,FIND("m",B1052)-1))-1),C1052))</f>
        <v>5</v>
      </c>
      <c r="E1052" t="s">
        <v>2633</v>
      </c>
      <c r="F1052" s="9">
        <f>convertNumberStringPointToNumberComma(LEFT(MID(E1052,3,9),IFERROR(FIND("-",MID(E1052,3,9))-2,3)))</f>
        <v>4</v>
      </c>
      <c r="G1052" s="9">
        <f>convertNumberStringPointToNumberComma(RIGHT(E1052,IF(ISERROR(FIND(".",RIGHT(E1052,3))),1,3)))</f>
        <v>4</v>
      </c>
      <c r="H1052" t="s">
        <v>15</v>
      </c>
      <c r="I1052" s="5" t="str">
        <f>IF(H1052="none",0,LEFT(H1052,LEN(H1052)-2))</f>
        <v>72</v>
      </c>
      <c r="J1052" s="5" t="s">
        <v>251</v>
      </c>
      <c r="K1052" s="10">
        <f>IF(J1052="",0,convertNumberStringPointToNumberComma(LEFT(J1052,LEN(J1052)-1)))</f>
        <v>0.22</v>
      </c>
      <c r="L1052" t="s">
        <v>2673</v>
      </c>
      <c r="M1052" t="s">
        <v>2674</v>
      </c>
      <c r="N1052" t="s">
        <v>913</v>
      </c>
      <c r="O1052" t="s">
        <v>2741</v>
      </c>
      <c r="P1052" s="5" t="str">
        <f>LEFT(O1052,LEN(O1052)-1)</f>
        <v>518</v>
      </c>
      <c r="Q1052" t="s">
        <v>3252</v>
      </c>
      <c r="R1052" s="52">
        <f>_xlfn.NUMBERVALUE(convertNumberStringPointToNumberComma(LEFT(Q1052,FIND("x",Q1052)-2)))</f>
        <v>78</v>
      </c>
      <c r="S1052" s="52">
        <f>_xlfn.NUMBERVALUE(convertNumberStringPointToNumberComma(LEFT(RIGHT(Q1052,LEN(Q1052)-FIND("x",Q1052)-1),LEN(RIGHT(Q1052,LEN(Q1052)-FIND("x",Q1052)-1))-2)))</f>
        <v>98.5</v>
      </c>
    </row>
    <row r="1053" spans="1:19" x14ac:dyDescent="0.25">
      <c r="A1053" t="s">
        <v>1969</v>
      </c>
      <c r="B1053" t="s">
        <v>822</v>
      </c>
      <c r="E1053" t="s">
        <v>2643</v>
      </c>
      <c r="H1053" t="s">
        <v>15</v>
      </c>
      <c r="M1053" t="s">
        <v>2680</v>
      </c>
      <c r="N1053" t="s">
        <v>2681</v>
      </c>
      <c r="O1053" t="s">
        <v>278</v>
      </c>
      <c r="Q1053" t="s">
        <v>3778</v>
      </c>
      <c r="R1053" s="52">
        <f>_xlfn.NUMBERVALUE(convertNumberStringPointToNumberComma(LEFT(Q1053,FIND("x",Q1053)-2)))</f>
        <v>78</v>
      </c>
      <c r="S1053" s="52">
        <f>_xlfn.NUMBERVALUE(convertNumberStringPointToNumberComma(LEFT(RIGHT(Q1053,LEN(Q1053)-FIND("x",Q1053)-1),LEN(RIGHT(Q1053,LEN(Q1053)-FIND("x",Q1053)-1))-2)))</f>
        <v>99.5</v>
      </c>
    </row>
    <row r="1054" spans="1:19" x14ac:dyDescent="0.25">
      <c r="A1054" t="s">
        <v>2615</v>
      </c>
      <c r="B1054" t="s">
        <v>822</v>
      </c>
      <c r="E1054" t="s">
        <v>2980</v>
      </c>
      <c r="H1054" t="s">
        <v>15</v>
      </c>
      <c r="M1054" t="s">
        <v>2680</v>
      </c>
      <c r="N1054" t="s">
        <v>2681</v>
      </c>
      <c r="O1054" t="s">
        <v>3045</v>
      </c>
      <c r="Q1054" t="s">
        <v>3778</v>
      </c>
      <c r="R1054" s="52">
        <f>_xlfn.NUMBERVALUE(convertNumberStringPointToNumberComma(LEFT(Q1054,FIND("x",Q1054)-2)))</f>
        <v>78</v>
      </c>
      <c r="S1054" s="52">
        <f>_xlfn.NUMBERVALUE(convertNumberStringPointToNumberComma(LEFT(RIGHT(Q1054,LEN(Q1054)-FIND("x",Q1054)-1),LEN(RIGHT(Q1054,LEN(Q1054)-FIND("x",Q1054)-1))-2)))</f>
        <v>99.5</v>
      </c>
    </row>
    <row r="1055" spans="1:19" x14ac:dyDescent="0.25">
      <c r="A1055" t="s">
        <v>1540</v>
      </c>
      <c r="B1055" t="s">
        <v>1044</v>
      </c>
      <c r="E1055" t="s">
        <v>2644</v>
      </c>
      <c r="H1055" t="s">
        <v>56</v>
      </c>
      <c r="L1055" t="s">
        <v>2829</v>
      </c>
      <c r="M1055" t="s">
        <v>8</v>
      </c>
      <c r="N1055" t="s">
        <v>913</v>
      </c>
      <c r="O1055" t="s">
        <v>108</v>
      </c>
      <c r="Q1055" t="s">
        <v>546</v>
      </c>
      <c r="R1055" s="52">
        <f>_xlfn.NUMBERVALUE(convertNumberStringPointToNumberComma(LEFT(Q1055,FIND("x",Q1055)-2)))</f>
        <v>78</v>
      </c>
      <c r="S1055" s="52">
        <f>_xlfn.NUMBERVALUE(convertNumberStringPointToNumberComma(LEFT(RIGHT(Q1055,LEN(Q1055)-FIND("x",Q1055)-1),LEN(RIGHT(Q1055,LEN(Q1055)-FIND("x",Q1055)-1))-2)))</f>
        <v>99</v>
      </c>
    </row>
    <row r="1056" spans="1:19" x14ac:dyDescent="0.25">
      <c r="A1056" t="s">
        <v>2307</v>
      </c>
      <c r="B1056" t="s">
        <v>75</v>
      </c>
      <c r="E1056" t="s">
        <v>2632</v>
      </c>
      <c r="H1056" t="s">
        <v>84</v>
      </c>
      <c r="L1056" t="s">
        <v>2707</v>
      </c>
      <c r="M1056" t="s">
        <v>2757</v>
      </c>
      <c r="N1056" t="s">
        <v>913</v>
      </c>
      <c r="O1056" t="s">
        <v>88</v>
      </c>
      <c r="Q1056" t="s">
        <v>3906</v>
      </c>
      <c r="R1056" s="52">
        <f>_xlfn.NUMBERVALUE(convertNumberStringPointToNumberComma(LEFT(Q1056,FIND("x",Q1056)-2)))</f>
        <v>78.3</v>
      </c>
      <c r="S1056" s="52">
        <f>_xlfn.NUMBERVALUE(convertNumberStringPointToNumberComma(LEFT(RIGHT(Q1056,LEN(Q1056)-FIND("x",Q1056)-1),LEN(RIGHT(Q1056,LEN(Q1056)-FIND("x",Q1056)-1))-2)))</f>
        <v>126.4</v>
      </c>
    </row>
    <row r="1057" spans="1:19" x14ac:dyDescent="0.25">
      <c r="A1057" t="s">
        <v>2308</v>
      </c>
      <c r="B1057" t="s">
        <v>75</v>
      </c>
      <c r="E1057" t="s">
        <v>2632</v>
      </c>
      <c r="H1057" t="s">
        <v>84</v>
      </c>
      <c r="L1057" t="s">
        <v>2707</v>
      </c>
      <c r="M1057" t="s">
        <v>2793</v>
      </c>
      <c r="N1057" t="s">
        <v>903</v>
      </c>
      <c r="O1057" t="s">
        <v>88</v>
      </c>
      <c r="Q1057" t="s">
        <v>3906</v>
      </c>
      <c r="R1057" s="52">
        <f>_xlfn.NUMBERVALUE(convertNumberStringPointToNumberComma(LEFT(Q1057,FIND("x",Q1057)-2)))</f>
        <v>78.3</v>
      </c>
      <c r="S1057" s="52">
        <f>_xlfn.NUMBERVALUE(convertNumberStringPointToNumberComma(LEFT(RIGHT(Q1057,LEN(Q1057)-FIND("x",Q1057)-1),LEN(RIGHT(Q1057,LEN(Q1057)-FIND("x",Q1057)-1))-2)))</f>
        <v>126.4</v>
      </c>
    </row>
    <row r="1058" spans="1:19" x14ac:dyDescent="0.25">
      <c r="A1058" t="s">
        <v>2488</v>
      </c>
      <c r="B1058" t="s">
        <v>75</v>
      </c>
      <c r="E1058" t="s">
        <v>2632</v>
      </c>
      <c r="H1058" t="s">
        <v>84</v>
      </c>
      <c r="L1058" t="s">
        <v>2707</v>
      </c>
      <c r="M1058" t="s">
        <v>2682</v>
      </c>
      <c r="N1058" t="s">
        <v>913</v>
      </c>
      <c r="O1058" t="s">
        <v>88</v>
      </c>
      <c r="Q1058" t="s">
        <v>3906</v>
      </c>
      <c r="R1058" s="52">
        <f>_xlfn.NUMBERVALUE(convertNumberStringPointToNumberComma(LEFT(Q1058,FIND("x",Q1058)-2)))</f>
        <v>78.3</v>
      </c>
      <c r="S1058" s="52">
        <f>_xlfn.NUMBERVALUE(convertNumberStringPointToNumberComma(LEFT(RIGHT(Q1058,LEN(Q1058)-FIND("x",Q1058)-1),LEN(RIGHT(Q1058,LEN(Q1058)-FIND("x",Q1058)-1))-2)))</f>
        <v>126.4</v>
      </c>
    </row>
    <row r="1059" spans="1:19" x14ac:dyDescent="0.25">
      <c r="A1059" t="s">
        <v>2489</v>
      </c>
      <c r="B1059" t="s">
        <v>75</v>
      </c>
      <c r="E1059" t="s">
        <v>2632</v>
      </c>
      <c r="H1059" t="s">
        <v>84</v>
      </c>
      <c r="L1059" t="s">
        <v>2707</v>
      </c>
      <c r="M1059" t="s">
        <v>8</v>
      </c>
      <c r="N1059" t="s">
        <v>913</v>
      </c>
      <c r="O1059" t="s">
        <v>88</v>
      </c>
      <c r="Q1059" t="s">
        <v>3906</v>
      </c>
      <c r="R1059" s="52">
        <f>_xlfn.NUMBERVALUE(convertNumberStringPointToNumberComma(LEFT(Q1059,FIND("x",Q1059)-2)))</f>
        <v>78.3</v>
      </c>
      <c r="S1059" s="52">
        <f>_xlfn.NUMBERVALUE(convertNumberStringPointToNumberComma(LEFT(RIGHT(Q1059,LEN(Q1059)-FIND("x",Q1059)-1),LEN(RIGHT(Q1059,LEN(Q1059)-FIND("x",Q1059)-1))-2)))</f>
        <v>126.4</v>
      </c>
    </row>
    <row r="1060" spans="1:19" x14ac:dyDescent="0.25">
      <c r="A1060" t="s">
        <v>1248</v>
      </c>
      <c r="B1060" t="s">
        <v>1249</v>
      </c>
      <c r="C1060" s="5">
        <f>convertNumberStringPointToNumberComma(IFERROR(LEFT(B1060,(FIND("-",B1060)-1)),LEFT(B1060,FIND("mm",B1060)-1)))</f>
        <v>28</v>
      </c>
      <c r="D1060" s="5">
        <f>convertNumberStringPointToNumberComma(IFERROR(RIGHT(LEFT(B1060,FIND("m",B1060)-1),LEN(LEFT(B1060,FIND("m",B1060)-1))-FIND("-",LEFT(B1060,FIND("m",B1060)-1))-1),C1060))</f>
        <v>35</v>
      </c>
      <c r="E1060" t="s">
        <v>2639</v>
      </c>
      <c r="F1060" s="9">
        <f>convertNumberStringPointToNumberComma(LEFT(MID(E1060,3,9),IFERROR(FIND("-",MID(E1060,3,9))-2,3)))</f>
        <v>3</v>
      </c>
      <c r="G1060" s="9">
        <f>convertNumberStringPointToNumberComma(RIGHT(E1060,IF(ISERROR(FIND(".",RIGHT(E1060,3))),1,3)))</f>
        <v>5.6</v>
      </c>
      <c r="H1060" t="s">
        <v>15</v>
      </c>
      <c r="I1060" s="5" t="str">
        <f>IF(H1060="none",0,LEFT(H1060,LEN(H1060)-2))</f>
        <v>72</v>
      </c>
      <c r="J1060" s="5" t="s">
        <v>122</v>
      </c>
      <c r="K1060" s="10">
        <f>IF(J1060="",0,convertNumberStringPointToNumberComma(LEFT(J1060,LEN(J1060)-1)))</f>
        <v>0.14000000000000001</v>
      </c>
      <c r="L1060" t="s">
        <v>2673</v>
      </c>
      <c r="M1060" t="s">
        <v>2682</v>
      </c>
      <c r="N1060" t="s">
        <v>913</v>
      </c>
      <c r="O1060" t="s">
        <v>64</v>
      </c>
      <c r="P1060" s="5" t="str">
        <f>LEFT(O1060,LEN(O1060)-1)</f>
        <v>540</v>
      </c>
      <c r="Q1060" t="s">
        <v>3391</v>
      </c>
      <c r="R1060" s="52">
        <f>_xlfn.NUMBERVALUE(convertNumberStringPointToNumberComma(LEFT(Q1060,FIND("x",Q1060)-2)))</f>
        <v>78.400000000000006</v>
      </c>
      <c r="S1060" s="52">
        <f>_xlfn.NUMBERVALUE(convertNumberStringPointToNumberComma(LEFT(RIGHT(Q1060,LEN(Q1060)-FIND("x",Q1060)-1),LEN(RIGHT(Q1060,LEN(Q1060)-FIND("x",Q1060)-1))-2)))</f>
        <v>96.8</v>
      </c>
    </row>
    <row r="1061" spans="1:19" x14ac:dyDescent="0.25">
      <c r="A1061" t="s">
        <v>1008</v>
      </c>
      <c r="B1061" t="s">
        <v>592</v>
      </c>
      <c r="C1061" s="5">
        <f>convertNumberStringPointToNumberComma(IFERROR(LEFT(B1061,(FIND("-",B1061)-1)),LEFT(B1061,FIND("mm",B1061)-1)))</f>
        <v>35</v>
      </c>
      <c r="D1061" s="5">
        <f>convertNumberStringPointToNumberComma(IFERROR(RIGHT(LEFT(B1061,FIND("m",B1061)-1),LEN(LEFT(B1061,FIND("m",B1061)-1))-FIND("-",LEFT(B1061,FIND("m",B1061)-1))-1),C1061))</f>
        <v>35</v>
      </c>
      <c r="E1061" t="s">
        <v>2643</v>
      </c>
      <c r="F1061" s="9">
        <f>convertNumberStringPointToNumberComma(LEFT(MID(E1061,3,9),IFERROR(FIND("-",MID(E1061,3,9))-2,3)))</f>
        <v>1.4</v>
      </c>
      <c r="G1061" s="9">
        <f>convertNumberStringPointToNumberComma(RIGHT(E1061,IF(ISERROR(FIND(".",RIGHT(E1061,3))),1,3)))</f>
        <v>1.4</v>
      </c>
      <c r="H1061" t="s">
        <v>15</v>
      </c>
      <c r="I1061" s="5" t="str">
        <f>IF(H1061="none",0,LEFT(H1061,LEN(H1061)-2))</f>
        <v>72</v>
      </c>
      <c r="J1061" s="5" t="s">
        <v>343</v>
      </c>
      <c r="K1061" s="10">
        <f>IF(J1061="",0,convertNumberStringPointToNumberComma(LEFT(J1061,LEN(J1061)-1)))</f>
        <v>0.28000000000000003</v>
      </c>
      <c r="L1061" t="s">
        <v>2744</v>
      </c>
      <c r="M1061" t="s">
        <v>2674</v>
      </c>
      <c r="N1061" t="s">
        <v>913</v>
      </c>
      <c r="O1061" t="s">
        <v>339</v>
      </c>
      <c r="P1061" s="5" t="str">
        <f>LEFT(O1061,LEN(O1061)-1)</f>
        <v>630</v>
      </c>
      <c r="Q1061" t="s">
        <v>3258</v>
      </c>
      <c r="R1061" s="52">
        <f>_xlfn.NUMBERVALUE(convertNumberStringPointToNumberComma(LEFT(Q1061,FIND("x",Q1061)-2)))</f>
        <v>78.5</v>
      </c>
      <c r="S1061" s="52">
        <f>_xlfn.NUMBERVALUE(convertNumberStringPointToNumberComma(LEFT(RIGHT(Q1061,LEN(Q1061)-FIND("x",Q1061)-1),LEN(RIGHT(Q1061,LEN(Q1061)-FIND("x",Q1061)-1))-2)))</f>
        <v>112</v>
      </c>
    </row>
    <row r="1062" spans="1:19" x14ac:dyDescent="0.25">
      <c r="A1062" t="s">
        <v>1262</v>
      </c>
      <c r="B1062" t="s">
        <v>398</v>
      </c>
      <c r="E1062" t="s">
        <v>2632</v>
      </c>
      <c r="H1062" t="s">
        <v>15</v>
      </c>
      <c r="L1062" t="s">
        <v>2686</v>
      </c>
      <c r="M1062" t="s">
        <v>8</v>
      </c>
      <c r="N1062" t="s">
        <v>913</v>
      </c>
      <c r="O1062" t="s">
        <v>399</v>
      </c>
      <c r="Q1062" t="s">
        <v>3400</v>
      </c>
      <c r="R1062" s="52">
        <f>_xlfn.NUMBERVALUE(convertNumberStringPointToNumberComma(LEFT(Q1062,FIND("x",Q1062)-2)))</f>
        <v>78.5</v>
      </c>
      <c r="S1062" s="52">
        <f>_xlfn.NUMBERVALUE(convertNumberStringPointToNumberComma(LEFT(RIGHT(Q1062,LEN(Q1062)-FIND("x",Q1062)-1),LEN(RIGHT(Q1062,LEN(Q1062)-FIND("x",Q1062)-1))-2)))</f>
        <v>144</v>
      </c>
    </row>
    <row r="1063" spans="1:19" x14ac:dyDescent="0.25">
      <c r="A1063" t="s">
        <v>1404</v>
      </c>
      <c r="B1063" t="s">
        <v>1322</v>
      </c>
      <c r="E1063" t="s">
        <v>2634</v>
      </c>
      <c r="H1063" t="s">
        <v>318</v>
      </c>
      <c r="L1063" t="s">
        <v>2677</v>
      </c>
      <c r="M1063" t="s">
        <v>2802</v>
      </c>
      <c r="N1063" t="s">
        <v>903</v>
      </c>
      <c r="O1063" t="s">
        <v>712</v>
      </c>
      <c r="Q1063" t="s">
        <v>3478</v>
      </c>
      <c r="R1063" s="52">
        <f>_xlfn.NUMBERVALUE(convertNumberStringPointToNumberComma(LEFT(Q1063,FIND("x",Q1063)-2)))</f>
        <v>78.5</v>
      </c>
      <c r="S1063" s="52">
        <f>_xlfn.NUMBERVALUE(convertNumberStringPointToNumberComma(LEFT(RIGHT(Q1063,LEN(Q1063)-FIND("x",Q1063)-1),LEN(RIGHT(Q1063,LEN(Q1063)-FIND("x",Q1063)-1))-2)))</f>
        <v>66.5</v>
      </c>
    </row>
    <row r="1064" spans="1:19" x14ac:dyDescent="0.25">
      <c r="A1064" t="s">
        <v>1635</v>
      </c>
      <c r="B1064" t="s">
        <v>1322</v>
      </c>
      <c r="E1064" t="s">
        <v>2634</v>
      </c>
      <c r="H1064" t="s">
        <v>318</v>
      </c>
      <c r="L1064" t="s">
        <v>2677</v>
      </c>
      <c r="M1064" t="s">
        <v>2802</v>
      </c>
      <c r="N1064" t="s">
        <v>903</v>
      </c>
      <c r="O1064" t="s">
        <v>2908</v>
      </c>
      <c r="Q1064" t="s">
        <v>3478</v>
      </c>
      <c r="R1064" s="52">
        <f>_xlfn.NUMBERVALUE(convertNumberStringPointToNumberComma(LEFT(Q1064,FIND("x",Q1064)-2)))</f>
        <v>78.5</v>
      </c>
      <c r="S1064" s="52">
        <f>_xlfn.NUMBERVALUE(convertNumberStringPointToNumberComma(LEFT(RIGHT(Q1064,LEN(Q1064)-FIND("x",Q1064)-1),LEN(RIGHT(Q1064,LEN(Q1064)-FIND("x",Q1064)-1))-2)))</f>
        <v>66.5</v>
      </c>
    </row>
    <row r="1065" spans="1:19" x14ac:dyDescent="0.25">
      <c r="A1065" t="s">
        <v>1264</v>
      </c>
      <c r="B1065" t="s">
        <v>1265</v>
      </c>
      <c r="E1065" t="s">
        <v>2637</v>
      </c>
      <c r="H1065" t="s">
        <v>15</v>
      </c>
      <c r="L1065" t="s">
        <v>2703</v>
      </c>
      <c r="M1065" t="s">
        <v>8</v>
      </c>
      <c r="N1065" t="s">
        <v>913</v>
      </c>
      <c r="O1065" t="s">
        <v>501</v>
      </c>
      <c r="Q1065" t="s">
        <v>3401</v>
      </c>
      <c r="R1065" s="52">
        <f>_xlfn.NUMBERVALUE(convertNumberStringPointToNumberComma(LEFT(Q1065,FIND("x",Q1065)-2)))</f>
        <v>78.5</v>
      </c>
      <c r="S1065" s="52">
        <f>_xlfn.NUMBERVALUE(convertNumberStringPointToNumberComma(LEFT(RIGHT(Q1065,LEN(Q1065)-FIND("x",Q1065)-1),LEN(RIGHT(Q1065,LEN(Q1065)-FIND("x",Q1065)-1))-2)))</f>
        <v>82.5</v>
      </c>
    </row>
    <row r="1066" spans="1:19" x14ac:dyDescent="0.25">
      <c r="A1066" t="s">
        <v>2567</v>
      </c>
      <c r="B1066" t="s">
        <v>1005</v>
      </c>
      <c r="E1066" t="s">
        <v>2633</v>
      </c>
      <c r="H1066" t="s">
        <v>3181</v>
      </c>
      <c r="L1066" t="s">
        <v>2743</v>
      </c>
      <c r="M1066" t="s">
        <v>2682</v>
      </c>
      <c r="N1066" t="s">
        <v>913</v>
      </c>
      <c r="O1066" t="s">
        <v>64</v>
      </c>
      <c r="Q1066" t="s">
        <v>4050</v>
      </c>
      <c r="R1066" s="52">
        <f>_xlfn.NUMBERVALUE(convertNumberStringPointToNumberComma(LEFT(Q1066,FIND("x",Q1066)-2)))</f>
        <v>78.5</v>
      </c>
      <c r="S1066" s="52">
        <f>_xlfn.NUMBERVALUE(convertNumberStringPointToNumberComma(LEFT(RIGHT(Q1066,LEN(Q1066)-FIND("x",Q1066)-1),LEN(RIGHT(Q1066,LEN(Q1066)-FIND("x",Q1066)-1))-2)))</f>
        <v>83</v>
      </c>
    </row>
    <row r="1067" spans="1:19" x14ac:dyDescent="0.25">
      <c r="A1067" t="s">
        <v>1305</v>
      </c>
      <c r="B1067" t="s">
        <v>1306</v>
      </c>
      <c r="E1067" t="s">
        <v>2634</v>
      </c>
      <c r="H1067" t="s">
        <v>56</v>
      </c>
      <c r="L1067" t="s">
        <v>2698</v>
      </c>
      <c r="M1067" t="s">
        <v>2708</v>
      </c>
      <c r="N1067" t="s">
        <v>903</v>
      </c>
      <c r="O1067" t="s">
        <v>100</v>
      </c>
      <c r="Q1067" t="s">
        <v>3421</v>
      </c>
      <c r="R1067" s="52">
        <f>_xlfn.NUMBERVALUE(convertNumberStringPointToNumberComma(LEFT(Q1067,FIND("x",Q1067)-2)))</f>
        <v>78.5</v>
      </c>
      <c r="S1067" s="52">
        <f>_xlfn.NUMBERVALUE(convertNumberStringPointToNumberComma(LEFT(RIGHT(Q1067,LEN(Q1067)-FIND("x",Q1067)-1),LEN(RIGHT(Q1067,LEN(Q1067)-FIND("x",Q1067)-1))-2)))</f>
        <v>92</v>
      </c>
    </row>
    <row r="1068" spans="1:19" x14ac:dyDescent="0.25">
      <c r="A1068" t="s">
        <v>1661</v>
      </c>
      <c r="B1068" t="s">
        <v>960</v>
      </c>
      <c r="E1068" t="s">
        <v>2632</v>
      </c>
      <c r="H1068" t="s">
        <v>2668</v>
      </c>
      <c r="L1068" t="s">
        <v>2698</v>
      </c>
      <c r="M1068" t="s">
        <v>2802</v>
      </c>
      <c r="N1068" t="s">
        <v>913</v>
      </c>
      <c r="O1068" t="s">
        <v>2971</v>
      </c>
      <c r="Q1068" t="s">
        <v>3612</v>
      </c>
      <c r="R1068" s="52">
        <f>_xlfn.NUMBERVALUE(convertNumberStringPointToNumberComma(LEFT(Q1068,FIND("x",Q1068)-2)))</f>
        <v>78.8</v>
      </c>
      <c r="S1068" s="52">
        <f>_xlfn.NUMBERVALUE(convertNumberStringPointToNumberComma(LEFT(RIGHT(Q1068,LEN(Q1068)-FIND("x",Q1068)-1),LEN(RIGHT(Q1068,LEN(Q1068)-FIND("x",Q1068)-1))-2)))</f>
        <v>82.8</v>
      </c>
    </row>
    <row r="1069" spans="1:19" x14ac:dyDescent="0.25">
      <c r="A1069" t="s">
        <v>2405</v>
      </c>
      <c r="B1069" t="s">
        <v>960</v>
      </c>
      <c r="E1069" t="s">
        <v>2632</v>
      </c>
      <c r="H1069" t="s">
        <v>2668</v>
      </c>
      <c r="L1069" t="s">
        <v>2698</v>
      </c>
      <c r="M1069" t="s">
        <v>2682</v>
      </c>
      <c r="N1069" t="s">
        <v>913</v>
      </c>
      <c r="O1069" t="s">
        <v>2971</v>
      </c>
      <c r="Q1069" t="s">
        <v>3612</v>
      </c>
      <c r="R1069" s="52">
        <f>_xlfn.NUMBERVALUE(convertNumberStringPointToNumberComma(LEFT(Q1069,FIND("x",Q1069)-2)))</f>
        <v>78.8</v>
      </c>
      <c r="S1069" s="52">
        <f>_xlfn.NUMBERVALUE(convertNumberStringPointToNumberComma(LEFT(RIGHT(Q1069,LEN(Q1069)-FIND("x",Q1069)-1),LEN(RIGHT(Q1069,LEN(Q1069)-FIND("x",Q1069)-1))-2)))</f>
        <v>82.8</v>
      </c>
    </row>
    <row r="1070" spans="1:19" x14ac:dyDescent="0.25">
      <c r="A1070" t="s">
        <v>2416</v>
      </c>
      <c r="B1070" t="s">
        <v>960</v>
      </c>
      <c r="E1070" t="s">
        <v>2632</v>
      </c>
      <c r="H1070" t="s">
        <v>2668</v>
      </c>
      <c r="L1070" t="s">
        <v>2698</v>
      </c>
      <c r="M1070" t="s">
        <v>8</v>
      </c>
      <c r="N1070" t="s">
        <v>913</v>
      </c>
      <c r="O1070" t="s">
        <v>2971</v>
      </c>
      <c r="Q1070" t="s">
        <v>3612</v>
      </c>
      <c r="R1070" s="52">
        <f>_xlfn.NUMBERVALUE(convertNumberStringPointToNumberComma(LEFT(Q1070,FIND("x",Q1070)-2)))</f>
        <v>78.8</v>
      </c>
      <c r="S1070" s="52">
        <f>_xlfn.NUMBERVALUE(convertNumberStringPointToNumberComma(LEFT(RIGHT(Q1070,LEN(Q1070)-FIND("x",Q1070)-1),LEN(RIGHT(Q1070,LEN(Q1070)-FIND("x",Q1070)-1))-2)))</f>
        <v>82.8</v>
      </c>
    </row>
    <row r="1071" spans="1:19" x14ac:dyDescent="0.25">
      <c r="A1071" t="s">
        <v>2417</v>
      </c>
      <c r="B1071" t="s">
        <v>960</v>
      </c>
      <c r="E1071" t="s">
        <v>2632</v>
      </c>
      <c r="H1071" t="s">
        <v>2668</v>
      </c>
      <c r="L1071" t="s">
        <v>2698</v>
      </c>
      <c r="M1071" t="s">
        <v>2674</v>
      </c>
      <c r="N1071" t="s">
        <v>913</v>
      </c>
      <c r="O1071" t="s">
        <v>2971</v>
      </c>
      <c r="Q1071" t="s">
        <v>3612</v>
      </c>
      <c r="R1071" s="52">
        <f>_xlfn.NUMBERVALUE(convertNumberStringPointToNumberComma(LEFT(Q1071,FIND("x",Q1071)-2)))</f>
        <v>78.8</v>
      </c>
      <c r="S1071" s="52">
        <f>_xlfn.NUMBERVALUE(convertNumberStringPointToNumberComma(LEFT(RIGHT(Q1071,LEN(Q1071)-FIND("x",Q1071)-1),LEN(RIGHT(Q1071,LEN(Q1071)-FIND("x",Q1071)-1))-2)))</f>
        <v>82.8</v>
      </c>
    </row>
    <row r="1072" spans="1:19" x14ac:dyDescent="0.25">
      <c r="A1072" t="s">
        <v>2418</v>
      </c>
      <c r="B1072" t="s">
        <v>960</v>
      </c>
      <c r="E1072" t="s">
        <v>2632</v>
      </c>
      <c r="H1072" t="s">
        <v>2668</v>
      </c>
      <c r="L1072" t="s">
        <v>2698</v>
      </c>
      <c r="M1072" t="s">
        <v>2757</v>
      </c>
      <c r="N1072" t="s">
        <v>913</v>
      </c>
      <c r="O1072" t="s">
        <v>2971</v>
      </c>
      <c r="Q1072" t="s">
        <v>3612</v>
      </c>
      <c r="R1072" s="52">
        <f>_xlfn.NUMBERVALUE(convertNumberStringPointToNumberComma(LEFT(Q1072,FIND("x",Q1072)-2)))</f>
        <v>78.8</v>
      </c>
      <c r="S1072" s="52">
        <f>_xlfn.NUMBERVALUE(convertNumberStringPointToNumberComma(LEFT(RIGHT(Q1072,LEN(Q1072)-FIND("x",Q1072)-1),LEN(RIGHT(Q1072,LEN(Q1072)-FIND("x",Q1072)-1))-2)))</f>
        <v>82.8</v>
      </c>
    </row>
    <row r="1073" spans="1:19" x14ac:dyDescent="0.25">
      <c r="A1073" t="s">
        <v>1060</v>
      </c>
      <c r="B1073" t="s">
        <v>1040</v>
      </c>
      <c r="C1073" s="5">
        <f>convertNumberStringPointToNumberComma(IFERROR(LEFT(B1073,(FIND("-",B1073)-1)),LEFT(B1073,FIND("mm",B1073)-1)))</f>
        <v>7</v>
      </c>
      <c r="D1073" s="5">
        <f>convertNumberStringPointToNumberComma(IFERROR(RIGHT(LEFT(B1073,FIND("m",B1073)-1),LEN(LEFT(B1073,FIND("m",B1073)-1))-FIND("-",LEFT(B1073,FIND("m",B1073)-1))-1),C1073))</f>
        <v>4</v>
      </c>
      <c r="E1073" t="s">
        <v>2632</v>
      </c>
      <c r="F1073" s="9">
        <f>convertNumberStringPointToNumberComma(LEFT(MID(E1073,3,9),IFERROR(FIND("-",MID(E1073,3,9))-2,3)))</f>
        <v>2.8</v>
      </c>
      <c r="G1073" s="9">
        <f>convertNumberStringPointToNumberComma(RIGHT(E1073,IF(ISERROR(FIND(".",RIGHT(E1073,3))),1,3)))</f>
        <v>2.8</v>
      </c>
      <c r="H1073" t="s">
        <v>2668</v>
      </c>
      <c r="I1073" s="5" t="str">
        <f>IF(H1073="none",0,LEFT(H1073,LEN(H1073)-2))</f>
        <v>ne</v>
      </c>
      <c r="J1073" s="5" t="s">
        <v>40</v>
      </c>
      <c r="K1073" s="10">
        <f>IF(J1073="",0,convertNumberStringPointToNumberComma(LEFT(J1073,LEN(J1073)-1)))</f>
        <v>0.2</v>
      </c>
      <c r="L1073" t="s">
        <v>2753</v>
      </c>
      <c r="M1073" t="s">
        <v>2680</v>
      </c>
      <c r="N1073" t="s">
        <v>2681</v>
      </c>
      <c r="O1073" t="s">
        <v>2770</v>
      </c>
      <c r="P1073" s="5" t="str">
        <f>LEFT(O1073,LEN(O1073)-1)</f>
        <v>534</v>
      </c>
      <c r="Q1073" t="s">
        <v>3288</v>
      </c>
      <c r="R1073" s="52">
        <f>_xlfn.NUMBERVALUE(convertNumberStringPointToNumberComma(LEFT(Q1073,FIND("x",Q1073)-2)))</f>
        <v>78.900000000000006</v>
      </c>
      <c r="S1073" s="52">
        <f>_xlfn.NUMBERVALUE(convertNumberStringPointToNumberComma(LEFT(RIGHT(Q1073,LEN(Q1073)-FIND("x",Q1073)-1),LEN(RIGHT(Q1073,LEN(Q1073)-FIND("x",Q1073)-1))-2)))</f>
        <v>105.8</v>
      </c>
    </row>
    <row r="1074" spans="1:19" x14ac:dyDescent="0.25">
      <c r="A1074" t="s">
        <v>1388</v>
      </c>
      <c r="B1074" t="s">
        <v>1001</v>
      </c>
      <c r="E1074" t="s">
        <v>2644</v>
      </c>
      <c r="H1074" t="s">
        <v>15</v>
      </c>
      <c r="L1074" t="s">
        <v>2728</v>
      </c>
      <c r="M1074" t="s">
        <v>2708</v>
      </c>
      <c r="N1074" t="s">
        <v>903</v>
      </c>
      <c r="O1074" t="s">
        <v>246</v>
      </c>
      <c r="Q1074" t="s">
        <v>324</v>
      </c>
      <c r="R1074" s="52">
        <f>_xlfn.NUMBERVALUE(convertNumberStringPointToNumberComma(LEFT(Q1074,FIND("x",Q1074)-2)))</f>
        <v>79</v>
      </c>
      <c r="S1074" s="52">
        <f>_xlfn.NUMBERVALUE(convertNumberStringPointToNumberComma(LEFT(RIGHT(Q1074,LEN(Q1074)-FIND("x",Q1074)-1),LEN(RIGHT(Q1074,LEN(Q1074)-FIND("x",Q1074)-1))-2)))</f>
        <v>100</v>
      </c>
    </row>
    <row r="1075" spans="1:19" x14ac:dyDescent="0.25">
      <c r="A1075" t="s">
        <v>1389</v>
      </c>
      <c r="B1075" t="s">
        <v>1001</v>
      </c>
      <c r="E1075" t="s">
        <v>2644</v>
      </c>
      <c r="H1075" t="s">
        <v>15</v>
      </c>
      <c r="M1075" t="s">
        <v>8</v>
      </c>
      <c r="N1075" t="s">
        <v>903</v>
      </c>
      <c r="O1075" t="s">
        <v>246</v>
      </c>
      <c r="Q1075" t="s">
        <v>324</v>
      </c>
      <c r="R1075" s="52">
        <f>_xlfn.NUMBERVALUE(convertNumberStringPointToNumberComma(LEFT(Q1075,FIND("x",Q1075)-2)))</f>
        <v>79</v>
      </c>
      <c r="S1075" s="52">
        <f>_xlfn.NUMBERVALUE(convertNumberStringPointToNumberComma(LEFT(RIGHT(Q1075,LEN(Q1075)-FIND("x",Q1075)-1),LEN(RIGHT(Q1075,LEN(Q1075)-FIND("x",Q1075)-1))-2)))</f>
        <v>100</v>
      </c>
    </row>
    <row r="1076" spans="1:19" x14ac:dyDescent="0.25">
      <c r="A1076" t="s">
        <v>1285</v>
      </c>
      <c r="B1076" t="s">
        <v>1286</v>
      </c>
      <c r="E1076" t="s">
        <v>2644</v>
      </c>
      <c r="H1076" t="s">
        <v>15</v>
      </c>
      <c r="L1076" t="s">
        <v>2829</v>
      </c>
      <c r="M1076" t="s">
        <v>8</v>
      </c>
      <c r="N1076" t="s">
        <v>903</v>
      </c>
      <c r="O1076" t="s">
        <v>356</v>
      </c>
      <c r="Q1076" t="s">
        <v>3411</v>
      </c>
      <c r="R1076" s="52">
        <f>_xlfn.NUMBERVALUE(convertNumberStringPointToNumberComma(LEFT(Q1076,FIND("x",Q1076)-2)))</f>
        <v>79</v>
      </c>
      <c r="S1076" s="52">
        <f>_xlfn.NUMBERVALUE(convertNumberStringPointToNumberComma(LEFT(RIGHT(Q1076,LEN(Q1076)-FIND("x",Q1076)-1),LEN(RIGHT(Q1076,LEN(Q1076)-FIND("x",Q1076)-1))-2)))</f>
        <v>101.5</v>
      </c>
    </row>
    <row r="1077" spans="1:19" x14ac:dyDescent="0.25">
      <c r="A1077" t="s">
        <v>2095</v>
      </c>
      <c r="B1077" t="s">
        <v>1286</v>
      </c>
      <c r="E1077" t="s">
        <v>2644</v>
      </c>
      <c r="H1077" t="s">
        <v>15</v>
      </c>
      <c r="L1077" t="s">
        <v>2829</v>
      </c>
      <c r="M1077" t="s">
        <v>2793</v>
      </c>
      <c r="N1077" t="s">
        <v>903</v>
      </c>
      <c r="O1077" t="s">
        <v>356</v>
      </c>
      <c r="Q1077" t="s">
        <v>3411</v>
      </c>
      <c r="R1077" s="52">
        <f>_xlfn.NUMBERVALUE(convertNumberStringPointToNumberComma(LEFT(Q1077,FIND("x",Q1077)-2)))</f>
        <v>79</v>
      </c>
      <c r="S1077" s="52">
        <f>_xlfn.NUMBERVALUE(convertNumberStringPointToNumberComma(LEFT(RIGHT(Q1077,LEN(Q1077)-FIND("x",Q1077)-1),LEN(RIGHT(Q1077,LEN(Q1077)-FIND("x",Q1077)-1))-2)))</f>
        <v>101.5</v>
      </c>
    </row>
    <row r="1078" spans="1:19" x14ac:dyDescent="0.25">
      <c r="A1078" t="s">
        <v>2096</v>
      </c>
      <c r="B1078" t="s">
        <v>1286</v>
      </c>
      <c r="E1078" t="s">
        <v>2644</v>
      </c>
      <c r="H1078" t="s">
        <v>15</v>
      </c>
      <c r="L1078" t="s">
        <v>2829</v>
      </c>
      <c r="M1078" t="s">
        <v>2802</v>
      </c>
      <c r="N1078" t="s">
        <v>903</v>
      </c>
      <c r="O1078" t="s">
        <v>356</v>
      </c>
      <c r="Q1078" t="s">
        <v>3411</v>
      </c>
      <c r="R1078" s="52">
        <f>_xlfn.NUMBERVALUE(convertNumberStringPointToNumberComma(LEFT(Q1078,FIND("x",Q1078)-2)))</f>
        <v>79</v>
      </c>
      <c r="S1078" s="52">
        <f>_xlfn.NUMBERVALUE(convertNumberStringPointToNumberComma(LEFT(RIGHT(Q1078,LEN(Q1078)-FIND("x",Q1078)-1),LEN(RIGHT(Q1078,LEN(Q1078)-FIND("x",Q1078)-1))-2)))</f>
        <v>101.5</v>
      </c>
    </row>
    <row r="1079" spans="1:19" x14ac:dyDescent="0.25">
      <c r="A1079" t="s">
        <v>2472</v>
      </c>
      <c r="B1079" t="s">
        <v>1286</v>
      </c>
      <c r="E1079" t="s">
        <v>2644</v>
      </c>
      <c r="H1079" t="s">
        <v>15</v>
      </c>
      <c r="L1079" t="s">
        <v>2829</v>
      </c>
      <c r="M1079" t="s">
        <v>2708</v>
      </c>
      <c r="N1079" t="s">
        <v>903</v>
      </c>
      <c r="O1079" t="s">
        <v>356</v>
      </c>
      <c r="Q1079" t="s">
        <v>3411</v>
      </c>
      <c r="R1079" s="52">
        <f>_xlfn.NUMBERVALUE(convertNumberStringPointToNumberComma(LEFT(Q1079,FIND("x",Q1079)-2)))</f>
        <v>79</v>
      </c>
      <c r="S1079" s="52">
        <f>_xlfn.NUMBERVALUE(convertNumberStringPointToNumberComma(LEFT(RIGHT(Q1079,LEN(Q1079)-FIND("x",Q1079)-1),LEN(RIGHT(Q1079,LEN(Q1079)-FIND("x",Q1079)-1))-2)))</f>
        <v>101.5</v>
      </c>
    </row>
    <row r="1080" spans="1:19" x14ac:dyDescent="0.25">
      <c r="A1080" t="s">
        <v>1598</v>
      </c>
      <c r="B1080" t="s">
        <v>1350</v>
      </c>
      <c r="E1080" t="s">
        <v>2644</v>
      </c>
      <c r="H1080" t="s">
        <v>15</v>
      </c>
      <c r="L1080" t="s">
        <v>2952</v>
      </c>
      <c r="M1080" t="s">
        <v>2708</v>
      </c>
      <c r="N1080" t="s">
        <v>903</v>
      </c>
      <c r="O1080" t="s">
        <v>339</v>
      </c>
      <c r="Q1080" t="s">
        <v>340</v>
      </c>
      <c r="R1080" s="52">
        <f>_xlfn.NUMBERVALUE(convertNumberStringPointToNumberComma(LEFT(Q1080,FIND("x",Q1080)-2)))</f>
        <v>79</v>
      </c>
      <c r="S1080" s="52">
        <f>_xlfn.NUMBERVALUE(convertNumberStringPointToNumberComma(LEFT(RIGHT(Q1080,LEN(Q1080)-FIND("x",Q1080)-1),LEN(RIGHT(Q1080,LEN(Q1080)-FIND("x",Q1080)-1))-2)))</f>
        <v>101</v>
      </c>
    </row>
    <row r="1081" spans="1:19" x14ac:dyDescent="0.25">
      <c r="A1081" t="s">
        <v>1599</v>
      </c>
      <c r="B1081" t="s">
        <v>1350</v>
      </c>
      <c r="E1081" t="s">
        <v>2644</v>
      </c>
      <c r="H1081" t="s">
        <v>15</v>
      </c>
      <c r="L1081" t="s">
        <v>2952</v>
      </c>
      <c r="M1081" t="s">
        <v>8</v>
      </c>
      <c r="N1081" t="s">
        <v>903</v>
      </c>
      <c r="O1081" t="s">
        <v>339</v>
      </c>
      <c r="Q1081" t="s">
        <v>340</v>
      </c>
      <c r="R1081" s="52">
        <f>_xlfn.NUMBERVALUE(convertNumberStringPointToNumberComma(LEFT(Q1081,FIND("x",Q1081)-2)))</f>
        <v>79</v>
      </c>
      <c r="S1081" s="52">
        <f>_xlfn.NUMBERVALUE(convertNumberStringPointToNumberComma(LEFT(RIGHT(Q1081,LEN(Q1081)-FIND("x",Q1081)-1),LEN(RIGHT(Q1081,LEN(Q1081)-FIND("x",Q1081)-1))-2)))</f>
        <v>101</v>
      </c>
    </row>
    <row r="1082" spans="1:19" x14ac:dyDescent="0.25">
      <c r="A1082" t="s">
        <v>2201</v>
      </c>
      <c r="B1082" t="s">
        <v>1350</v>
      </c>
      <c r="E1082" t="s">
        <v>2644</v>
      </c>
      <c r="H1082" t="s">
        <v>15</v>
      </c>
      <c r="L1082" t="s">
        <v>2952</v>
      </c>
      <c r="M1082" t="s">
        <v>2793</v>
      </c>
      <c r="N1082" t="s">
        <v>903</v>
      </c>
      <c r="O1082" t="s">
        <v>339</v>
      </c>
      <c r="Q1082" t="s">
        <v>340</v>
      </c>
      <c r="R1082" s="52">
        <f>_xlfn.NUMBERVALUE(convertNumberStringPointToNumberComma(LEFT(Q1082,FIND("x",Q1082)-2)))</f>
        <v>79</v>
      </c>
      <c r="S1082" s="52">
        <f>_xlfn.NUMBERVALUE(convertNumberStringPointToNumberComma(LEFT(RIGHT(Q1082,LEN(Q1082)-FIND("x",Q1082)-1),LEN(RIGHT(Q1082,LEN(Q1082)-FIND("x",Q1082)-1))-2)))</f>
        <v>101</v>
      </c>
    </row>
    <row r="1083" spans="1:19" x14ac:dyDescent="0.25">
      <c r="A1083" t="s">
        <v>2538</v>
      </c>
      <c r="B1083" t="s">
        <v>1001</v>
      </c>
      <c r="E1083" t="s">
        <v>2639</v>
      </c>
      <c r="H1083" t="s">
        <v>15</v>
      </c>
      <c r="L1083" t="s">
        <v>2677</v>
      </c>
      <c r="M1083" t="s">
        <v>2708</v>
      </c>
      <c r="N1083" t="s">
        <v>903</v>
      </c>
      <c r="O1083" t="s">
        <v>123</v>
      </c>
      <c r="Q1083" t="s">
        <v>357</v>
      </c>
      <c r="R1083" s="52">
        <f>_xlfn.NUMBERVALUE(convertNumberStringPointToNumberComma(LEFT(Q1083,FIND("x",Q1083)-2)))</f>
        <v>79</v>
      </c>
      <c r="S1083" s="52">
        <f>_xlfn.NUMBERVALUE(convertNumberStringPointToNumberComma(LEFT(RIGHT(Q1083,LEN(Q1083)-FIND("x",Q1083)-1),LEN(RIGHT(Q1083,LEN(Q1083)-FIND("x",Q1083)-1))-2)))</f>
        <v>102</v>
      </c>
    </row>
    <row r="1084" spans="1:19" x14ac:dyDescent="0.25">
      <c r="A1084" t="s">
        <v>1549</v>
      </c>
      <c r="B1084" t="s">
        <v>75</v>
      </c>
      <c r="E1084" t="s">
        <v>2638</v>
      </c>
      <c r="H1084" t="s">
        <v>15</v>
      </c>
      <c r="M1084" t="s">
        <v>8</v>
      </c>
      <c r="N1084" t="s">
        <v>913</v>
      </c>
      <c r="O1084" t="s">
        <v>77</v>
      </c>
      <c r="Q1084" t="s">
        <v>78</v>
      </c>
      <c r="R1084" s="52">
        <f>_xlfn.NUMBERVALUE(convertNumberStringPointToNumberComma(LEFT(Q1084,FIND("x",Q1084)-2)))</f>
        <v>79</v>
      </c>
      <c r="S1084" s="52">
        <f>_xlfn.NUMBERVALUE(convertNumberStringPointToNumberComma(LEFT(RIGHT(Q1084,LEN(Q1084)-FIND("x",Q1084)-1),LEN(RIGHT(Q1084,LEN(Q1084)-FIND("x",Q1084)-1))-2)))</f>
        <v>111</v>
      </c>
    </row>
    <row r="1085" spans="1:19" x14ac:dyDescent="0.25">
      <c r="A1085" t="s">
        <v>1010</v>
      </c>
      <c r="B1085" t="s">
        <v>863</v>
      </c>
      <c r="C1085" s="5">
        <f>convertNumberStringPointToNumberComma(IFERROR(LEFT(B1085,(FIND("-",B1085)-1)),LEFT(B1085,FIND("mm",B1085)-1)))</f>
        <v>90</v>
      </c>
      <c r="D1085" s="5">
        <f>convertNumberStringPointToNumberComma(IFERROR(RIGHT(LEFT(B1085,FIND("m",B1085)-1),LEN(LEFT(B1085,FIND("m",B1085)-1))-FIND("-",LEFT(B1085,FIND("m",B1085)-1))-1),C1085))</f>
        <v>90</v>
      </c>
      <c r="E1085" t="s">
        <v>2632</v>
      </c>
      <c r="F1085" s="9">
        <f>convertNumberStringPointToNumberComma(LEFT(MID(E1085,3,9),IFERROR(FIND("-",MID(E1085,3,9))-2,3)))</f>
        <v>2.8</v>
      </c>
      <c r="G1085" s="9">
        <f>convertNumberStringPointToNumberComma(RIGHT(E1085,IF(ISERROR(FIND(".",RIGHT(E1085,3))),1,3)))</f>
        <v>2.8</v>
      </c>
      <c r="H1085" t="s">
        <v>84</v>
      </c>
      <c r="I1085" s="5" t="str">
        <f>IF(H1085="none",0,LEFT(H1085,LEN(H1085)-2))</f>
        <v>62</v>
      </c>
      <c r="J1085" s="5" t="s">
        <v>343</v>
      </c>
      <c r="K1085" s="10">
        <f>IF(J1085="",0,convertNumberStringPointToNumberComma(LEFT(J1085,LEN(J1085)-1)))</f>
        <v>0.28000000000000003</v>
      </c>
      <c r="L1085" t="s">
        <v>2707</v>
      </c>
      <c r="M1085" t="s">
        <v>2682</v>
      </c>
      <c r="N1085" t="s">
        <v>913</v>
      </c>
      <c r="O1085" t="s">
        <v>246</v>
      </c>
      <c r="P1085" s="5" t="str">
        <f>LEFT(O1085,LEN(O1085)-1)</f>
        <v>610</v>
      </c>
      <c r="Q1085" t="s">
        <v>3260</v>
      </c>
      <c r="R1085" s="52">
        <f>_xlfn.NUMBERVALUE(convertNumberStringPointToNumberComma(LEFT(Q1085,FIND("x",Q1085)-2)))</f>
        <v>79</v>
      </c>
      <c r="S1085" s="52">
        <f>_xlfn.NUMBERVALUE(convertNumberStringPointToNumberComma(LEFT(RIGHT(Q1085,LEN(Q1085)-FIND("x",Q1085)-1),LEN(RIGHT(Q1085,LEN(Q1085)-FIND("x",Q1085)-1))-2)))</f>
        <v>117.1</v>
      </c>
    </row>
    <row r="1086" spans="1:19" x14ac:dyDescent="0.25">
      <c r="A1086" t="s">
        <v>2483</v>
      </c>
      <c r="B1086" t="s">
        <v>863</v>
      </c>
      <c r="E1086" t="s">
        <v>2632</v>
      </c>
      <c r="H1086" t="s">
        <v>84</v>
      </c>
      <c r="L1086" t="s">
        <v>2707</v>
      </c>
      <c r="M1086" t="s">
        <v>8</v>
      </c>
      <c r="N1086" t="s">
        <v>913</v>
      </c>
      <c r="O1086" t="s">
        <v>246</v>
      </c>
      <c r="Q1086" t="s">
        <v>3260</v>
      </c>
      <c r="R1086" s="52">
        <f>_xlfn.NUMBERVALUE(convertNumberStringPointToNumberComma(LEFT(Q1086,FIND("x",Q1086)-2)))</f>
        <v>79</v>
      </c>
      <c r="S1086" s="52">
        <f>_xlfn.NUMBERVALUE(convertNumberStringPointToNumberComma(LEFT(RIGHT(Q1086,LEN(Q1086)-FIND("x",Q1086)-1),LEN(RIGHT(Q1086,LEN(Q1086)-FIND("x",Q1086)-1))-2)))</f>
        <v>117.1</v>
      </c>
    </row>
    <row r="1087" spans="1:19" x14ac:dyDescent="0.25">
      <c r="A1087" t="s">
        <v>2462</v>
      </c>
      <c r="B1087" t="s">
        <v>61</v>
      </c>
      <c r="E1087" t="s">
        <v>2632</v>
      </c>
      <c r="H1087" t="s">
        <v>91</v>
      </c>
      <c r="L1087" t="s">
        <v>2707</v>
      </c>
      <c r="M1087" t="s">
        <v>2682</v>
      </c>
      <c r="N1087" t="s">
        <v>913</v>
      </c>
      <c r="O1087" t="s">
        <v>123</v>
      </c>
      <c r="Q1087" t="s">
        <v>4006</v>
      </c>
      <c r="R1087" s="52">
        <f>_xlfn.NUMBERVALUE(convertNumberStringPointToNumberComma(LEFT(Q1087,FIND("x",Q1087)-2)))</f>
        <v>79</v>
      </c>
      <c r="S1087" s="52">
        <f>_xlfn.NUMBERVALUE(convertNumberStringPointToNumberComma(LEFT(RIGHT(Q1087,LEN(Q1087)-FIND("x",Q1087)-1),LEN(RIGHT(Q1087,LEN(Q1087)-FIND("x",Q1087)-1))-2)))</f>
        <v>119</v>
      </c>
    </row>
    <row r="1088" spans="1:19" x14ac:dyDescent="0.25">
      <c r="A1088" t="s">
        <v>1550</v>
      </c>
      <c r="B1088" t="s">
        <v>148</v>
      </c>
      <c r="E1088" t="s">
        <v>2638</v>
      </c>
      <c r="H1088" t="s">
        <v>15</v>
      </c>
      <c r="M1088" t="s">
        <v>8</v>
      </c>
      <c r="N1088" t="s">
        <v>913</v>
      </c>
      <c r="O1088" t="s">
        <v>150</v>
      </c>
      <c r="Q1088" t="s">
        <v>151</v>
      </c>
      <c r="R1088" s="52">
        <f>_xlfn.NUMBERVALUE(convertNumberStringPointToNumberComma(LEFT(Q1088,FIND("x",Q1088)-2)))</f>
        <v>79</v>
      </c>
      <c r="S1088" s="52">
        <f>_xlfn.NUMBERVALUE(convertNumberStringPointToNumberComma(LEFT(RIGHT(Q1088,LEN(Q1088)-FIND("x",Q1088)-1),LEN(RIGHT(Q1088,LEN(Q1088)-FIND("x",Q1088)-1))-2)))</f>
        <v>120</v>
      </c>
    </row>
    <row r="1089" spans="1:19" x14ac:dyDescent="0.25">
      <c r="A1089" t="s">
        <v>2453</v>
      </c>
      <c r="B1089" t="s">
        <v>2454</v>
      </c>
      <c r="E1089" t="s">
        <v>2644</v>
      </c>
      <c r="H1089" t="s">
        <v>15</v>
      </c>
      <c r="L1089" t="s">
        <v>2816</v>
      </c>
      <c r="M1089" t="s">
        <v>8</v>
      </c>
      <c r="N1089" t="s">
        <v>903</v>
      </c>
      <c r="O1089" t="s">
        <v>907</v>
      </c>
      <c r="Q1089" t="s">
        <v>4002</v>
      </c>
      <c r="R1089" s="52">
        <f>_xlfn.NUMBERVALUE(convertNumberStringPointToNumberComma(LEFT(Q1089,FIND("x",Q1089)-2)))</f>
        <v>79</v>
      </c>
      <c r="S1089" s="52">
        <f>_xlfn.NUMBERVALUE(convertNumberStringPointToNumberComma(LEFT(RIGHT(Q1089,LEN(Q1089)-FIND("x",Q1089)-1),LEN(RIGHT(Q1089,LEN(Q1089)-FIND("x",Q1089)-1))-2)))</f>
        <v>121.4</v>
      </c>
    </row>
    <row r="1090" spans="1:19" x14ac:dyDescent="0.25">
      <c r="A1090" t="s">
        <v>2520</v>
      </c>
      <c r="B1090" t="s">
        <v>2454</v>
      </c>
      <c r="E1090" t="s">
        <v>2644</v>
      </c>
      <c r="H1090" t="s">
        <v>15</v>
      </c>
      <c r="L1090" t="s">
        <v>2816</v>
      </c>
      <c r="M1090" t="s">
        <v>2708</v>
      </c>
      <c r="N1090" t="s">
        <v>903</v>
      </c>
      <c r="O1090" t="s">
        <v>370</v>
      </c>
      <c r="Q1090" t="s">
        <v>4032</v>
      </c>
      <c r="R1090" s="52">
        <f>_xlfn.NUMBERVALUE(convertNumberStringPointToNumberComma(LEFT(Q1090,FIND("x",Q1090)-2)))</f>
        <v>79</v>
      </c>
      <c r="S1090" s="52">
        <f>_xlfn.NUMBERVALUE(convertNumberStringPointToNumberComma(LEFT(RIGHT(Q1090,LEN(Q1090)-FIND("x",Q1090)-1),LEN(RIGHT(Q1090,LEN(Q1090)-FIND("x",Q1090)-1))-2)))</f>
        <v>123.9</v>
      </c>
    </row>
    <row r="1091" spans="1:19" x14ac:dyDescent="0.25">
      <c r="A1091" t="s">
        <v>1084</v>
      </c>
      <c r="B1091" t="s">
        <v>863</v>
      </c>
      <c r="C1091" s="5">
        <f>convertNumberStringPointToNumberComma(IFERROR(LEFT(B1091,(FIND("-",B1091)-1)),LEFT(B1091,FIND("mm",B1091)-1)))</f>
        <v>90</v>
      </c>
      <c r="D1091" s="5">
        <f>convertNumberStringPointToNumberComma(IFERROR(RIGHT(LEFT(B1091,FIND("m",B1091)-1),LEN(LEFT(B1091,FIND("m",B1091)-1))-FIND("-",LEFT(B1091,FIND("m",B1091)-1))-1),C1091))</f>
        <v>90</v>
      </c>
      <c r="E1091" t="s">
        <v>2632</v>
      </c>
      <c r="F1091" s="9">
        <f>convertNumberStringPointToNumberComma(LEFT(MID(E1091,3,9),IFERROR(FIND("-",MID(E1091,3,9))-2,3)))</f>
        <v>2.8</v>
      </c>
      <c r="G1091" s="9">
        <f>convertNumberStringPointToNumberComma(RIGHT(E1091,IF(ISERROR(FIND(".",RIGHT(E1091,3))),1,3)))</f>
        <v>2.8</v>
      </c>
      <c r="H1091" t="s">
        <v>84</v>
      </c>
      <c r="I1091" s="5" t="str">
        <f>IF(H1091="none",0,LEFT(H1091,LEN(H1091)-2))</f>
        <v>62</v>
      </c>
      <c r="J1091" s="5" t="s">
        <v>343</v>
      </c>
      <c r="K1091" s="10">
        <f>IF(J1091="",0,convertNumberStringPointToNumberComma(LEFT(J1091,LEN(J1091)-1)))</f>
        <v>0.28000000000000003</v>
      </c>
      <c r="L1091" t="s">
        <v>2707</v>
      </c>
      <c r="M1091" t="s">
        <v>2674</v>
      </c>
      <c r="N1091" t="s">
        <v>913</v>
      </c>
      <c r="O1091" t="s">
        <v>2780</v>
      </c>
      <c r="P1091" s="5" t="str">
        <f>LEFT(O1091,LEN(O1091)-1)</f>
        <v>602</v>
      </c>
      <c r="Q1091" t="s">
        <v>3303</v>
      </c>
      <c r="R1091" s="52">
        <f>_xlfn.NUMBERVALUE(convertNumberStringPointToNumberComma(LEFT(Q1091,FIND("x",Q1091)-2)))</f>
        <v>79</v>
      </c>
      <c r="S1091" s="52">
        <f>_xlfn.NUMBERVALUE(convertNumberStringPointToNumberComma(LEFT(RIGHT(Q1091,LEN(Q1091)-FIND("x",Q1091)-1),LEN(RIGHT(Q1091,LEN(Q1091)-FIND("x",Q1091)-1))-2)))</f>
        <v>130.5</v>
      </c>
    </row>
    <row r="1092" spans="1:19" x14ac:dyDescent="0.25">
      <c r="A1092" t="s">
        <v>1084</v>
      </c>
      <c r="B1092" t="s">
        <v>863</v>
      </c>
      <c r="E1092" t="s">
        <v>2632</v>
      </c>
      <c r="H1092" t="s">
        <v>84</v>
      </c>
      <c r="L1092" t="s">
        <v>2707</v>
      </c>
      <c r="M1092" t="s">
        <v>2674</v>
      </c>
      <c r="N1092" t="s">
        <v>913</v>
      </c>
      <c r="O1092" t="s">
        <v>2780</v>
      </c>
      <c r="Q1092" t="s">
        <v>3303</v>
      </c>
      <c r="R1092" s="52">
        <f>_xlfn.NUMBERVALUE(convertNumberStringPointToNumberComma(LEFT(Q1092,FIND("x",Q1092)-2)))</f>
        <v>79</v>
      </c>
      <c r="S1092" s="52">
        <f>_xlfn.NUMBERVALUE(convertNumberStringPointToNumberComma(LEFT(RIGHT(Q1092,LEN(Q1092)-FIND("x",Q1092)-1),LEN(RIGHT(Q1092,LEN(Q1092)-FIND("x",Q1092)-1))-2)))</f>
        <v>130.5</v>
      </c>
    </row>
    <row r="1093" spans="1:19" x14ac:dyDescent="0.25">
      <c r="A1093" t="s">
        <v>1608</v>
      </c>
      <c r="B1093" t="s">
        <v>856</v>
      </c>
      <c r="E1093" t="s">
        <v>2649</v>
      </c>
      <c r="L1093" t="s">
        <v>2832</v>
      </c>
      <c r="M1093" t="s">
        <v>2681</v>
      </c>
      <c r="N1093" t="s">
        <v>2681</v>
      </c>
      <c r="O1093" t="s">
        <v>297</v>
      </c>
      <c r="Q1093" t="s">
        <v>3575</v>
      </c>
      <c r="R1093" s="52">
        <f>_xlfn.NUMBERVALUE(convertNumberStringPointToNumberComma(LEFT(Q1093,FIND("x",Q1093)-2)))</f>
        <v>79</v>
      </c>
      <c r="S1093" s="52">
        <f>_xlfn.NUMBERVALUE(convertNumberStringPointToNumberComma(LEFT(RIGHT(Q1093,LEN(Q1093)-FIND("x",Q1093)-1),LEN(RIGHT(Q1093,LEN(Q1093)-FIND("x",Q1093)-1))-2)))</f>
        <v>78</v>
      </c>
    </row>
    <row r="1094" spans="1:19" x14ac:dyDescent="0.25">
      <c r="A1094" t="s">
        <v>1158</v>
      </c>
      <c r="B1094" t="s">
        <v>1159</v>
      </c>
      <c r="C1094" s="5">
        <f>convertNumberStringPointToNumberComma(IFERROR(LEFT(B1094,(FIND("-",B1094)-1)),LEFT(B1094,FIND("mm",B1094)-1)))</f>
        <v>17</v>
      </c>
      <c r="D1094" s="5">
        <f>convertNumberStringPointToNumberComma(IFERROR(RIGHT(LEFT(B1094,FIND("m",B1094)-1),LEN(LEFT(B1094,FIND("m",B1094)-1))-FIND("-",LEFT(B1094,FIND("m",B1094)-1))-1),C1094))</f>
        <v>0</v>
      </c>
      <c r="E1094" t="s">
        <v>2637</v>
      </c>
      <c r="F1094" s="9">
        <f>convertNumberStringPointToNumberComma(LEFT(MID(E1094,3,9),IFERROR(FIND("-",MID(E1094,3,9))-2,3)))</f>
        <v>2</v>
      </c>
      <c r="G1094" s="9">
        <f>convertNumberStringPointToNumberComma(RIGHT(E1094,IF(ISERROR(FIND(".",RIGHT(E1094,3))),1,3)))</f>
        <v>4</v>
      </c>
      <c r="H1094" t="s">
        <v>15</v>
      </c>
      <c r="I1094" s="5" t="str">
        <f>IF(H1094="none",0,LEFT(H1094,LEN(H1094)-2))</f>
        <v>72</v>
      </c>
      <c r="J1094" s="5" t="s">
        <v>343</v>
      </c>
      <c r="K1094" s="10">
        <f>IF(J1094="",0,convertNumberStringPointToNumberComma(LEFT(J1094,LEN(J1094)-1)))</f>
        <v>0.28000000000000003</v>
      </c>
      <c r="L1094" t="s">
        <v>2816</v>
      </c>
      <c r="M1094" t="s">
        <v>2757</v>
      </c>
      <c r="N1094" t="s">
        <v>903</v>
      </c>
      <c r="O1094" t="s">
        <v>28</v>
      </c>
      <c r="P1094" s="5" t="str">
        <f>LEFT(O1094,LEN(O1094)-1)</f>
        <v>470</v>
      </c>
      <c r="Q1094" t="s">
        <v>300</v>
      </c>
      <c r="R1094" s="52">
        <f>_xlfn.NUMBERVALUE(convertNumberStringPointToNumberComma(LEFT(Q1094,FIND("x",Q1094)-2)))</f>
        <v>79</v>
      </c>
      <c r="S1094" s="52">
        <f>_xlfn.NUMBERVALUE(convertNumberStringPointToNumberComma(LEFT(RIGHT(Q1094,LEN(Q1094)-FIND("x",Q1094)-1),LEN(RIGHT(Q1094,LEN(Q1094)-FIND("x",Q1094)-1))-2)))</f>
        <v>82</v>
      </c>
    </row>
    <row r="1095" spans="1:19" x14ac:dyDescent="0.25">
      <c r="A1095" t="s">
        <v>1437</v>
      </c>
      <c r="B1095" t="s">
        <v>1159</v>
      </c>
      <c r="E1095" t="s">
        <v>2637</v>
      </c>
      <c r="H1095" t="s">
        <v>15</v>
      </c>
      <c r="L1095" t="s">
        <v>2816</v>
      </c>
      <c r="M1095" t="s">
        <v>2802</v>
      </c>
      <c r="N1095" t="s">
        <v>903</v>
      </c>
      <c r="O1095" t="s">
        <v>28</v>
      </c>
      <c r="Q1095" t="s">
        <v>300</v>
      </c>
      <c r="R1095" s="52">
        <f>_xlfn.NUMBERVALUE(convertNumberStringPointToNumberComma(LEFT(Q1095,FIND("x",Q1095)-2)))</f>
        <v>79</v>
      </c>
      <c r="S1095" s="52">
        <f>_xlfn.NUMBERVALUE(convertNumberStringPointToNumberComma(LEFT(RIGHT(Q1095,LEN(Q1095)-FIND("x",Q1095)-1),LEN(RIGHT(Q1095,LEN(Q1095)-FIND("x",Q1095)-1))-2)))</f>
        <v>82</v>
      </c>
    </row>
    <row r="1096" spans="1:19" x14ac:dyDescent="0.25">
      <c r="A1096" t="s">
        <v>1747</v>
      </c>
      <c r="B1096" t="s">
        <v>1159</v>
      </c>
      <c r="E1096" t="s">
        <v>2637</v>
      </c>
      <c r="H1096" t="s">
        <v>15</v>
      </c>
      <c r="L1096" t="s">
        <v>2816</v>
      </c>
      <c r="M1096" t="s">
        <v>2793</v>
      </c>
      <c r="N1096" t="s">
        <v>903</v>
      </c>
      <c r="O1096" t="s">
        <v>28</v>
      </c>
      <c r="Q1096" t="s">
        <v>300</v>
      </c>
      <c r="R1096" s="52">
        <f>_xlfn.NUMBERVALUE(convertNumberStringPointToNumberComma(LEFT(Q1096,FIND("x",Q1096)-2)))</f>
        <v>79</v>
      </c>
      <c r="S1096" s="52">
        <f>_xlfn.NUMBERVALUE(convertNumberStringPointToNumberComma(LEFT(RIGHT(Q1096,LEN(Q1096)-FIND("x",Q1096)-1),LEN(RIGHT(Q1096,LEN(Q1096)-FIND("x",Q1096)-1))-2)))</f>
        <v>82</v>
      </c>
    </row>
    <row r="1097" spans="1:19" x14ac:dyDescent="0.25">
      <c r="A1097" t="s">
        <v>2436</v>
      </c>
      <c r="B1097" t="s">
        <v>1159</v>
      </c>
      <c r="E1097" t="s">
        <v>2637</v>
      </c>
      <c r="H1097" t="s">
        <v>15</v>
      </c>
      <c r="L1097" t="s">
        <v>2816</v>
      </c>
      <c r="M1097" t="s">
        <v>8</v>
      </c>
      <c r="N1097" t="s">
        <v>903</v>
      </c>
      <c r="O1097" t="s">
        <v>28</v>
      </c>
      <c r="Q1097" t="s">
        <v>300</v>
      </c>
      <c r="R1097" s="52">
        <f>_xlfn.NUMBERVALUE(convertNumberStringPointToNumberComma(LEFT(Q1097,FIND("x",Q1097)-2)))</f>
        <v>79</v>
      </c>
      <c r="S1097" s="52">
        <f>_xlfn.NUMBERVALUE(convertNumberStringPointToNumberComma(LEFT(RIGHT(Q1097,LEN(Q1097)-FIND("x",Q1097)-1),LEN(RIGHT(Q1097,LEN(Q1097)-FIND("x",Q1097)-1))-2)))</f>
        <v>82</v>
      </c>
    </row>
    <row r="1098" spans="1:19" x14ac:dyDescent="0.25">
      <c r="A1098" t="s">
        <v>2560</v>
      </c>
      <c r="B1098" t="s">
        <v>1159</v>
      </c>
      <c r="E1098" t="s">
        <v>2637</v>
      </c>
      <c r="H1098" t="s">
        <v>15</v>
      </c>
      <c r="L1098" t="s">
        <v>2816</v>
      </c>
      <c r="M1098" t="s">
        <v>2708</v>
      </c>
      <c r="N1098" t="s">
        <v>903</v>
      </c>
      <c r="O1098" t="s">
        <v>28</v>
      </c>
      <c r="Q1098" t="s">
        <v>300</v>
      </c>
      <c r="R1098" s="52">
        <f>_xlfn.NUMBERVALUE(convertNumberStringPointToNumberComma(LEFT(Q1098,FIND("x",Q1098)-2)))</f>
        <v>79</v>
      </c>
      <c r="S1098" s="52">
        <f>_xlfn.NUMBERVALUE(convertNumberStringPointToNumberComma(LEFT(RIGHT(Q1098,LEN(Q1098)-FIND("x",Q1098)-1),LEN(RIGHT(Q1098,LEN(Q1098)-FIND("x",Q1098)-1))-2)))</f>
        <v>82</v>
      </c>
    </row>
    <row r="1099" spans="1:19" x14ac:dyDescent="0.25">
      <c r="A1099" t="s">
        <v>1254</v>
      </c>
      <c r="B1099" t="s">
        <v>592</v>
      </c>
      <c r="C1099" s="5">
        <f>convertNumberStringPointToNumberComma(IFERROR(LEFT(B1099,(FIND("-",B1099)-1)),LEFT(B1099,FIND("mm",B1099)-1)))</f>
        <v>35</v>
      </c>
      <c r="D1099" s="5">
        <f>convertNumberStringPointToNumberComma(IFERROR(RIGHT(LEFT(B1099,FIND("m",B1099)-1),LEN(LEFT(B1099,FIND("m",B1099)-1))-FIND("-",LEFT(B1099,FIND("m",B1099)-1))-1),C1099))</f>
        <v>35</v>
      </c>
      <c r="E1099" t="s">
        <v>2643</v>
      </c>
      <c r="F1099" s="9">
        <f>convertNumberStringPointToNumberComma(LEFT(MID(E1099,3,9),IFERROR(FIND("-",MID(E1099,3,9))-2,3)))</f>
        <v>1.4</v>
      </c>
      <c r="G1099" s="9">
        <f>convertNumberStringPointToNumberComma(RIGHT(E1099,IF(ISERROR(FIND(".",RIGHT(E1099,3))),1,3)))</f>
        <v>1.4</v>
      </c>
      <c r="H1099" t="s">
        <v>15</v>
      </c>
      <c r="I1099" s="5" t="str">
        <f>IF(H1099="none",0,LEFT(H1099,LEN(H1099)-2))</f>
        <v>72</v>
      </c>
      <c r="J1099" s="5" t="s">
        <v>122</v>
      </c>
      <c r="K1099" s="10">
        <f>IF(J1099="",0,convertNumberStringPointToNumberComma(LEFT(J1099,LEN(J1099)-1)))</f>
        <v>0.14000000000000001</v>
      </c>
      <c r="L1099" t="s">
        <v>2750</v>
      </c>
      <c r="M1099" t="s">
        <v>2682</v>
      </c>
      <c r="N1099" t="s">
        <v>913</v>
      </c>
      <c r="O1099" t="s">
        <v>726</v>
      </c>
      <c r="P1099" s="5" t="str">
        <f>LEFT(O1099,LEN(O1099)-1)</f>
        <v>580</v>
      </c>
      <c r="Q1099" t="s">
        <v>374</v>
      </c>
      <c r="R1099" s="52">
        <f>_xlfn.NUMBERVALUE(convertNumberStringPointToNumberComma(LEFT(Q1099,FIND("x",Q1099)-2)))</f>
        <v>79</v>
      </c>
      <c r="S1099" s="52">
        <f>_xlfn.NUMBERVALUE(convertNumberStringPointToNumberComma(LEFT(RIGHT(Q1099,LEN(Q1099)-FIND("x",Q1099)-1),LEN(RIGHT(Q1099,LEN(Q1099)-FIND("x",Q1099)-1))-2)))</f>
        <v>86</v>
      </c>
    </row>
    <row r="1100" spans="1:19" x14ac:dyDescent="0.25">
      <c r="A1100" t="s">
        <v>1379</v>
      </c>
      <c r="B1100" t="s">
        <v>1159</v>
      </c>
      <c r="E1100" t="s">
        <v>2637</v>
      </c>
      <c r="H1100" t="s">
        <v>15</v>
      </c>
      <c r="L1100" t="s">
        <v>2888</v>
      </c>
      <c r="M1100" t="s">
        <v>2708</v>
      </c>
      <c r="N1100" t="s">
        <v>903</v>
      </c>
      <c r="O1100" t="s">
        <v>292</v>
      </c>
      <c r="Q1100" t="s">
        <v>3460</v>
      </c>
      <c r="R1100" s="52">
        <f>_xlfn.NUMBERVALUE(convertNumberStringPointToNumberComma(LEFT(Q1100,FIND("x",Q1100)-2)))</f>
        <v>79</v>
      </c>
      <c r="S1100" s="52">
        <f>_xlfn.NUMBERVALUE(convertNumberStringPointToNumberComma(LEFT(RIGHT(Q1100,LEN(Q1100)-FIND("x",Q1100)-1),LEN(RIGHT(Q1100,LEN(Q1100)-FIND("x",Q1100)-1))-2)))</f>
        <v>88.9</v>
      </c>
    </row>
    <row r="1101" spans="1:19" x14ac:dyDescent="0.25">
      <c r="A1101" t="s">
        <v>1636</v>
      </c>
      <c r="B1101" t="s">
        <v>1159</v>
      </c>
      <c r="E1101" t="s">
        <v>2637</v>
      </c>
      <c r="H1101" t="s">
        <v>15</v>
      </c>
      <c r="L1101" t="s">
        <v>2888</v>
      </c>
      <c r="M1101" t="s">
        <v>2802</v>
      </c>
      <c r="N1101" t="s">
        <v>903</v>
      </c>
      <c r="O1101" t="s">
        <v>292</v>
      </c>
      <c r="Q1101" t="s">
        <v>3460</v>
      </c>
      <c r="R1101" s="52">
        <f>_xlfn.NUMBERVALUE(convertNumberStringPointToNumberComma(LEFT(Q1101,FIND("x",Q1101)-2)))</f>
        <v>79</v>
      </c>
      <c r="S1101" s="52">
        <f>_xlfn.NUMBERVALUE(convertNumberStringPointToNumberComma(LEFT(RIGHT(Q1101,LEN(Q1101)-FIND("x",Q1101)-1),LEN(RIGHT(Q1101,LEN(Q1101)-FIND("x",Q1101)-1))-2)))</f>
        <v>88.9</v>
      </c>
    </row>
    <row r="1102" spans="1:19" x14ac:dyDescent="0.25">
      <c r="A1102" t="s">
        <v>1637</v>
      </c>
      <c r="B1102" t="s">
        <v>1159</v>
      </c>
      <c r="E1102" t="s">
        <v>2637</v>
      </c>
      <c r="H1102" t="s">
        <v>15</v>
      </c>
      <c r="L1102" t="s">
        <v>2888</v>
      </c>
      <c r="M1102" t="s">
        <v>2757</v>
      </c>
      <c r="N1102" t="s">
        <v>903</v>
      </c>
      <c r="O1102" t="s">
        <v>292</v>
      </c>
      <c r="Q1102" t="s">
        <v>3460</v>
      </c>
      <c r="R1102" s="52">
        <f>_xlfn.NUMBERVALUE(convertNumberStringPointToNumberComma(LEFT(Q1102,FIND("x",Q1102)-2)))</f>
        <v>79</v>
      </c>
      <c r="S1102" s="52">
        <f>_xlfn.NUMBERVALUE(convertNumberStringPointToNumberComma(LEFT(RIGHT(Q1102,LEN(Q1102)-FIND("x",Q1102)-1),LEN(RIGHT(Q1102,LEN(Q1102)-FIND("x",Q1102)-1))-2)))</f>
        <v>88.9</v>
      </c>
    </row>
    <row r="1103" spans="1:19" x14ac:dyDescent="0.25">
      <c r="A1103" t="s">
        <v>2584</v>
      </c>
      <c r="B1103" t="s">
        <v>1159</v>
      </c>
      <c r="E1103" t="s">
        <v>2637</v>
      </c>
      <c r="H1103" t="s">
        <v>15</v>
      </c>
      <c r="L1103" t="s">
        <v>2888</v>
      </c>
      <c r="M1103" t="s">
        <v>8</v>
      </c>
      <c r="N1103" t="s">
        <v>903</v>
      </c>
      <c r="O1103" t="s">
        <v>292</v>
      </c>
      <c r="Q1103" t="s">
        <v>3460</v>
      </c>
      <c r="R1103" s="52">
        <f>_xlfn.NUMBERVALUE(convertNumberStringPointToNumberComma(LEFT(Q1103,FIND("x",Q1103)-2)))</f>
        <v>79</v>
      </c>
      <c r="S1103" s="52">
        <f>_xlfn.NUMBERVALUE(convertNumberStringPointToNumberComma(LEFT(RIGHT(Q1103,LEN(Q1103)-FIND("x",Q1103)-1),LEN(RIGHT(Q1103,LEN(Q1103)-FIND("x",Q1103)-1))-2)))</f>
        <v>88.9</v>
      </c>
    </row>
    <row r="1104" spans="1:19" x14ac:dyDescent="0.25">
      <c r="A1104" t="s">
        <v>2500</v>
      </c>
      <c r="B1104" t="s">
        <v>1286</v>
      </c>
      <c r="E1104" t="s">
        <v>2644</v>
      </c>
      <c r="H1104" t="s">
        <v>56</v>
      </c>
      <c r="M1104" t="s">
        <v>8</v>
      </c>
      <c r="N1104" t="s">
        <v>903</v>
      </c>
      <c r="O1104" t="s">
        <v>108</v>
      </c>
      <c r="Q1104" t="s">
        <v>354</v>
      </c>
      <c r="R1104" s="52">
        <f>_xlfn.NUMBERVALUE(convertNumberStringPointToNumberComma(LEFT(Q1104,FIND("x",Q1104)-2)))</f>
        <v>79</v>
      </c>
      <c r="S1104" s="52">
        <f>_xlfn.NUMBERVALUE(convertNumberStringPointToNumberComma(LEFT(RIGHT(Q1104,LEN(Q1104)-FIND("x",Q1104)-1),LEN(RIGHT(Q1104,LEN(Q1104)-FIND("x",Q1104)-1))-2)))</f>
        <v>99</v>
      </c>
    </row>
    <row r="1105" spans="1:19" x14ac:dyDescent="0.25">
      <c r="A1105" t="s">
        <v>1584</v>
      </c>
      <c r="B1105" t="s">
        <v>1499</v>
      </c>
      <c r="E1105" t="s">
        <v>2632</v>
      </c>
      <c r="H1105" t="s">
        <v>15</v>
      </c>
      <c r="L1105" t="s">
        <v>2679</v>
      </c>
      <c r="M1105" t="s">
        <v>2680</v>
      </c>
      <c r="N1105" t="s">
        <v>2681</v>
      </c>
      <c r="O1105" t="s">
        <v>399</v>
      </c>
      <c r="Q1105" t="s">
        <v>3570</v>
      </c>
      <c r="R1105" s="52">
        <f>_xlfn.NUMBERVALUE(convertNumberStringPointToNumberComma(LEFT(Q1105,FIND("x",Q1105)-2)))</f>
        <v>79.400000000000006</v>
      </c>
      <c r="S1105" s="52">
        <f>_xlfn.NUMBERVALUE(convertNumberStringPointToNumberComma(LEFT(RIGHT(Q1105,LEN(Q1105)-FIND("x",Q1105)-1),LEN(RIGHT(Q1105,LEN(Q1105)-FIND("x",Q1105)-1))-2)))</f>
        <v>160</v>
      </c>
    </row>
    <row r="1106" spans="1:19" x14ac:dyDescent="0.25">
      <c r="A1106" t="s">
        <v>2477</v>
      </c>
      <c r="B1106" t="s">
        <v>1499</v>
      </c>
      <c r="E1106" t="s">
        <v>2632</v>
      </c>
      <c r="H1106" t="s">
        <v>15</v>
      </c>
      <c r="L1106" t="s">
        <v>2679</v>
      </c>
      <c r="M1106" t="s">
        <v>2680</v>
      </c>
      <c r="N1106" t="s">
        <v>2681</v>
      </c>
      <c r="O1106" t="s">
        <v>399</v>
      </c>
      <c r="Q1106" t="s">
        <v>3570</v>
      </c>
      <c r="R1106" s="52">
        <f>_xlfn.NUMBERVALUE(convertNumberStringPointToNumberComma(LEFT(Q1106,FIND("x",Q1106)-2)))</f>
        <v>79.400000000000006</v>
      </c>
      <c r="S1106" s="52">
        <f>_xlfn.NUMBERVALUE(convertNumberStringPointToNumberComma(LEFT(RIGHT(Q1106,LEN(Q1106)-FIND("x",Q1106)-1),LEN(RIGHT(Q1106,LEN(Q1106)-FIND("x",Q1106)-1))-2)))</f>
        <v>160</v>
      </c>
    </row>
    <row r="1107" spans="1:19" x14ac:dyDescent="0.25">
      <c r="A1107" t="s">
        <v>1485</v>
      </c>
      <c r="B1107" t="s">
        <v>1322</v>
      </c>
      <c r="E1107" t="s">
        <v>2634</v>
      </c>
      <c r="H1107" t="s">
        <v>2667</v>
      </c>
      <c r="L1107" t="s">
        <v>2677</v>
      </c>
      <c r="M1107" t="s">
        <v>2802</v>
      </c>
      <c r="N1107" t="s">
        <v>903</v>
      </c>
      <c r="O1107" t="s">
        <v>2896</v>
      </c>
      <c r="Q1107" t="s">
        <v>3518</v>
      </c>
      <c r="R1107" s="52">
        <f>_xlfn.NUMBERVALUE(convertNumberStringPointToNumberComma(LEFT(Q1107,FIND("x",Q1107)-2)))</f>
        <v>79.5</v>
      </c>
      <c r="S1107" s="52">
        <f>_xlfn.NUMBERVALUE(convertNumberStringPointToNumberComma(LEFT(RIGHT(Q1107,LEN(Q1107)-FIND("x",Q1107)-1),LEN(RIGHT(Q1107,LEN(Q1107)-FIND("x",Q1107)-1))-2)))</f>
        <v>69</v>
      </c>
    </row>
    <row r="1108" spans="1:19" x14ac:dyDescent="0.25">
      <c r="A1108" t="s">
        <v>2092</v>
      </c>
      <c r="B1108" t="s">
        <v>2093</v>
      </c>
      <c r="E1108" t="s">
        <v>2637</v>
      </c>
      <c r="H1108" t="s">
        <v>15</v>
      </c>
      <c r="M1108" t="s">
        <v>2757</v>
      </c>
      <c r="N1108" t="s">
        <v>903</v>
      </c>
      <c r="O1108" t="s">
        <v>321</v>
      </c>
      <c r="Q1108" t="s">
        <v>3832</v>
      </c>
      <c r="R1108" s="52">
        <f>_xlfn.NUMBERVALUE(convertNumberStringPointToNumberComma(LEFT(Q1108,FIND("x",Q1108)-2)))</f>
        <v>79.5</v>
      </c>
      <c r="S1108" s="52">
        <f>_xlfn.NUMBERVALUE(convertNumberStringPointToNumberComma(LEFT(RIGHT(Q1108,LEN(Q1108)-FIND("x",Q1108)-1),LEN(RIGHT(Q1108,LEN(Q1108)-FIND("x",Q1108)-1))-2)))</f>
        <v>77</v>
      </c>
    </row>
    <row r="1109" spans="1:19" x14ac:dyDescent="0.25">
      <c r="A1109" t="s">
        <v>1381</v>
      </c>
      <c r="B1109" t="s">
        <v>942</v>
      </c>
      <c r="E1109" t="s">
        <v>2637</v>
      </c>
      <c r="H1109" t="s">
        <v>15</v>
      </c>
      <c r="L1109" t="s">
        <v>2710</v>
      </c>
      <c r="M1109" t="s">
        <v>2681</v>
      </c>
      <c r="N1109" t="s">
        <v>2681</v>
      </c>
      <c r="O1109" t="s">
        <v>472</v>
      </c>
      <c r="Q1109" t="s">
        <v>3462</v>
      </c>
      <c r="R1109" s="52">
        <f>_xlfn.NUMBERVALUE(convertNumberStringPointToNumberComma(LEFT(Q1109,FIND("x",Q1109)-2)))</f>
        <v>79.5</v>
      </c>
      <c r="S1109" s="52">
        <f>_xlfn.NUMBERVALUE(convertNumberStringPointToNumberComma(LEFT(RIGHT(Q1109,LEN(Q1109)-FIND("x",Q1109)-1),LEN(RIGHT(Q1109,LEN(Q1109)-FIND("x",Q1109)-1))-2)))</f>
        <v>98.5</v>
      </c>
    </row>
    <row r="1110" spans="1:19" x14ac:dyDescent="0.25">
      <c r="A1110" t="s">
        <v>1244</v>
      </c>
      <c r="B1110" t="s">
        <v>1245</v>
      </c>
      <c r="C1110" s="5">
        <f>convertNumberStringPointToNumberComma(IFERROR(LEFT(B1110,(FIND("-",B1110)-1)),LEFT(B1110,FIND("mm",B1110)-1)))</f>
        <v>18</v>
      </c>
      <c r="D1110" s="5">
        <f>convertNumberStringPointToNumberComma(IFERROR(RIGHT(LEFT(B1110,FIND("m",B1110)-1),LEN(LEFT(B1110,FIND("m",B1110)-1))-FIND("-",LEFT(B1110,FIND("m",B1110)-1))-1),C1110))</f>
        <v>70</v>
      </c>
      <c r="E1110" t="s">
        <v>2644</v>
      </c>
      <c r="F1110" s="9">
        <f>convertNumberStringPointToNumberComma(LEFT(MID(E1110,3,9),IFERROR(FIND("-",MID(E1110,3,9))-2,3)))</f>
        <v>3</v>
      </c>
      <c r="G1110" s="9">
        <f>convertNumberStringPointToNumberComma(RIGHT(E1110,IF(ISERROR(FIND(".",RIGHT(E1110,3))),1,3)))</f>
        <v>6.3</v>
      </c>
      <c r="H1110" t="s">
        <v>15</v>
      </c>
      <c r="I1110" s="5" t="str">
        <f>IF(H1110="none",0,LEFT(H1110,LEN(H1110)-2))</f>
        <v>72</v>
      </c>
      <c r="J1110" s="5"/>
      <c r="K1110" s="10">
        <f>IF(J1110="",0,convertNumberStringPointToNumberComma(LEFT(J1110,LEN(J1110)-1)))</f>
        <v>0</v>
      </c>
      <c r="L1110" t="s">
        <v>2854</v>
      </c>
      <c r="M1110" t="s">
        <v>2708</v>
      </c>
      <c r="N1110" t="s">
        <v>903</v>
      </c>
      <c r="O1110" t="s">
        <v>108</v>
      </c>
      <c r="P1110" s="5" t="str">
        <f>LEFT(O1110,LEN(O1110)-1)</f>
        <v>550</v>
      </c>
      <c r="Q1110" t="s">
        <v>3388</v>
      </c>
      <c r="R1110" s="52">
        <f>_xlfn.NUMBERVALUE(convertNumberStringPointToNumberComma(LEFT(Q1110,FIND("x",Q1110)-2)))</f>
        <v>79.599999999999994</v>
      </c>
      <c r="S1110" s="52">
        <f>_xlfn.NUMBERVALUE(convertNumberStringPointToNumberComma(LEFT(RIGHT(Q1110,LEN(Q1110)-FIND("x",Q1110)-1),LEN(RIGHT(Q1110,LEN(Q1110)-FIND("x",Q1110)-1))-2)))</f>
        <v>101</v>
      </c>
    </row>
    <row r="1111" spans="1:19" x14ac:dyDescent="0.25">
      <c r="A1111" t="s">
        <v>1931</v>
      </c>
      <c r="B1111" t="s">
        <v>216</v>
      </c>
      <c r="E1111" t="s">
        <v>2632</v>
      </c>
      <c r="H1111" t="s">
        <v>15</v>
      </c>
      <c r="L1111" t="s">
        <v>2707</v>
      </c>
      <c r="M1111" t="s">
        <v>2757</v>
      </c>
      <c r="N1111" t="s">
        <v>913</v>
      </c>
      <c r="Q1111" t="s">
        <v>3757</v>
      </c>
      <c r="R1111" s="52">
        <f>_xlfn.NUMBERVALUE(convertNumberStringPointToNumberComma(LEFT(Q1111,FIND("x",Q1111)-2)))</f>
        <v>79.599999999999994</v>
      </c>
      <c r="S1111" s="52">
        <f>_xlfn.NUMBERVALUE(convertNumberStringPointToNumberComma(LEFT(RIGHT(Q1111,LEN(Q1111)-FIND("x",Q1111)-1),LEN(RIGHT(Q1111,LEN(Q1111)-FIND("x",Q1111)-1))-2)))</f>
        <v>150</v>
      </c>
    </row>
    <row r="1112" spans="1:19" x14ac:dyDescent="0.25">
      <c r="A1112" t="s">
        <v>1932</v>
      </c>
      <c r="B1112" t="s">
        <v>216</v>
      </c>
      <c r="E1112" t="s">
        <v>2632</v>
      </c>
      <c r="H1112" t="s">
        <v>15</v>
      </c>
      <c r="L1112" t="s">
        <v>2707</v>
      </c>
      <c r="M1112" t="s">
        <v>2793</v>
      </c>
      <c r="N1112" t="s">
        <v>903</v>
      </c>
      <c r="Q1112" t="s">
        <v>3757</v>
      </c>
      <c r="R1112" s="52">
        <f>_xlfn.NUMBERVALUE(convertNumberStringPointToNumberComma(LEFT(Q1112,FIND("x",Q1112)-2)))</f>
        <v>79.599999999999994</v>
      </c>
      <c r="S1112" s="52">
        <f>_xlfn.NUMBERVALUE(convertNumberStringPointToNumberComma(LEFT(RIGHT(Q1112,LEN(Q1112)-FIND("x",Q1112)-1),LEN(RIGHT(Q1112,LEN(Q1112)-FIND("x",Q1112)-1))-2)))</f>
        <v>150</v>
      </c>
    </row>
    <row r="1113" spans="1:19" x14ac:dyDescent="0.25">
      <c r="A1113" t="s">
        <v>1933</v>
      </c>
      <c r="B1113" t="s">
        <v>216</v>
      </c>
      <c r="E1113" t="s">
        <v>2632</v>
      </c>
      <c r="H1113" t="s">
        <v>15</v>
      </c>
      <c r="L1113" t="s">
        <v>2707</v>
      </c>
      <c r="M1113" t="s">
        <v>2682</v>
      </c>
      <c r="N1113" t="s">
        <v>913</v>
      </c>
      <c r="O1113" t="s">
        <v>3008</v>
      </c>
      <c r="Q1113" t="s">
        <v>3757</v>
      </c>
      <c r="R1113" s="52">
        <f>_xlfn.NUMBERVALUE(convertNumberStringPointToNumberComma(LEFT(Q1113,FIND("x",Q1113)-2)))</f>
        <v>79.599999999999994</v>
      </c>
      <c r="S1113" s="52">
        <f>_xlfn.NUMBERVALUE(convertNumberStringPointToNumberComma(LEFT(RIGHT(Q1113,LEN(Q1113)-FIND("x",Q1113)-1),LEN(RIGHT(Q1113,LEN(Q1113)-FIND("x",Q1113)-1))-2)))</f>
        <v>150</v>
      </c>
    </row>
    <row r="1114" spans="1:19" x14ac:dyDescent="0.25">
      <c r="A1114" t="s">
        <v>2613</v>
      </c>
      <c r="B1114" t="s">
        <v>216</v>
      </c>
      <c r="E1114" t="s">
        <v>2632</v>
      </c>
      <c r="H1114" t="s">
        <v>15</v>
      </c>
      <c r="L1114" t="s">
        <v>2707</v>
      </c>
      <c r="M1114" t="s">
        <v>8</v>
      </c>
      <c r="N1114" t="s">
        <v>913</v>
      </c>
      <c r="O1114" t="s">
        <v>3008</v>
      </c>
      <c r="Q1114" t="s">
        <v>3757</v>
      </c>
      <c r="R1114" s="52">
        <f>_xlfn.NUMBERVALUE(convertNumberStringPointToNumberComma(LEFT(Q1114,FIND("x",Q1114)-2)))</f>
        <v>79.599999999999994</v>
      </c>
      <c r="S1114" s="52">
        <f>_xlfn.NUMBERVALUE(convertNumberStringPointToNumberComma(LEFT(RIGHT(Q1114,LEN(Q1114)-FIND("x",Q1114)-1),LEN(RIGHT(Q1114,LEN(Q1114)-FIND("x",Q1114)-1))-2)))</f>
        <v>150</v>
      </c>
    </row>
    <row r="1115" spans="1:19" x14ac:dyDescent="0.25">
      <c r="A1115" t="s">
        <v>1396</v>
      </c>
      <c r="B1115" t="s">
        <v>1079</v>
      </c>
      <c r="E1115" t="s">
        <v>2632</v>
      </c>
      <c r="H1115" t="s">
        <v>15</v>
      </c>
      <c r="L1115" t="s">
        <v>2695</v>
      </c>
      <c r="M1115" t="s">
        <v>2708</v>
      </c>
      <c r="N1115" t="s">
        <v>903</v>
      </c>
      <c r="O1115" t="s">
        <v>105</v>
      </c>
      <c r="Q1115" t="s">
        <v>3471</v>
      </c>
      <c r="R1115" s="52">
        <f>_xlfn.NUMBERVALUE(convertNumberStringPointToNumberComma(LEFT(Q1115,FIND("x",Q1115)-2)))</f>
        <v>79.599999999999994</v>
      </c>
      <c r="S1115" s="52">
        <f>_xlfn.NUMBERVALUE(convertNumberStringPointToNumberComma(LEFT(RIGHT(Q1115,LEN(Q1115)-FIND("x",Q1115)-1),LEN(RIGHT(Q1115,LEN(Q1115)-FIND("x",Q1115)-1))-2)))</f>
        <v>94.5</v>
      </c>
    </row>
    <row r="1116" spans="1:19" x14ac:dyDescent="0.25">
      <c r="A1116" t="s">
        <v>2504</v>
      </c>
      <c r="B1116" t="s">
        <v>1079</v>
      </c>
      <c r="E1116" t="s">
        <v>2632</v>
      </c>
      <c r="H1116" t="s">
        <v>15</v>
      </c>
      <c r="L1116" t="s">
        <v>2695</v>
      </c>
      <c r="M1116" t="s">
        <v>8</v>
      </c>
      <c r="N1116" t="s">
        <v>903</v>
      </c>
      <c r="O1116" t="s">
        <v>105</v>
      </c>
      <c r="Q1116" t="s">
        <v>3471</v>
      </c>
      <c r="R1116" s="52">
        <f>_xlfn.NUMBERVALUE(convertNumberStringPointToNumberComma(LEFT(Q1116,FIND("x",Q1116)-2)))</f>
        <v>79.599999999999994</v>
      </c>
      <c r="S1116" s="52">
        <f>_xlfn.NUMBERVALUE(convertNumberStringPointToNumberComma(LEFT(RIGHT(Q1116,LEN(Q1116)-FIND("x",Q1116)-1),LEN(RIGHT(Q1116,LEN(Q1116)-FIND("x",Q1116)-1))-2)))</f>
        <v>94.5</v>
      </c>
    </row>
    <row r="1117" spans="1:19" x14ac:dyDescent="0.25">
      <c r="A1117" t="s">
        <v>1293</v>
      </c>
      <c r="B1117" t="s">
        <v>927</v>
      </c>
      <c r="E1117" t="s">
        <v>2634</v>
      </c>
      <c r="H1117" t="s">
        <v>91</v>
      </c>
      <c r="L1117" t="s">
        <v>2703</v>
      </c>
      <c r="M1117" t="s">
        <v>2681</v>
      </c>
      <c r="N1117" t="s">
        <v>2681</v>
      </c>
      <c r="O1117" t="s">
        <v>508</v>
      </c>
      <c r="Q1117" t="s">
        <v>3414</v>
      </c>
      <c r="R1117" s="52">
        <f>_xlfn.NUMBERVALUE(convertNumberStringPointToNumberComma(LEFT(Q1117,FIND("x",Q1117)-2)))</f>
        <v>80</v>
      </c>
      <c r="S1117" s="52">
        <f>_xlfn.NUMBERVALUE(convertNumberStringPointToNumberComma(LEFT(RIGHT(Q1117,LEN(Q1117)-FIND("x",Q1117)-1),LEN(RIGHT(Q1117,LEN(Q1117)-FIND("x",Q1117)-1))-2)))</f>
        <v>127</v>
      </c>
    </row>
    <row r="1118" spans="1:19" x14ac:dyDescent="0.25">
      <c r="A1118" t="s">
        <v>2450</v>
      </c>
      <c r="B1118" t="s">
        <v>927</v>
      </c>
      <c r="E1118" t="s">
        <v>2636</v>
      </c>
      <c r="H1118" t="s">
        <v>56</v>
      </c>
      <c r="L1118" t="s">
        <v>2728</v>
      </c>
      <c r="M1118" t="s">
        <v>8</v>
      </c>
      <c r="N1118" t="s">
        <v>913</v>
      </c>
      <c r="O1118" t="s">
        <v>272</v>
      </c>
      <c r="Q1118" t="s">
        <v>3999</v>
      </c>
      <c r="R1118" s="52">
        <f>_xlfn.NUMBERVALUE(convertNumberStringPointToNumberComma(LEFT(Q1118,FIND("x",Q1118)-2)))</f>
        <v>80</v>
      </c>
      <c r="S1118" s="52">
        <f>_xlfn.NUMBERVALUE(convertNumberStringPointToNumberComma(LEFT(RIGHT(Q1118,LEN(Q1118)-FIND("x",Q1118)-1),LEN(RIGHT(Q1118,LEN(Q1118)-FIND("x",Q1118)-1))-2)))</f>
        <v>143.5</v>
      </c>
    </row>
    <row r="1119" spans="1:19" x14ac:dyDescent="0.25">
      <c r="A1119" t="s">
        <v>2450</v>
      </c>
      <c r="B1119" t="s">
        <v>927</v>
      </c>
      <c r="E1119" t="s">
        <v>2636</v>
      </c>
      <c r="H1119" t="s">
        <v>56</v>
      </c>
      <c r="L1119" t="s">
        <v>2728</v>
      </c>
      <c r="M1119" t="s">
        <v>8</v>
      </c>
      <c r="N1119" t="s">
        <v>913</v>
      </c>
      <c r="O1119" t="s">
        <v>272</v>
      </c>
      <c r="Q1119" t="s">
        <v>3999</v>
      </c>
      <c r="R1119" s="52">
        <f>_xlfn.NUMBERVALUE(convertNumberStringPointToNumberComma(LEFT(Q1119,FIND("x",Q1119)-2)))</f>
        <v>80</v>
      </c>
      <c r="S1119" s="52">
        <f>_xlfn.NUMBERVALUE(convertNumberStringPointToNumberComma(LEFT(RIGHT(Q1119,LEN(Q1119)-FIND("x",Q1119)-1),LEN(RIGHT(Q1119,LEN(Q1119)-FIND("x",Q1119)-1))-2)))</f>
        <v>143.5</v>
      </c>
    </row>
    <row r="1120" spans="1:19" x14ac:dyDescent="0.25">
      <c r="A1120" t="s">
        <v>1037</v>
      </c>
      <c r="B1120" t="s">
        <v>927</v>
      </c>
      <c r="C1120" s="5">
        <f>convertNumberStringPointToNumberComma(IFERROR(LEFT(B1120,(FIND("-",B1120)-1)),LEFT(B1120,FIND("mm",B1120)-1)))</f>
        <v>70</v>
      </c>
      <c r="D1120" s="5">
        <f>convertNumberStringPointToNumberComma(IFERROR(RIGHT(LEFT(B1120,FIND("m",B1120)-1),LEN(LEFT(B1120,FIND("m",B1120)-1))-FIND("-",LEFT(B1120,FIND("m",B1120)-1))-1),C1120))</f>
        <v>0</v>
      </c>
      <c r="E1120" t="s">
        <v>2634</v>
      </c>
      <c r="F1120" s="9">
        <f>convertNumberStringPointToNumberComma(LEFT(MID(E1120,3,9),IFERROR(FIND("-",MID(E1120,3,9))-2,3)))</f>
        <v>4</v>
      </c>
      <c r="G1120" s="9">
        <f>convertNumberStringPointToNumberComma(RIGHT(E1120,IF(ISERROR(FIND(".",RIGHT(E1120,3))),1,3)))</f>
        <v>5.6</v>
      </c>
      <c r="H1120" t="s">
        <v>56</v>
      </c>
      <c r="I1120" s="5" t="str">
        <f>IF(H1120="none",0,LEFT(H1120,LEN(H1120)-2))</f>
        <v>67</v>
      </c>
      <c r="J1120" s="5" t="s">
        <v>32</v>
      </c>
      <c r="K1120" s="10">
        <f>IF(J1120="",0,convertNumberStringPointToNumberComma(LEFT(J1120,LEN(J1120)-1)))</f>
        <v>0.12</v>
      </c>
      <c r="L1120" t="s">
        <v>2728</v>
      </c>
      <c r="M1120" t="s">
        <v>2682</v>
      </c>
      <c r="N1120" t="s">
        <v>913</v>
      </c>
      <c r="O1120" t="s">
        <v>370</v>
      </c>
      <c r="P1120" s="5" t="str">
        <f>LEFT(O1120,LEN(O1120)-1)</f>
        <v>710</v>
      </c>
      <c r="Q1120" t="s">
        <v>3277</v>
      </c>
      <c r="R1120" s="52">
        <f>_xlfn.NUMBERVALUE(convertNumberStringPointToNumberComma(LEFT(Q1120,FIND("x",Q1120)-2)))</f>
        <v>80</v>
      </c>
      <c r="S1120" s="52">
        <f>_xlfn.NUMBERVALUE(convertNumberStringPointToNumberComma(LEFT(RIGHT(Q1120,LEN(Q1120)-FIND("x",Q1120)-1),LEN(RIGHT(Q1120,LEN(Q1120)-FIND("x",Q1120)-1))-2)))</f>
        <v>145.5</v>
      </c>
    </row>
    <row r="1121" spans="1:19" x14ac:dyDescent="0.25">
      <c r="A1121" t="s">
        <v>972</v>
      </c>
      <c r="B1121" t="s">
        <v>933</v>
      </c>
      <c r="C1121" s="5">
        <f>convertNumberStringPointToNumberComma(IFERROR(LEFT(B1121,(FIND("-",B1121)-1)),LEFT(B1121,FIND("mm",B1121)-1)))</f>
        <v>70</v>
      </c>
      <c r="D1121" s="5">
        <f>convertNumberStringPointToNumberComma(IFERROR(RIGHT(LEFT(B1121,FIND("m",B1121)-1),LEN(LEFT(B1121,FIND("m",B1121)-1))-FIND("-",LEFT(B1121,FIND("m",B1121)-1))-1),C1121))</f>
        <v>0</v>
      </c>
      <c r="E1121" t="s">
        <v>2633</v>
      </c>
      <c r="F1121" s="9">
        <f>convertNumberStringPointToNumberComma(LEFT(MID(E1121,3,9),IFERROR(FIND("-",MID(E1121,3,9))-2,3)))</f>
        <v>4</v>
      </c>
      <c r="G1121" s="9">
        <f>convertNumberStringPointToNumberComma(RIGHT(E1121,IF(ISERROR(FIND(".",RIGHT(E1121,3))),1,3)))</f>
        <v>4</v>
      </c>
      <c r="H1121" t="s">
        <v>15</v>
      </c>
      <c r="I1121" s="5" t="str">
        <f>IF(H1121="none",0,LEFT(H1121,LEN(H1121)-2))</f>
        <v>72</v>
      </c>
      <c r="J1121" s="5" t="s">
        <v>162</v>
      </c>
      <c r="K1121" s="10">
        <f>IF(J1121="",0,convertNumberStringPointToNumberComma(LEFT(J1121,LEN(J1121)-1)))</f>
        <v>0.25</v>
      </c>
      <c r="L1121" t="s">
        <v>2684</v>
      </c>
      <c r="M1121" t="s">
        <v>2674</v>
      </c>
      <c r="N1121" t="s">
        <v>913</v>
      </c>
      <c r="O1121" t="s">
        <v>2723</v>
      </c>
      <c r="P1121" s="5" t="str">
        <f>LEFT(O1121,LEN(O1121)-1)</f>
        <v>840</v>
      </c>
      <c r="Q1121" t="s">
        <v>3232</v>
      </c>
      <c r="R1121" s="52">
        <f>_xlfn.NUMBERVALUE(convertNumberStringPointToNumberComma(LEFT(Q1121,FIND("x",Q1121)-2)))</f>
        <v>80</v>
      </c>
      <c r="S1121" s="52">
        <f>_xlfn.NUMBERVALUE(convertNumberStringPointToNumberComma(LEFT(RIGHT(Q1121,LEN(Q1121)-FIND("x",Q1121)-1),LEN(RIGHT(Q1121,LEN(Q1121)-FIND("x",Q1121)-1))-2)))</f>
        <v>175</v>
      </c>
    </row>
    <row r="1122" spans="1:19" x14ac:dyDescent="0.25">
      <c r="A1122" t="s">
        <v>1921</v>
      </c>
      <c r="B1122" t="s">
        <v>1922</v>
      </c>
      <c r="E1122" t="s">
        <v>2647</v>
      </c>
      <c r="H1122" t="s">
        <v>56</v>
      </c>
      <c r="L1122" t="s">
        <v>2750</v>
      </c>
      <c r="M1122" t="s">
        <v>2989</v>
      </c>
      <c r="N1122" t="s">
        <v>913</v>
      </c>
      <c r="O1122" t="s">
        <v>163</v>
      </c>
      <c r="Q1122" t="s">
        <v>3749</v>
      </c>
      <c r="R1122" s="52">
        <f>_xlfn.NUMBERVALUE(convertNumberStringPointToNumberComma(LEFT(Q1122,FIND("x",Q1122)-2)))</f>
        <v>80</v>
      </c>
      <c r="S1122" s="52">
        <f>_xlfn.NUMBERVALUE(convertNumberStringPointToNumberComma(LEFT(RIGHT(Q1122,LEN(Q1122)-FIND("x",Q1122)-1),LEN(RIGHT(Q1122,LEN(Q1122)-FIND("x",Q1122)-1))-2)))</f>
        <v>201</v>
      </c>
    </row>
    <row r="1123" spans="1:19" x14ac:dyDescent="0.25">
      <c r="A1123" t="s">
        <v>1052</v>
      </c>
      <c r="B1123" t="s">
        <v>822</v>
      </c>
      <c r="C1123" s="5">
        <f>convertNumberStringPointToNumberComma(IFERROR(LEFT(B1123,(FIND("-",B1123)-1)),LEFT(B1123,FIND("mm",B1123)-1)))</f>
        <v>85</v>
      </c>
      <c r="D1123" s="5">
        <f>convertNumberStringPointToNumberComma(IFERROR(RIGHT(LEFT(B1123,FIND("m",B1123)-1),LEN(LEFT(B1123,FIND("m",B1123)-1))-FIND("-",LEFT(B1123,FIND("m",B1123)-1))-1),C1123))</f>
        <v>85</v>
      </c>
      <c r="E1123" t="s">
        <v>2635</v>
      </c>
      <c r="F1123" s="9">
        <f>convertNumberStringPointToNumberComma(LEFT(MID(E1123,3,9),IFERROR(FIND("-",MID(E1123,3,9))-2,3)))</f>
        <v>1.8</v>
      </c>
      <c r="G1123" s="9">
        <f>convertNumberStringPointToNumberComma(RIGHT(E1123,IF(ISERROR(FIND(".",RIGHT(E1123,3))),1,3)))</f>
        <v>1.8</v>
      </c>
      <c r="H1123" t="s">
        <v>56</v>
      </c>
      <c r="I1123" s="5" t="str">
        <f>IF(H1123="none",0,LEFT(H1123,LEN(H1123)-2))</f>
        <v>67</v>
      </c>
      <c r="J1123" s="5" t="s">
        <v>144</v>
      </c>
      <c r="K1123" s="10">
        <f>IF(J1123="",0,convertNumberStringPointToNumberComma(LEFT(J1123,LEN(J1123)-1)))</f>
        <v>0.24</v>
      </c>
      <c r="L1123" t="s">
        <v>2765</v>
      </c>
      <c r="M1123" t="s">
        <v>8</v>
      </c>
      <c r="N1123" t="s">
        <v>913</v>
      </c>
      <c r="O1123" t="s">
        <v>10</v>
      </c>
      <c r="P1123" s="5" t="str">
        <f>LEFT(O1123,LEN(O1123)-1)</f>
        <v>350</v>
      </c>
      <c r="Q1123" t="s">
        <v>823</v>
      </c>
      <c r="R1123" s="52">
        <f>_xlfn.NUMBERVALUE(convertNumberStringPointToNumberComma(LEFT(Q1123,FIND("x",Q1123)-2)))</f>
        <v>80</v>
      </c>
      <c r="S1123" s="52">
        <f>_xlfn.NUMBERVALUE(convertNumberStringPointToNumberComma(LEFT(RIGHT(Q1123,LEN(Q1123)-FIND("x",Q1123)-1),LEN(RIGHT(Q1123,LEN(Q1123)-FIND("x",Q1123)-1))-2)))</f>
        <v>73</v>
      </c>
    </row>
    <row r="1124" spans="1:19" x14ac:dyDescent="0.25">
      <c r="A1124" t="s">
        <v>962</v>
      </c>
      <c r="B1124" t="s">
        <v>963</v>
      </c>
      <c r="C1124" s="5">
        <f>convertNumberStringPointToNumberComma(IFERROR(LEFT(B1124,(FIND("-",B1124)-1)),LEFT(B1124,FIND("mm",B1124)-1)))</f>
        <v>16</v>
      </c>
      <c r="D1124" s="5">
        <f>convertNumberStringPointToNumberComma(IFERROR(RIGHT(LEFT(B1124,FIND("m",B1124)-1),LEN(LEFT(B1124,FIND("m",B1124)-1))-FIND("-",LEFT(B1124,FIND("m",B1124)-1))-1),C1124))</f>
        <v>0</v>
      </c>
      <c r="E1124" t="s">
        <v>2637</v>
      </c>
      <c r="F1124" s="9">
        <f>convertNumberStringPointToNumberComma(LEFT(MID(E1124,3,9),IFERROR(FIND("-",MID(E1124,3,9))-2,3)))</f>
        <v>2</v>
      </c>
      <c r="G1124" s="9">
        <f>convertNumberStringPointToNumberComma(RIGHT(E1124,IF(ISERROR(FIND(".",RIGHT(E1124,3))),1,3)))</f>
        <v>4</v>
      </c>
      <c r="H1124" t="s">
        <v>15</v>
      </c>
      <c r="I1124" s="5" t="str">
        <f>IF(H1124="none",0,LEFT(H1124,LEN(H1124)-2))</f>
        <v>72</v>
      </c>
      <c r="J1124" s="5" t="s">
        <v>57</v>
      </c>
      <c r="K1124" s="10">
        <f>IF(J1124="",0,convertNumberStringPointToNumberComma(LEFT(J1124,LEN(J1124)-1)))</f>
        <v>0.26</v>
      </c>
      <c r="L1124" t="s">
        <v>2717</v>
      </c>
      <c r="M1124" t="s">
        <v>8</v>
      </c>
      <c r="N1124" t="s">
        <v>903</v>
      </c>
      <c r="O1124" t="s">
        <v>252</v>
      </c>
      <c r="P1124" s="5" t="str">
        <f>LEFT(O1124,LEN(O1124)-1)</f>
        <v>480</v>
      </c>
      <c r="Q1124" t="s">
        <v>3227</v>
      </c>
      <c r="R1124" s="52">
        <f>_xlfn.NUMBERVALUE(convertNumberStringPointToNumberComma(LEFT(Q1124,FIND("x",Q1124)-2)))</f>
        <v>80</v>
      </c>
      <c r="S1124" s="52">
        <f>_xlfn.NUMBERVALUE(convertNumberStringPointToNumberComma(LEFT(RIGHT(Q1124,LEN(Q1124)-FIND("x",Q1124)-1),LEN(RIGHT(Q1124,LEN(Q1124)-FIND("x",Q1124)-1))-2)))</f>
        <v>85.5</v>
      </c>
    </row>
    <row r="1125" spans="1:19" x14ac:dyDescent="0.25">
      <c r="A1125" t="s">
        <v>2557</v>
      </c>
      <c r="B1125" t="s">
        <v>176</v>
      </c>
      <c r="E1125" t="s">
        <v>2632</v>
      </c>
      <c r="H1125" t="s">
        <v>3180</v>
      </c>
      <c r="L1125" t="s">
        <v>2686</v>
      </c>
      <c r="M1125" t="s">
        <v>2682</v>
      </c>
      <c r="N1125" t="s">
        <v>913</v>
      </c>
      <c r="O1125" t="s">
        <v>555</v>
      </c>
      <c r="Q1125" t="s">
        <v>4047</v>
      </c>
      <c r="R1125" s="52">
        <f>_xlfn.NUMBERVALUE(convertNumberStringPointToNumberComma(LEFT(Q1125,FIND("x",Q1125)-2)))</f>
        <v>80</v>
      </c>
      <c r="S1125" s="52">
        <f>_xlfn.NUMBERVALUE(convertNumberStringPointToNumberComma(LEFT(RIGHT(Q1125,LEN(Q1125)-FIND("x",Q1125)-1),LEN(RIGHT(Q1125,LEN(Q1125)-FIND("x",Q1125)-1))-2)))</f>
        <v>94</v>
      </c>
    </row>
    <row r="1126" spans="1:19" x14ac:dyDescent="0.25">
      <c r="A1126" t="s">
        <v>1575</v>
      </c>
      <c r="B1126" t="s">
        <v>148</v>
      </c>
      <c r="E1126" t="s">
        <v>2632</v>
      </c>
      <c r="H1126" t="s">
        <v>15</v>
      </c>
      <c r="L1126" t="s">
        <v>2728</v>
      </c>
      <c r="M1126" t="s">
        <v>2757</v>
      </c>
      <c r="N1126" t="s">
        <v>913</v>
      </c>
      <c r="O1126" t="s">
        <v>513</v>
      </c>
      <c r="Q1126" t="s">
        <v>3565</v>
      </c>
      <c r="R1126" s="52">
        <f>_xlfn.NUMBERVALUE(convertNumberStringPointToNumberComma(LEFT(Q1126,FIND("x",Q1126)-2)))</f>
        <v>80</v>
      </c>
      <c r="S1126" s="52">
        <f>_xlfn.NUMBERVALUE(convertNumberStringPointToNumberComma(LEFT(RIGHT(Q1126,LEN(Q1126)-FIND("x",Q1126)-1),LEN(RIGHT(Q1126,LEN(Q1126)-FIND("x",Q1126)-1))-2)))</f>
        <v>99</v>
      </c>
    </row>
    <row r="1127" spans="1:19" x14ac:dyDescent="0.25">
      <c r="A1127" t="s">
        <v>2526</v>
      </c>
      <c r="B1127" t="s">
        <v>592</v>
      </c>
      <c r="E1127" t="s">
        <v>2643</v>
      </c>
      <c r="H1127" t="s">
        <v>15</v>
      </c>
      <c r="L1127" t="s">
        <v>2679</v>
      </c>
      <c r="M1127" t="s">
        <v>2682</v>
      </c>
      <c r="N1127" t="s">
        <v>913</v>
      </c>
      <c r="O1127" t="s">
        <v>399</v>
      </c>
      <c r="Q1127" t="s">
        <v>4037</v>
      </c>
      <c r="R1127" s="52">
        <f>_xlfn.NUMBERVALUE(convertNumberStringPointToNumberComma(LEFT(Q1127,FIND("x",Q1127)-2)))</f>
        <v>80.400000000000006</v>
      </c>
      <c r="S1127" s="52">
        <f>_xlfn.NUMBERVALUE(convertNumberStringPointToNumberComma(LEFT(RIGHT(Q1127,LEN(Q1127)-FIND("x",Q1127)-1),LEN(RIGHT(Q1127,LEN(Q1127)-FIND("x",Q1127)-1))-2)))</f>
        <v>105.5</v>
      </c>
    </row>
    <row r="1128" spans="1:19" x14ac:dyDescent="0.25">
      <c r="A1128" t="s">
        <v>2502</v>
      </c>
      <c r="B1128" t="s">
        <v>592</v>
      </c>
      <c r="E1128" t="s">
        <v>2635</v>
      </c>
      <c r="H1128" t="s">
        <v>56</v>
      </c>
      <c r="L1128" t="s">
        <v>2892</v>
      </c>
      <c r="M1128" t="s">
        <v>8</v>
      </c>
      <c r="N1128" t="s">
        <v>913</v>
      </c>
      <c r="O1128" t="s">
        <v>92</v>
      </c>
      <c r="Q1128" t="s">
        <v>4023</v>
      </c>
      <c r="R1128" s="52">
        <f>_xlfn.NUMBERVALUE(convertNumberStringPointToNumberComma(LEFT(Q1128,FIND("x",Q1128)-2)))</f>
        <v>80.400000000000006</v>
      </c>
      <c r="S1128" s="52">
        <f>_xlfn.NUMBERVALUE(convertNumberStringPointToNumberComma(LEFT(RIGHT(Q1128,LEN(Q1128)-FIND("x",Q1128)-1),LEN(RIGHT(Q1128,LEN(Q1128)-FIND("x",Q1128)-1))-2)))</f>
        <v>78.3</v>
      </c>
    </row>
    <row r="1129" spans="1:19" x14ac:dyDescent="0.25">
      <c r="A1129" t="s">
        <v>1393</v>
      </c>
      <c r="B1129" t="s">
        <v>592</v>
      </c>
      <c r="E1129" t="s">
        <v>2635</v>
      </c>
      <c r="H1129" t="s">
        <v>56</v>
      </c>
      <c r="L1129" t="s">
        <v>2892</v>
      </c>
      <c r="M1129" t="s">
        <v>2682</v>
      </c>
      <c r="N1129" t="s">
        <v>913</v>
      </c>
      <c r="O1129" t="s">
        <v>252</v>
      </c>
      <c r="Q1129" t="s">
        <v>3468</v>
      </c>
      <c r="R1129" s="52">
        <f>_xlfn.NUMBERVALUE(convertNumberStringPointToNumberComma(LEFT(Q1129,FIND("x",Q1129)-2)))</f>
        <v>80.400000000000006</v>
      </c>
      <c r="S1129" s="52">
        <f>_xlfn.NUMBERVALUE(convertNumberStringPointToNumberComma(LEFT(RIGHT(Q1129,LEN(Q1129)-FIND("x",Q1129)-1),LEN(RIGHT(Q1129,LEN(Q1129)-FIND("x",Q1129)-1))-2)))</f>
        <v>80.8</v>
      </c>
    </row>
    <row r="1130" spans="1:19" x14ac:dyDescent="0.25">
      <c r="A1130" t="s">
        <v>2379</v>
      </c>
      <c r="B1130" t="s">
        <v>592</v>
      </c>
      <c r="E1130" t="s">
        <v>2635</v>
      </c>
      <c r="H1130" t="s">
        <v>56</v>
      </c>
      <c r="L1130" t="s">
        <v>2892</v>
      </c>
      <c r="M1130" t="s">
        <v>2757</v>
      </c>
      <c r="N1130" t="s">
        <v>913</v>
      </c>
      <c r="O1130" t="s">
        <v>252</v>
      </c>
      <c r="Q1130" t="s">
        <v>3468</v>
      </c>
      <c r="R1130" s="52">
        <f>_xlfn.NUMBERVALUE(convertNumberStringPointToNumberComma(LEFT(Q1130,FIND("x",Q1130)-2)))</f>
        <v>80.400000000000006</v>
      </c>
      <c r="S1130" s="52">
        <f>_xlfn.NUMBERVALUE(convertNumberStringPointToNumberComma(LEFT(RIGHT(Q1130,LEN(Q1130)-FIND("x",Q1130)-1),LEN(RIGHT(Q1130,LEN(Q1130)-FIND("x",Q1130)-1))-2)))</f>
        <v>80.8</v>
      </c>
    </row>
    <row r="1131" spans="1:19" x14ac:dyDescent="0.25">
      <c r="A1131" t="s">
        <v>2524</v>
      </c>
      <c r="B1131" t="s">
        <v>635</v>
      </c>
      <c r="E1131" t="s">
        <v>2635</v>
      </c>
      <c r="H1131" t="s">
        <v>56</v>
      </c>
      <c r="L1131" t="s">
        <v>2952</v>
      </c>
      <c r="M1131" t="s">
        <v>8</v>
      </c>
      <c r="N1131" t="s">
        <v>913</v>
      </c>
      <c r="O1131" t="s">
        <v>23</v>
      </c>
      <c r="Q1131" t="s">
        <v>4035</v>
      </c>
      <c r="R1131" s="52">
        <f>_xlfn.NUMBERVALUE(convertNumberStringPointToNumberComma(LEFT(Q1131,FIND("x",Q1131)-2)))</f>
        <v>80.400000000000006</v>
      </c>
      <c r="S1131" s="52">
        <f>_xlfn.NUMBERVALUE(convertNumberStringPointToNumberComma(LEFT(RIGHT(Q1131,LEN(Q1131)-FIND("x",Q1131)-1),LEN(RIGHT(Q1131,LEN(Q1131)-FIND("x",Q1131)-1))-2)))</f>
        <v>89.2</v>
      </c>
    </row>
    <row r="1132" spans="1:19" x14ac:dyDescent="0.25">
      <c r="A1132" t="s">
        <v>2380</v>
      </c>
      <c r="B1132" t="s">
        <v>635</v>
      </c>
      <c r="E1132" t="s">
        <v>2635</v>
      </c>
      <c r="H1132" t="s">
        <v>56</v>
      </c>
      <c r="L1132" t="s">
        <v>2952</v>
      </c>
      <c r="M1132" t="s">
        <v>2682</v>
      </c>
      <c r="N1132" t="s">
        <v>913</v>
      </c>
      <c r="O1132" t="s">
        <v>64</v>
      </c>
      <c r="Q1132" t="s">
        <v>3934</v>
      </c>
      <c r="R1132" s="52">
        <f>_xlfn.NUMBERVALUE(convertNumberStringPointToNumberComma(LEFT(Q1132,FIND("x",Q1132)-2)))</f>
        <v>80.400000000000006</v>
      </c>
      <c r="S1132" s="52">
        <f>_xlfn.NUMBERVALUE(convertNumberStringPointToNumberComma(LEFT(RIGHT(Q1132,LEN(Q1132)-FIND("x",Q1132)-1),LEN(RIGHT(Q1132,LEN(Q1132)-FIND("x",Q1132)-1))-2)))</f>
        <v>91.7</v>
      </c>
    </row>
    <row r="1133" spans="1:19" x14ac:dyDescent="0.25">
      <c r="A1133" t="s">
        <v>2381</v>
      </c>
      <c r="B1133" t="s">
        <v>635</v>
      </c>
      <c r="E1133" t="s">
        <v>2635</v>
      </c>
      <c r="H1133" t="s">
        <v>56</v>
      </c>
      <c r="L1133" t="s">
        <v>2952</v>
      </c>
      <c r="M1133" t="s">
        <v>2757</v>
      </c>
      <c r="N1133" t="s">
        <v>913</v>
      </c>
      <c r="O1133" t="s">
        <v>64</v>
      </c>
      <c r="Q1133" t="s">
        <v>3934</v>
      </c>
      <c r="R1133" s="52">
        <f>_xlfn.NUMBERVALUE(convertNumberStringPointToNumberComma(LEFT(Q1133,FIND("x",Q1133)-2)))</f>
        <v>80.400000000000006</v>
      </c>
      <c r="S1133" s="52">
        <f>_xlfn.NUMBERVALUE(convertNumberStringPointToNumberComma(LEFT(RIGHT(Q1133,LEN(Q1133)-FIND("x",Q1133)-1),LEN(RIGHT(Q1133,LEN(Q1133)-FIND("x",Q1133)-1))-2)))</f>
        <v>91.7</v>
      </c>
    </row>
    <row r="1134" spans="1:19" x14ac:dyDescent="0.25">
      <c r="A1134" t="s">
        <v>1516</v>
      </c>
      <c r="B1134" t="s">
        <v>61</v>
      </c>
      <c r="E1134" t="s">
        <v>2638</v>
      </c>
      <c r="H1134" t="s">
        <v>56</v>
      </c>
      <c r="L1134" t="s">
        <v>2703</v>
      </c>
      <c r="M1134" t="s">
        <v>8</v>
      </c>
      <c r="N1134" t="s">
        <v>913</v>
      </c>
      <c r="O1134" t="s">
        <v>72</v>
      </c>
      <c r="Q1134" t="s">
        <v>3533</v>
      </c>
      <c r="R1134" s="52">
        <f>_xlfn.NUMBERVALUE(convertNumberStringPointToNumberComma(LEFT(Q1134,FIND("x",Q1134)-2)))</f>
        <v>80.5</v>
      </c>
      <c r="S1134" s="52">
        <f>_xlfn.NUMBERVALUE(convertNumberStringPointToNumberComma(LEFT(RIGHT(Q1134,LEN(Q1134)-FIND("x",Q1134)-1),LEN(RIGHT(Q1134,LEN(Q1134)-FIND("x",Q1134)-1))-2)))</f>
        <v>103</v>
      </c>
    </row>
    <row r="1135" spans="1:19" x14ac:dyDescent="0.25">
      <c r="A1135" t="s">
        <v>975</v>
      </c>
      <c r="B1135" t="s">
        <v>976</v>
      </c>
      <c r="C1135" s="5">
        <f>convertNumberStringPointToNumberComma(IFERROR(LEFT(B1135,(FIND("-",B1135)-1)),LEFT(B1135,FIND("mm",B1135)-1)))</f>
        <v>24</v>
      </c>
      <c r="D1135" s="5">
        <f>convertNumberStringPointToNumberComma(IFERROR(RIGHT(LEFT(B1135,FIND("m",B1135)-1),LEN(LEFT(B1135,FIND("m",B1135)-1))-FIND("-",LEFT(B1135,FIND("m",B1135)-1))-1),C1135))</f>
        <v>40</v>
      </c>
      <c r="E1135" t="s">
        <v>2644</v>
      </c>
      <c r="F1135" s="9">
        <f>convertNumberStringPointToNumberComma(LEFT(MID(E1135,3,9),IFERROR(FIND("-",MID(E1135,3,9))-2,3)))</f>
        <v>3</v>
      </c>
      <c r="G1135" s="9">
        <f>convertNumberStringPointToNumberComma(RIGHT(E1135,IF(ISERROR(FIND(".",RIGHT(E1135,3))),1,3)))</f>
        <v>6.3</v>
      </c>
      <c r="H1135" t="s">
        <v>15</v>
      </c>
      <c r="I1135" s="5" t="str">
        <f>IF(H1135="none",0,LEFT(H1135,LEN(H1135)-2))</f>
        <v>72</v>
      </c>
      <c r="J1135" s="5" t="s">
        <v>251</v>
      </c>
      <c r="K1135" s="10">
        <f>IF(J1135="",0,convertNumberStringPointToNumberComma(LEFT(J1135,LEN(J1135)-1)))</f>
        <v>0.22</v>
      </c>
      <c r="L1135" t="s">
        <v>2725</v>
      </c>
      <c r="M1135" t="s">
        <v>2674</v>
      </c>
      <c r="N1135" t="s">
        <v>913</v>
      </c>
      <c r="O1135" t="s">
        <v>650</v>
      </c>
      <c r="P1135" s="5" t="str">
        <f>LEFT(O1135,LEN(O1135)-1)</f>
        <v>780</v>
      </c>
      <c r="Q1135" t="s">
        <v>3235</v>
      </c>
      <c r="R1135" s="52">
        <f>_xlfn.NUMBERVALUE(convertNumberStringPointToNumberComma(LEFT(Q1135,FIND("x",Q1135)-2)))</f>
        <v>80.5</v>
      </c>
      <c r="S1135" s="52">
        <f>_xlfn.NUMBERVALUE(convertNumberStringPointToNumberComma(LEFT(RIGHT(Q1135,LEN(Q1135)-FIND("x",Q1135)-1),LEN(RIGHT(Q1135,LEN(Q1135)-FIND("x",Q1135)-1))-2)))</f>
        <v>118.5</v>
      </c>
    </row>
    <row r="1136" spans="1:19" x14ac:dyDescent="0.25">
      <c r="A1136" t="s">
        <v>2518</v>
      </c>
      <c r="B1136" t="s">
        <v>927</v>
      </c>
      <c r="E1136" t="s">
        <v>2636</v>
      </c>
      <c r="H1136" t="s">
        <v>56</v>
      </c>
      <c r="L1136" t="s">
        <v>2728</v>
      </c>
      <c r="M1136" t="s">
        <v>8</v>
      </c>
      <c r="N1136" t="s">
        <v>913</v>
      </c>
      <c r="O1136" t="s">
        <v>242</v>
      </c>
      <c r="Q1136" t="s">
        <v>4031</v>
      </c>
      <c r="R1136" s="52">
        <f>_xlfn.NUMBERVALUE(convertNumberStringPointToNumberComma(LEFT(Q1136,FIND("x",Q1136)-2)))</f>
        <v>80.5</v>
      </c>
      <c r="S1136" s="52">
        <f>_xlfn.NUMBERVALUE(convertNumberStringPointToNumberComma(LEFT(RIGHT(Q1136,LEN(Q1136)-FIND("x",Q1136)-1),LEN(RIGHT(Q1136,LEN(Q1136)-FIND("x",Q1136)-1))-2)))</f>
        <v>145</v>
      </c>
    </row>
    <row r="1137" spans="1:19" x14ac:dyDescent="0.25">
      <c r="A1137" t="s">
        <v>2001</v>
      </c>
      <c r="B1137" t="s">
        <v>678</v>
      </c>
      <c r="E1137" t="s">
        <v>2638</v>
      </c>
      <c r="H1137" t="s">
        <v>56</v>
      </c>
      <c r="L1137" t="s">
        <v>2703</v>
      </c>
      <c r="M1137" t="s">
        <v>8</v>
      </c>
      <c r="N1137" t="s">
        <v>913</v>
      </c>
      <c r="O1137" t="s">
        <v>69</v>
      </c>
      <c r="Q1137" t="s">
        <v>3790</v>
      </c>
      <c r="R1137" s="52">
        <f>_xlfn.NUMBERVALUE(convertNumberStringPointToNumberComma(LEFT(Q1137,FIND("x",Q1137)-2)))</f>
        <v>80.7</v>
      </c>
      <c r="S1137" s="52">
        <f>_xlfn.NUMBERVALUE(convertNumberStringPointToNumberComma(LEFT(RIGHT(Q1137,LEN(Q1137)-FIND("x",Q1137)-1),LEN(RIGHT(Q1137,LEN(Q1137)-FIND("x",Q1137)-1))-2)))</f>
        <v>72.8</v>
      </c>
    </row>
    <row r="1138" spans="1:19" x14ac:dyDescent="0.25">
      <c r="B1138" t="s">
        <v>1930</v>
      </c>
      <c r="E1138" t="s">
        <v>2649</v>
      </c>
      <c r="H1138" t="s">
        <v>27</v>
      </c>
      <c r="L1138" t="s">
        <v>2703</v>
      </c>
      <c r="M1138" t="s">
        <v>3147</v>
      </c>
      <c r="N1138" t="s">
        <v>2959</v>
      </c>
      <c r="O1138" t="s">
        <v>173</v>
      </c>
      <c r="Q1138" t="s">
        <v>3962</v>
      </c>
      <c r="R1138" s="52">
        <f>_xlfn.NUMBERVALUE(convertNumberStringPointToNumberComma(LEFT(Q1138,FIND("x",Q1138)-2)))</f>
        <v>81</v>
      </c>
      <c r="S1138" s="52">
        <f>_xlfn.NUMBERVALUE(convertNumberStringPointToNumberComma(LEFT(RIGHT(Q1138,LEN(Q1138)-FIND("x",Q1138)-1),LEN(RIGHT(Q1138,LEN(Q1138)-FIND("x",Q1138)-1))-2)))</f>
        <v>150</v>
      </c>
    </row>
    <row r="1139" spans="1:19" x14ac:dyDescent="0.25">
      <c r="A1139" t="s">
        <v>2255</v>
      </c>
      <c r="B1139" t="s">
        <v>678</v>
      </c>
      <c r="E1139" t="s">
        <v>2643</v>
      </c>
      <c r="H1139" t="s">
        <v>15</v>
      </c>
      <c r="L1139" t="s">
        <v>2709</v>
      </c>
      <c r="M1139" t="s">
        <v>2757</v>
      </c>
      <c r="N1139" t="s">
        <v>913</v>
      </c>
      <c r="O1139" t="s">
        <v>2741</v>
      </c>
      <c r="Q1139" t="s">
        <v>3886</v>
      </c>
      <c r="R1139" s="52">
        <f>_xlfn.NUMBERVALUE(convertNumberStringPointToNumberComma(LEFT(Q1139,FIND("x",Q1139)-2)))</f>
        <v>81</v>
      </c>
      <c r="S1139" s="52">
        <f>_xlfn.NUMBERVALUE(convertNumberStringPointToNumberComma(LEFT(RIGHT(Q1139,LEN(Q1139)-FIND("x",Q1139)-1),LEN(RIGHT(Q1139,LEN(Q1139)-FIND("x",Q1139)-1))-2)))</f>
        <v>71.5</v>
      </c>
    </row>
    <row r="1140" spans="1:19" x14ac:dyDescent="0.25">
      <c r="A1140" t="s">
        <v>2358</v>
      </c>
      <c r="B1140" t="s">
        <v>822</v>
      </c>
      <c r="E1140" t="s">
        <v>2635</v>
      </c>
      <c r="H1140" t="s">
        <v>91</v>
      </c>
      <c r="L1140" t="s">
        <v>2684</v>
      </c>
      <c r="M1140" t="s">
        <v>2682</v>
      </c>
      <c r="N1140" t="s">
        <v>913</v>
      </c>
      <c r="O1140" t="s">
        <v>33</v>
      </c>
      <c r="Q1140" t="s">
        <v>3926</v>
      </c>
      <c r="R1140" s="52">
        <f>_xlfn.NUMBERVALUE(convertNumberStringPointToNumberComma(LEFT(Q1140,FIND("x",Q1140)-2)))</f>
        <v>81</v>
      </c>
      <c r="S1140" s="52">
        <f>_xlfn.NUMBERVALUE(convertNumberStringPointToNumberComma(LEFT(RIGHT(Q1140,LEN(Q1140)-FIND("x",Q1140)-1),LEN(RIGHT(Q1140,LEN(Q1140)-FIND("x",Q1140)-1))-2)))</f>
        <v>79.5</v>
      </c>
    </row>
    <row r="1141" spans="1:19" x14ac:dyDescent="0.25">
      <c r="A1141" t="s">
        <v>2473</v>
      </c>
      <c r="B1141" t="s">
        <v>984</v>
      </c>
      <c r="E1141" t="s">
        <v>2632</v>
      </c>
      <c r="H1141" t="s">
        <v>15</v>
      </c>
      <c r="L1141" t="s">
        <v>2698</v>
      </c>
      <c r="M1141" t="s">
        <v>2757</v>
      </c>
      <c r="N1141" t="s">
        <v>903</v>
      </c>
      <c r="O1141" t="s">
        <v>3078</v>
      </c>
      <c r="Q1141" t="s">
        <v>4014</v>
      </c>
      <c r="R1141" s="52">
        <f>_xlfn.NUMBERVALUE(convertNumberStringPointToNumberComma(LEFT(Q1141,FIND("x",Q1141)-2)))</f>
        <v>81</v>
      </c>
      <c r="S1141" s="52">
        <f>_xlfn.NUMBERVALUE(convertNumberStringPointToNumberComma(LEFT(RIGHT(Q1141,LEN(Q1141)-FIND("x",Q1141)-1),LEN(RIGHT(Q1141,LEN(Q1141)-FIND("x",Q1141)-1))-2)))</f>
        <v>88</v>
      </c>
    </row>
    <row r="1142" spans="1:19" x14ac:dyDescent="0.25">
      <c r="A1142" t="s">
        <v>2047</v>
      </c>
      <c r="B1142" t="s">
        <v>635</v>
      </c>
      <c r="E1142" t="s">
        <v>2632</v>
      </c>
      <c r="H1142" t="s">
        <v>15</v>
      </c>
      <c r="L1142" t="s">
        <v>2704</v>
      </c>
      <c r="M1142" t="s">
        <v>2682</v>
      </c>
      <c r="N1142" t="s">
        <v>913</v>
      </c>
      <c r="O1142" t="s">
        <v>555</v>
      </c>
      <c r="Q1142" t="s">
        <v>3814</v>
      </c>
      <c r="R1142" s="52">
        <f>_xlfn.NUMBERVALUE(convertNumberStringPointToNumberComma(LEFT(Q1142,FIND("x",Q1142)-2)))</f>
        <v>81</v>
      </c>
      <c r="S1142" s="52">
        <f>_xlfn.NUMBERVALUE(convertNumberStringPointToNumberComma(LEFT(RIGHT(Q1142,LEN(Q1142)-FIND("x",Q1142)-1),LEN(RIGHT(Q1142,LEN(Q1142)-FIND("x",Q1142)-1))-2)))</f>
        <v>90.1</v>
      </c>
    </row>
    <row r="1143" spans="1:19" x14ac:dyDescent="0.25">
      <c r="A1143" t="s">
        <v>1422</v>
      </c>
      <c r="B1143" t="s">
        <v>984</v>
      </c>
      <c r="E1143" t="s">
        <v>2664</v>
      </c>
      <c r="L1143" t="s">
        <v>2673</v>
      </c>
      <c r="M1143" t="s">
        <v>2804</v>
      </c>
      <c r="N1143" t="s">
        <v>903</v>
      </c>
      <c r="O1143" t="s">
        <v>2899</v>
      </c>
      <c r="Q1143" t="s">
        <v>3492</v>
      </c>
      <c r="R1143" s="52">
        <f>_xlfn.NUMBERVALUE(convertNumberStringPointToNumberComma(LEFT(Q1143,FIND("x",Q1143)-2)))</f>
        <v>81</v>
      </c>
      <c r="S1143" s="52">
        <f>_xlfn.NUMBERVALUE(convertNumberStringPointToNumberComma(LEFT(RIGHT(Q1143,LEN(Q1143)-FIND("x",Q1143)-1),LEN(RIGHT(Q1143,LEN(Q1143)-FIND("x",Q1143)-1))-2)))</f>
        <v>97</v>
      </c>
    </row>
    <row r="1144" spans="1:19" x14ac:dyDescent="0.25">
      <c r="A1144" t="s">
        <v>1258</v>
      </c>
      <c r="B1144" t="s">
        <v>1259</v>
      </c>
      <c r="C1144" s="5">
        <f>convertNumberStringPointToNumberComma(IFERROR(LEFT(B1144,(FIND("-",B1144)-1)),LEFT(B1144,FIND("mm",B1144)-1)))</f>
        <v>65</v>
      </c>
      <c r="D1144" s="5">
        <f>convertNumberStringPointToNumberComma(IFERROR(RIGHT(LEFT(B1144,FIND("m",B1144)-1),LEN(LEFT(B1144,FIND("m",B1144)-1))-FIND("-",LEFT(B1144,FIND("m",B1144)-1))-1),C1144))</f>
        <v>65</v>
      </c>
      <c r="E1144" t="s">
        <v>2632</v>
      </c>
      <c r="F1144" s="9">
        <f>convertNumberStringPointToNumberComma(LEFT(MID(E1144,3,9),IFERROR(FIND("-",MID(E1144,3,9))-2,3)))</f>
        <v>2.8</v>
      </c>
      <c r="G1144" s="9">
        <f>convertNumberStringPointToNumberComma(RIGHT(E1144,IF(ISERROR(FIND(".",RIGHT(E1144,3))),1,3)))</f>
        <v>2.8</v>
      </c>
      <c r="H1144" t="s">
        <v>91</v>
      </c>
      <c r="I1144" s="5" t="str">
        <f>IF(H1144="none",0,LEFT(H1144,LEN(H1144)-2))</f>
        <v>58</v>
      </c>
      <c r="J1144" s="5" t="s">
        <v>188</v>
      </c>
      <c r="K1144" s="10">
        <f>IF(J1144="",0,convertNumberStringPointToNumberComma(LEFT(J1144,LEN(J1144)-1)))</f>
        <v>0.11</v>
      </c>
      <c r="L1144" t="s">
        <v>2858</v>
      </c>
      <c r="M1144" t="s">
        <v>2682</v>
      </c>
      <c r="N1144" t="s">
        <v>913</v>
      </c>
      <c r="O1144" t="s">
        <v>513</v>
      </c>
      <c r="P1144" s="5" t="str">
        <f>LEFT(O1144,LEN(O1144)-1)</f>
        <v>730</v>
      </c>
      <c r="Q1144" t="s">
        <v>3397</v>
      </c>
      <c r="R1144" s="52">
        <f>_xlfn.NUMBERVALUE(convertNumberStringPointToNumberComma(LEFT(Q1144,FIND("x",Q1144)-2)))</f>
        <v>81</v>
      </c>
      <c r="S1144" s="52">
        <f>_xlfn.NUMBERVALUE(convertNumberStringPointToNumberComma(LEFT(RIGHT(Q1144,LEN(Q1144)-FIND("x",Q1144)-1),LEN(RIGHT(Q1144,LEN(Q1144)-FIND("x",Q1144)-1))-2)))</f>
        <v>98</v>
      </c>
    </row>
    <row r="1145" spans="1:19" x14ac:dyDescent="0.25">
      <c r="A1145" t="s">
        <v>1721</v>
      </c>
      <c r="B1145" t="s">
        <v>62</v>
      </c>
      <c r="E1145" t="s">
        <v>2632</v>
      </c>
      <c r="H1145" t="s">
        <v>56</v>
      </c>
      <c r="L1145" t="s">
        <v>2706</v>
      </c>
      <c r="M1145" t="s">
        <v>2989</v>
      </c>
      <c r="N1145" t="s">
        <v>913</v>
      </c>
      <c r="O1145" t="s">
        <v>2990</v>
      </c>
      <c r="Q1145" t="s">
        <v>3651</v>
      </c>
      <c r="R1145" s="52">
        <f>_xlfn.NUMBERVALUE(convertNumberStringPointToNumberComma(LEFT(Q1145,FIND("x",Q1145)-2)))</f>
        <v>81.3</v>
      </c>
      <c r="S1145" s="52">
        <f>_xlfn.NUMBERVALUE(convertNumberStringPointToNumberComma(LEFT(RIGHT(Q1145,LEN(Q1145)-FIND("x",Q1145)-1),LEN(RIGHT(Q1145,LEN(Q1145)-FIND("x",Q1145)-1))-2)))</f>
        <v>68.2</v>
      </c>
    </row>
    <row r="1146" spans="1:19" x14ac:dyDescent="0.25">
      <c r="A1146" t="s">
        <v>1227</v>
      </c>
      <c r="B1146" t="s">
        <v>927</v>
      </c>
      <c r="C1146" s="5">
        <f>convertNumberStringPointToNumberComma(IFERROR(LEFT(B1146,(FIND("-",B1146)-1)),LEFT(B1146,FIND("mm",B1146)-1)))</f>
        <v>70</v>
      </c>
      <c r="D1146" s="5">
        <f>convertNumberStringPointToNumberComma(IFERROR(RIGHT(LEFT(B1146,FIND("m",B1146)-1),LEN(LEFT(B1146,FIND("m",B1146)-1))-FIND("-",LEFT(B1146,FIND("m",B1146)-1))-1),C1146))</f>
        <v>0</v>
      </c>
      <c r="E1146" t="s">
        <v>2634</v>
      </c>
      <c r="F1146" s="9">
        <f>convertNumberStringPointToNumberComma(LEFT(MID(E1146,3,9),IFERROR(FIND("-",MID(E1146,3,9))-2,3)))</f>
        <v>4</v>
      </c>
      <c r="G1146" s="9">
        <f>convertNumberStringPointToNumberComma(RIGHT(E1146,IF(ISERROR(FIND(".",RIGHT(E1146,3))),1,3)))</f>
        <v>5.6</v>
      </c>
      <c r="H1146" t="s">
        <v>84</v>
      </c>
      <c r="I1146" s="5" t="str">
        <f>IF(H1146="none",0,LEFT(H1146,LEN(H1146)-2))</f>
        <v>62</v>
      </c>
      <c r="J1146" s="5" t="s">
        <v>63</v>
      </c>
      <c r="K1146" s="10">
        <f>IF(J1146="",0,convertNumberStringPointToNumberComma(LEFT(J1146,LEN(J1146)-1)))</f>
        <v>1</v>
      </c>
      <c r="L1146" t="s">
        <v>2728</v>
      </c>
      <c r="M1146" t="s">
        <v>2682</v>
      </c>
      <c r="N1146" t="s">
        <v>913</v>
      </c>
      <c r="O1146" t="s">
        <v>790</v>
      </c>
      <c r="P1146" s="5" t="str">
        <f>LEFT(O1146,LEN(O1146)-1)</f>
        <v>765</v>
      </c>
      <c r="Q1146" t="s">
        <v>3376</v>
      </c>
      <c r="R1146" s="52">
        <f>_xlfn.NUMBERVALUE(convertNumberStringPointToNumberComma(LEFT(Q1146,FIND("x",Q1146)-2)))</f>
        <v>81.5</v>
      </c>
      <c r="S1146" s="52">
        <f>_xlfn.NUMBERVALUE(convertNumberStringPointToNumberComma(LEFT(RIGHT(Q1146,LEN(Q1146)-FIND("x",Q1146)-1),LEN(RIGHT(Q1146,LEN(Q1146)-FIND("x",Q1146)-1))-2)))</f>
        <v>142.69999999999999</v>
      </c>
    </row>
    <row r="1147" spans="1:19" x14ac:dyDescent="0.25">
      <c r="A1147" t="s">
        <v>1228</v>
      </c>
      <c r="B1147" t="s">
        <v>927</v>
      </c>
      <c r="C1147" s="5">
        <f>convertNumberStringPointToNumberComma(IFERROR(LEFT(B1147,(FIND("-",B1147)-1)),LEFT(B1147,FIND("mm",B1147)-1)))</f>
        <v>70</v>
      </c>
      <c r="D1147" s="5">
        <f>convertNumberStringPointToNumberComma(IFERROR(RIGHT(LEFT(B1147,FIND("m",B1147)-1),LEN(LEFT(B1147,FIND("m",B1147)-1))-FIND("-",LEFT(B1147,FIND("m",B1147)-1))-1),C1147))</f>
        <v>0</v>
      </c>
      <c r="E1147" t="s">
        <v>2634</v>
      </c>
      <c r="F1147" s="9">
        <f>convertNumberStringPointToNumberComma(LEFT(MID(E1147,3,9),IFERROR(FIND("-",MID(E1147,3,9))-2,3)))</f>
        <v>4</v>
      </c>
      <c r="G1147" s="9">
        <f>convertNumberStringPointToNumberComma(RIGHT(E1147,IF(ISERROR(FIND(".",RIGHT(E1147,3))),1,3)))</f>
        <v>5.6</v>
      </c>
      <c r="H1147" t="s">
        <v>84</v>
      </c>
      <c r="I1147" s="5" t="str">
        <f>IF(H1147="none",0,LEFT(H1147,LEN(H1147)-2))</f>
        <v>62</v>
      </c>
      <c r="J1147" s="5" t="s">
        <v>63</v>
      </c>
      <c r="K1147" s="10">
        <f>IF(J1147="",0,convertNumberStringPointToNumberComma(LEFT(J1147,LEN(J1147)-1)))</f>
        <v>1</v>
      </c>
      <c r="L1147" t="s">
        <v>2728</v>
      </c>
      <c r="M1147" t="s">
        <v>2757</v>
      </c>
      <c r="N1147" t="s">
        <v>913</v>
      </c>
      <c r="O1147" t="s">
        <v>790</v>
      </c>
      <c r="P1147" s="5" t="str">
        <f>LEFT(O1147,LEN(O1147)-1)</f>
        <v>765</v>
      </c>
      <c r="Q1147" t="s">
        <v>3376</v>
      </c>
      <c r="R1147" s="52">
        <f>_xlfn.NUMBERVALUE(convertNumberStringPointToNumberComma(LEFT(Q1147,FIND("x",Q1147)-2)))</f>
        <v>81.5</v>
      </c>
      <c r="S1147" s="52">
        <f>_xlfn.NUMBERVALUE(convertNumberStringPointToNumberComma(LEFT(RIGHT(Q1147,LEN(Q1147)-FIND("x",Q1147)-1),LEN(RIGHT(Q1147,LEN(Q1147)-FIND("x",Q1147)-1))-2)))</f>
        <v>142.69999999999999</v>
      </c>
    </row>
    <row r="1148" spans="1:19" x14ac:dyDescent="0.25">
      <c r="A1148" t="s">
        <v>2562</v>
      </c>
      <c r="B1148" t="s">
        <v>927</v>
      </c>
      <c r="E1148" t="s">
        <v>2634</v>
      </c>
      <c r="H1148" t="s">
        <v>84</v>
      </c>
      <c r="L1148" t="s">
        <v>2728</v>
      </c>
      <c r="M1148" t="s">
        <v>8</v>
      </c>
      <c r="N1148" t="s">
        <v>913</v>
      </c>
      <c r="O1148" t="s">
        <v>790</v>
      </c>
      <c r="Q1148" t="s">
        <v>3376</v>
      </c>
      <c r="R1148" s="52">
        <f>_xlfn.NUMBERVALUE(convertNumberStringPointToNumberComma(LEFT(Q1148,FIND("x",Q1148)-2)))</f>
        <v>81.5</v>
      </c>
      <c r="S1148" s="52">
        <f>_xlfn.NUMBERVALUE(convertNumberStringPointToNumberComma(LEFT(RIGHT(Q1148,LEN(Q1148)-FIND("x",Q1148)-1),LEN(RIGHT(Q1148,LEN(Q1148)-FIND("x",Q1148)-1))-2)))</f>
        <v>142.69999999999999</v>
      </c>
    </row>
    <row r="1149" spans="1:19" x14ac:dyDescent="0.25">
      <c r="A1149" t="s">
        <v>1825</v>
      </c>
      <c r="B1149" t="s">
        <v>1634</v>
      </c>
      <c r="E1149" t="s">
        <v>3025</v>
      </c>
      <c r="H1149" t="s">
        <v>27</v>
      </c>
      <c r="N1149" t="s">
        <v>913</v>
      </c>
      <c r="O1149" t="s">
        <v>794</v>
      </c>
      <c r="Q1149" t="s">
        <v>3700</v>
      </c>
      <c r="R1149" s="52">
        <f>_xlfn.NUMBERVALUE(convertNumberStringPointToNumberComma(LEFT(Q1149,FIND("x",Q1149)-2)))</f>
        <v>81.5</v>
      </c>
      <c r="S1149" s="52">
        <f>_xlfn.NUMBERVALUE(convertNumberStringPointToNumberComma(LEFT(RIGHT(Q1149,LEN(Q1149)-FIND("x",Q1149)-1),LEN(RIGHT(Q1149,LEN(Q1149)-FIND("x",Q1149)-1))-2)))</f>
        <v>81</v>
      </c>
    </row>
    <row r="1150" spans="1:19" x14ac:dyDescent="0.25">
      <c r="A1150" t="s">
        <v>1758</v>
      </c>
      <c r="B1150" t="s">
        <v>678</v>
      </c>
      <c r="E1150" t="s">
        <v>2643</v>
      </c>
      <c r="H1150" t="s">
        <v>27</v>
      </c>
      <c r="M1150" t="s">
        <v>2763</v>
      </c>
      <c r="N1150" t="s">
        <v>903</v>
      </c>
      <c r="O1150" t="s">
        <v>123</v>
      </c>
      <c r="Q1150" t="s">
        <v>3665</v>
      </c>
      <c r="R1150" s="52">
        <f>_xlfn.NUMBERVALUE(convertNumberStringPointToNumberComma(LEFT(Q1150,FIND("x",Q1150)-2)))</f>
        <v>81.599999999999994</v>
      </c>
      <c r="S1150" s="52">
        <f>_xlfn.NUMBERVALUE(convertNumberStringPointToNumberComma(LEFT(RIGHT(Q1150,LEN(Q1150)-FIND("x",Q1150)-1),LEN(RIGHT(Q1150,LEN(Q1150)-FIND("x",Q1150)-1))-2)))</f>
        <v>100.6</v>
      </c>
    </row>
    <row r="1151" spans="1:19" x14ac:dyDescent="0.25">
      <c r="A1151" t="s">
        <v>1756</v>
      </c>
      <c r="B1151" t="s">
        <v>678</v>
      </c>
      <c r="E1151" t="s">
        <v>2643</v>
      </c>
      <c r="H1151" t="s">
        <v>27</v>
      </c>
      <c r="M1151" t="s">
        <v>2674</v>
      </c>
      <c r="N1151" t="s">
        <v>913</v>
      </c>
      <c r="O1151" t="s">
        <v>278</v>
      </c>
      <c r="Q1151" t="s">
        <v>3663</v>
      </c>
      <c r="R1151" s="52">
        <f>_xlfn.NUMBERVALUE(convertNumberStringPointToNumberComma(LEFT(Q1151,FIND("x",Q1151)-2)))</f>
        <v>81.599999999999994</v>
      </c>
      <c r="S1151" s="52">
        <f>_xlfn.NUMBERVALUE(convertNumberStringPointToNumberComma(LEFT(RIGHT(Q1151,LEN(Q1151)-FIND("x",Q1151)-1),LEN(RIGHT(Q1151,LEN(Q1151)-FIND("x",Q1151)-1))-2)))</f>
        <v>100.7</v>
      </c>
    </row>
    <row r="1152" spans="1:19" x14ac:dyDescent="0.25">
      <c r="A1152" t="s">
        <v>1976</v>
      </c>
      <c r="B1152" t="s">
        <v>678</v>
      </c>
      <c r="E1152" t="s">
        <v>2980</v>
      </c>
      <c r="H1152" t="s">
        <v>27</v>
      </c>
      <c r="M1152" t="s">
        <v>2674</v>
      </c>
      <c r="N1152" t="s">
        <v>913</v>
      </c>
      <c r="O1152" t="s">
        <v>123</v>
      </c>
      <c r="Q1152" t="s">
        <v>3663</v>
      </c>
      <c r="R1152" s="52">
        <f>_xlfn.NUMBERVALUE(convertNumberStringPointToNumberComma(LEFT(Q1152,FIND("x",Q1152)-2)))</f>
        <v>81.599999999999994</v>
      </c>
      <c r="S1152" s="52">
        <f>_xlfn.NUMBERVALUE(convertNumberStringPointToNumberComma(LEFT(RIGHT(Q1152,LEN(Q1152)-FIND("x",Q1152)-1),LEN(RIGHT(Q1152,LEN(Q1152)-FIND("x",Q1152)-1))-2)))</f>
        <v>100.7</v>
      </c>
    </row>
    <row r="1153" spans="1:19" x14ac:dyDescent="0.25">
      <c r="A1153" t="s">
        <v>1761</v>
      </c>
      <c r="B1153" t="s">
        <v>678</v>
      </c>
      <c r="E1153" t="s">
        <v>2643</v>
      </c>
      <c r="H1153" t="s">
        <v>27</v>
      </c>
      <c r="M1153" t="s">
        <v>2748</v>
      </c>
      <c r="N1153" t="s">
        <v>903</v>
      </c>
      <c r="O1153" t="s">
        <v>2986</v>
      </c>
      <c r="Q1153" t="s">
        <v>3668</v>
      </c>
      <c r="R1153" s="52">
        <f>_xlfn.NUMBERVALUE(convertNumberStringPointToNumberComma(LEFT(Q1153,FIND("x",Q1153)-2)))</f>
        <v>81.599999999999994</v>
      </c>
      <c r="S1153" s="52">
        <f>_xlfn.NUMBERVALUE(convertNumberStringPointToNumberComma(LEFT(RIGHT(Q1153,LEN(Q1153)-FIND("x",Q1153)-1),LEN(RIGHT(Q1153,LEN(Q1153)-FIND("x",Q1153)-1))-2)))</f>
        <v>101</v>
      </c>
    </row>
    <row r="1154" spans="1:19" x14ac:dyDescent="0.25">
      <c r="A1154" t="s">
        <v>1971</v>
      </c>
      <c r="B1154" t="s">
        <v>678</v>
      </c>
      <c r="E1154" t="s">
        <v>2980</v>
      </c>
      <c r="H1154" t="s">
        <v>27</v>
      </c>
      <c r="M1154" t="s">
        <v>2748</v>
      </c>
      <c r="N1154" t="s">
        <v>903</v>
      </c>
      <c r="O1154" t="s">
        <v>77</v>
      </c>
      <c r="Q1154" t="s">
        <v>3668</v>
      </c>
      <c r="R1154" s="52">
        <f>_xlfn.NUMBERVALUE(convertNumberStringPointToNumberComma(LEFT(Q1154,FIND("x",Q1154)-2)))</f>
        <v>81.599999999999994</v>
      </c>
      <c r="S1154" s="52">
        <f>_xlfn.NUMBERVALUE(convertNumberStringPointToNumberComma(LEFT(RIGHT(Q1154,LEN(Q1154)-FIND("x",Q1154)-1),LEN(RIGHT(Q1154,LEN(Q1154)-FIND("x",Q1154)-1))-2)))</f>
        <v>101</v>
      </c>
    </row>
    <row r="1155" spans="1:19" x14ac:dyDescent="0.25">
      <c r="A1155" t="s">
        <v>1877</v>
      </c>
      <c r="B1155" t="s">
        <v>61</v>
      </c>
      <c r="E1155" t="s">
        <v>2981</v>
      </c>
      <c r="H1155" t="s">
        <v>56</v>
      </c>
      <c r="L1155" t="s">
        <v>2707</v>
      </c>
      <c r="M1155" t="s">
        <v>8</v>
      </c>
      <c r="N1155" t="s">
        <v>913</v>
      </c>
      <c r="O1155" t="s">
        <v>370</v>
      </c>
      <c r="Q1155" t="s">
        <v>3729</v>
      </c>
      <c r="R1155" s="52">
        <f>_xlfn.NUMBERVALUE(convertNumberStringPointToNumberComma(LEFT(Q1155,FIND("x",Q1155)-2)))</f>
        <v>81.599999999999994</v>
      </c>
      <c r="S1155" s="52">
        <f>_xlfn.NUMBERVALUE(convertNumberStringPointToNumberComma(LEFT(RIGHT(Q1155,LEN(Q1155)-FIND("x",Q1155)-1),LEN(RIGHT(Q1155,LEN(Q1155)-FIND("x",Q1155)-1))-2)))</f>
        <v>120.6</v>
      </c>
    </row>
    <row r="1156" spans="1:19" x14ac:dyDescent="0.25">
      <c r="A1156" t="s">
        <v>1878</v>
      </c>
      <c r="B1156" t="s">
        <v>61</v>
      </c>
      <c r="E1156" t="s">
        <v>2981</v>
      </c>
      <c r="H1156" t="s">
        <v>56</v>
      </c>
      <c r="L1156" t="s">
        <v>2707</v>
      </c>
      <c r="M1156" t="s">
        <v>2802</v>
      </c>
      <c r="N1156" t="s">
        <v>913</v>
      </c>
      <c r="O1156" t="s">
        <v>3033</v>
      </c>
      <c r="Q1156" t="s">
        <v>3730</v>
      </c>
      <c r="R1156" s="52">
        <f>_xlfn.NUMBERVALUE(convertNumberStringPointToNumberComma(LEFT(Q1156,FIND("x",Q1156)-2)))</f>
        <v>81.599999999999994</v>
      </c>
      <c r="S1156" s="52">
        <f>_xlfn.NUMBERVALUE(convertNumberStringPointToNumberComma(LEFT(RIGHT(Q1156,LEN(Q1156)-FIND("x",Q1156)-1),LEN(RIGHT(Q1156,LEN(Q1156)-FIND("x",Q1156)-1))-2)))</f>
        <v>121.6</v>
      </c>
    </row>
    <row r="1157" spans="1:19" x14ac:dyDescent="0.25">
      <c r="A1157" t="s">
        <v>1881</v>
      </c>
      <c r="B1157" t="s">
        <v>61</v>
      </c>
      <c r="E1157" t="s">
        <v>2981</v>
      </c>
      <c r="H1157" t="s">
        <v>56</v>
      </c>
      <c r="L1157" t="s">
        <v>2707</v>
      </c>
      <c r="M1157" t="s">
        <v>2757</v>
      </c>
      <c r="N1157" t="s">
        <v>913</v>
      </c>
      <c r="O1157" t="s">
        <v>2836</v>
      </c>
      <c r="Q1157" t="s">
        <v>3733</v>
      </c>
      <c r="R1157" s="52">
        <f>_xlfn.NUMBERVALUE(convertNumberStringPointToNumberComma(LEFT(Q1157,FIND("x",Q1157)-2)))</f>
        <v>81.599999999999994</v>
      </c>
      <c r="S1157" s="52">
        <f>_xlfn.NUMBERVALUE(convertNumberStringPointToNumberComma(LEFT(RIGHT(Q1157,LEN(Q1157)-FIND("x",Q1157)-1),LEN(RIGHT(Q1157,LEN(Q1157)-FIND("x",Q1157)-1))-2)))</f>
        <v>122.6</v>
      </c>
    </row>
    <row r="1158" spans="1:19" x14ac:dyDescent="0.25">
      <c r="A1158" t="s">
        <v>1868</v>
      </c>
      <c r="B1158" t="s">
        <v>61</v>
      </c>
      <c r="E1158" t="s">
        <v>2981</v>
      </c>
      <c r="H1158" t="s">
        <v>56</v>
      </c>
      <c r="L1158" t="s">
        <v>2707</v>
      </c>
      <c r="M1158" t="s">
        <v>2682</v>
      </c>
      <c r="N1158" t="s">
        <v>913</v>
      </c>
      <c r="O1158" t="s">
        <v>3034</v>
      </c>
      <c r="Q1158" t="s">
        <v>3721</v>
      </c>
      <c r="R1158" s="52">
        <f>_xlfn.NUMBERVALUE(convertNumberStringPointToNumberComma(LEFT(Q1158,FIND("x",Q1158)-2)))</f>
        <v>81.599999999999994</v>
      </c>
      <c r="S1158" s="52">
        <f>_xlfn.NUMBERVALUE(convertNumberStringPointToNumberComma(LEFT(RIGHT(Q1158,LEN(Q1158)-FIND("x",Q1158)-1),LEN(RIGHT(Q1158,LEN(Q1158)-FIND("x",Q1158)-1))-2)))</f>
        <v>123.1</v>
      </c>
    </row>
    <row r="1159" spans="1:19" x14ac:dyDescent="0.25">
      <c r="A1159" t="s">
        <v>1873</v>
      </c>
      <c r="B1159" t="s">
        <v>61</v>
      </c>
      <c r="E1159" t="s">
        <v>2981</v>
      </c>
      <c r="H1159" t="s">
        <v>56</v>
      </c>
      <c r="L1159" t="s">
        <v>2707</v>
      </c>
      <c r="M1159" t="s">
        <v>2681</v>
      </c>
      <c r="N1159" t="s">
        <v>2681</v>
      </c>
      <c r="O1159" t="s">
        <v>636</v>
      </c>
      <c r="Q1159" t="s">
        <v>3725</v>
      </c>
      <c r="R1159" s="52">
        <f>_xlfn.NUMBERVALUE(convertNumberStringPointToNumberComma(LEFT(Q1159,FIND("x",Q1159)-2)))</f>
        <v>81.599999999999994</v>
      </c>
      <c r="S1159" s="52">
        <f>_xlfn.NUMBERVALUE(convertNumberStringPointToNumberComma(LEFT(RIGHT(Q1159,LEN(Q1159)-FIND("x",Q1159)-1),LEN(RIGHT(Q1159,LEN(Q1159)-FIND("x",Q1159)-1))-2)))</f>
        <v>128.4</v>
      </c>
    </row>
    <row r="1160" spans="1:19" x14ac:dyDescent="0.25">
      <c r="A1160" t="s">
        <v>1879</v>
      </c>
      <c r="B1160" t="s">
        <v>61</v>
      </c>
      <c r="E1160" t="s">
        <v>2981</v>
      </c>
      <c r="H1160" t="s">
        <v>56</v>
      </c>
      <c r="L1160" t="s">
        <v>2707</v>
      </c>
      <c r="M1160" t="s">
        <v>2804</v>
      </c>
      <c r="N1160" t="s">
        <v>903</v>
      </c>
      <c r="O1160" t="s">
        <v>88</v>
      </c>
      <c r="Q1160" t="s">
        <v>3731</v>
      </c>
      <c r="R1160" s="52">
        <f>_xlfn.NUMBERVALUE(convertNumberStringPointToNumberComma(LEFT(Q1160,FIND("x",Q1160)-2)))</f>
        <v>81.599999999999994</v>
      </c>
      <c r="S1160" s="52">
        <f>_xlfn.NUMBERVALUE(convertNumberStringPointToNumberComma(LEFT(RIGHT(Q1160,LEN(Q1160)-FIND("x",Q1160)-1),LEN(RIGHT(Q1160,LEN(Q1160)-FIND("x",Q1160)-1))-2)))</f>
        <v>141.6</v>
      </c>
    </row>
    <row r="1161" spans="1:19" x14ac:dyDescent="0.25">
      <c r="A1161" t="s">
        <v>1874</v>
      </c>
      <c r="B1161" t="s">
        <v>61</v>
      </c>
      <c r="E1161" t="s">
        <v>2981</v>
      </c>
      <c r="H1161" t="s">
        <v>56</v>
      </c>
      <c r="L1161" t="s">
        <v>2707</v>
      </c>
      <c r="M1161" t="s">
        <v>2680</v>
      </c>
      <c r="N1161" t="s">
        <v>2681</v>
      </c>
      <c r="O1161" t="s">
        <v>513</v>
      </c>
      <c r="Q1161" t="s">
        <v>3726</v>
      </c>
      <c r="R1161" s="52">
        <f>_xlfn.NUMBERVALUE(convertNumberStringPointToNumberComma(LEFT(Q1161,FIND("x",Q1161)-2)))</f>
        <v>81.599999999999994</v>
      </c>
      <c r="S1161" s="52">
        <f>_xlfn.NUMBERVALUE(convertNumberStringPointToNumberComma(LEFT(RIGHT(Q1161,LEN(Q1161)-FIND("x",Q1161)-1),LEN(RIGHT(Q1161,LEN(Q1161)-FIND("x",Q1161)-1))-2)))</f>
        <v>147.9</v>
      </c>
    </row>
    <row r="1162" spans="1:19" x14ac:dyDescent="0.25">
      <c r="A1162" t="s">
        <v>1880</v>
      </c>
      <c r="B1162" t="s">
        <v>61</v>
      </c>
      <c r="E1162" t="s">
        <v>2981</v>
      </c>
      <c r="H1162" t="s">
        <v>56</v>
      </c>
      <c r="L1162" t="s">
        <v>2707</v>
      </c>
      <c r="M1162" t="s">
        <v>2674</v>
      </c>
      <c r="N1162" t="s">
        <v>913</v>
      </c>
      <c r="O1162" t="s">
        <v>462</v>
      </c>
      <c r="Q1162" t="s">
        <v>3732</v>
      </c>
      <c r="R1162" s="52">
        <f>_xlfn.NUMBERVALUE(convertNumberStringPointToNumberComma(LEFT(Q1162,FIND("x",Q1162)-2)))</f>
        <v>81.599999999999994</v>
      </c>
      <c r="S1162" s="52">
        <f>_xlfn.NUMBERVALUE(convertNumberStringPointToNumberComma(LEFT(RIGHT(Q1162,LEN(Q1162)-FIND("x",Q1162)-1),LEN(RIGHT(Q1162,LEN(Q1162)-FIND("x",Q1162)-1))-2)))</f>
        <v>149.1</v>
      </c>
    </row>
    <row r="1163" spans="1:19" x14ac:dyDescent="0.25">
      <c r="A1163" t="s">
        <v>1875</v>
      </c>
      <c r="B1163" t="s">
        <v>61</v>
      </c>
      <c r="E1163" t="s">
        <v>2981</v>
      </c>
      <c r="H1163" t="s">
        <v>56</v>
      </c>
      <c r="L1163" t="s">
        <v>2707</v>
      </c>
      <c r="M1163" t="s">
        <v>2748</v>
      </c>
      <c r="N1163" t="s">
        <v>903</v>
      </c>
      <c r="O1163" t="s">
        <v>3036</v>
      </c>
      <c r="Q1163" t="s">
        <v>3727</v>
      </c>
      <c r="R1163" s="52">
        <f>_xlfn.NUMBERVALUE(convertNumberStringPointToNumberComma(LEFT(Q1163,FIND("x",Q1163)-2)))</f>
        <v>81.599999999999994</v>
      </c>
      <c r="S1163" s="52">
        <f>_xlfn.NUMBERVALUE(convertNumberStringPointToNumberComma(LEFT(RIGHT(Q1163,LEN(Q1163)-FIND("x",Q1163)-1),LEN(RIGHT(Q1163,LEN(Q1163)-FIND("x",Q1163)-1))-2)))</f>
        <v>149.4</v>
      </c>
    </row>
    <row r="1164" spans="1:19" x14ac:dyDescent="0.25">
      <c r="A1164" t="s">
        <v>1871</v>
      </c>
      <c r="B1164" t="s">
        <v>61</v>
      </c>
      <c r="E1164" t="s">
        <v>2981</v>
      </c>
      <c r="H1164" t="s">
        <v>56</v>
      </c>
      <c r="L1164" t="s">
        <v>2707</v>
      </c>
      <c r="M1164" t="s">
        <v>2763</v>
      </c>
      <c r="N1164" t="s">
        <v>903</v>
      </c>
      <c r="O1164" t="s">
        <v>462</v>
      </c>
      <c r="Q1164" t="s">
        <v>3723</v>
      </c>
      <c r="R1164" s="52">
        <f>_xlfn.NUMBERVALUE(convertNumberStringPointToNumberComma(LEFT(Q1164,FIND("x",Q1164)-2)))</f>
        <v>81.599999999999994</v>
      </c>
      <c r="S1164" s="52">
        <f>_xlfn.NUMBERVALUE(convertNumberStringPointToNumberComma(LEFT(RIGHT(Q1164,LEN(Q1164)-FIND("x",Q1164)-1),LEN(RIGHT(Q1164,LEN(Q1164)-FIND("x",Q1164)-1))-2)))</f>
        <v>149</v>
      </c>
    </row>
    <row r="1165" spans="1:19" x14ac:dyDescent="0.25">
      <c r="A1165" t="s">
        <v>1945</v>
      </c>
      <c r="B1165" t="s">
        <v>960</v>
      </c>
      <c r="E1165" t="s">
        <v>2981</v>
      </c>
      <c r="H1165" t="s">
        <v>2668</v>
      </c>
      <c r="M1165" t="s">
        <v>8</v>
      </c>
      <c r="N1165" t="s">
        <v>913</v>
      </c>
      <c r="O1165" t="s">
        <v>549</v>
      </c>
      <c r="Q1165" t="s">
        <v>3762</v>
      </c>
      <c r="R1165" s="52">
        <f>_xlfn.NUMBERVALUE(convertNumberStringPointToNumberComma(LEFT(Q1165,FIND("x",Q1165)-2)))</f>
        <v>81.599999999999994</v>
      </c>
      <c r="S1165" s="52">
        <f>_xlfn.NUMBERVALUE(convertNumberStringPointToNumberComma(LEFT(RIGHT(Q1165,LEN(Q1165)-FIND("x",Q1165)-1),LEN(RIGHT(Q1165,LEN(Q1165)-FIND("x",Q1165)-1))-2)))</f>
        <v>70.2</v>
      </c>
    </row>
    <row r="1166" spans="1:19" x14ac:dyDescent="0.25">
      <c r="A1166" t="s">
        <v>1944</v>
      </c>
      <c r="B1166" t="s">
        <v>960</v>
      </c>
      <c r="E1166" t="s">
        <v>2981</v>
      </c>
      <c r="H1166" t="s">
        <v>2668</v>
      </c>
      <c r="M1166" t="s">
        <v>2802</v>
      </c>
      <c r="N1166" t="s">
        <v>913</v>
      </c>
      <c r="O1166" t="s">
        <v>2711</v>
      </c>
      <c r="Q1166" t="s">
        <v>3761</v>
      </c>
      <c r="R1166" s="52">
        <f>_xlfn.NUMBERVALUE(convertNumberStringPointToNumberComma(LEFT(Q1166,FIND("x",Q1166)-2)))</f>
        <v>81.599999999999994</v>
      </c>
      <c r="S1166" s="52">
        <f>_xlfn.NUMBERVALUE(convertNumberStringPointToNumberComma(LEFT(RIGHT(Q1166,LEN(Q1166)-FIND("x",Q1166)-1),LEN(RIGHT(Q1166,LEN(Q1166)-FIND("x",Q1166)-1))-2)))</f>
        <v>71.2</v>
      </c>
    </row>
    <row r="1167" spans="1:19" x14ac:dyDescent="0.25">
      <c r="A1167" t="s">
        <v>1767</v>
      </c>
      <c r="B1167" t="s">
        <v>678</v>
      </c>
      <c r="E1167" t="s">
        <v>2643</v>
      </c>
      <c r="H1167" t="s">
        <v>27</v>
      </c>
      <c r="M1167" t="s">
        <v>8</v>
      </c>
      <c r="N1167" t="s">
        <v>913</v>
      </c>
      <c r="O1167" t="s">
        <v>23</v>
      </c>
      <c r="Q1167" t="s">
        <v>3674</v>
      </c>
      <c r="R1167" s="52">
        <f>_xlfn.NUMBERVALUE(convertNumberStringPointToNumberComma(LEFT(Q1167,FIND("x",Q1167)-2)))</f>
        <v>81.599999999999994</v>
      </c>
      <c r="S1167" s="52">
        <f>_xlfn.NUMBERVALUE(convertNumberStringPointToNumberComma(LEFT(RIGHT(Q1167,LEN(Q1167)-FIND("x",Q1167)-1),LEN(RIGHT(Q1167,LEN(Q1167)-FIND("x",Q1167)-1))-2)))</f>
        <v>72.2</v>
      </c>
    </row>
    <row r="1168" spans="1:19" x14ac:dyDescent="0.25">
      <c r="A1168" t="s">
        <v>1942</v>
      </c>
      <c r="B1168" t="s">
        <v>960</v>
      </c>
      <c r="E1168" t="s">
        <v>2981</v>
      </c>
      <c r="H1168" t="s">
        <v>2668</v>
      </c>
      <c r="M1168" t="s">
        <v>2757</v>
      </c>
      <c r="N1168" t="s">
        <v>913</v>
      </c>
      <c r="O1168" t="s">
        <v>23</v>
      </c>
      <c r="Q1168" t="s">
        <v>3674</v>
      </c>
      <c r="R1168" s="52">
        <f>_xlfn.NUMBERVALUE(convertNumberStringPointToNumberComma(LEFT(Q1168,FIND("x",Q1168)-2)))</f>
        <v>81.599999999999994</v>
      </c>
      <c r="S1168" s="52">
        <f>_xlfn.NUMBERVALUE(convertNumberStringPointToNumberComma(LEFT(RIGHT(Q1168,LEN(Q1168)-FIND("x",Q1168)-1),LEN(RIGHT(Q1168,LEN(Q1168)-FIND("x",Q1168)-1))-2)))</f>
        <v>72.2</v>
      </c>
    </row>
    <row r="1169" spans="1:19" x14ac:dyDescent="0.25">
      <c r="A1169" t="s">
        <v>1974</v>
      </c>
      <c r="B1169" t="s">
        <v>678</v>
      </c>
      <c r="E1169" t="s">
        <v>2980</v>
      </c>
      <c r="H1169" t="s">
        <v>27</v>
      </c>
      <c r="M1169" t="s">
        <v>8</v>
      </c>
      <c r="N1169" t="s">
        <v>913</v>
      </c>
      <c r="O1169" t="s">
        <v>545</v>
      </c>
      <c r="Q1169" t="s">
        <v>3674</v>
      </c>
      <c r="R1169" s="52">
        <f>_xlfn.NUMBERVALUE(convertNumberStringPointToNumberComma(LEFT(Q1169,FIND("x",Q1169)-2)))</f>
        <v>81.599999999999994</v>
      </c>
      <c r="S1169" s="52">
        <f>_xlfn.NUMBERVALUE(convertNumberStringPointToNumberComma(LEFT(RIGHT(Q1169,LEN(Q1169)-FIND("x",Q1169)-1),LEN(RIGHT(Q1169,LEN(Q1169)-FIND("x",Q1169)-1))-2)))</f>
        <v>72.2</v>
      </c>
    </row>
    <row r="1170" spans="1:19" x14ac:dyDescent="0.25">
      <c r="A1170" t="s">
        <v>1950</v>
      </c>
      <c r="B1170" t="s">
        <v>960</v>
      </c>
      <c r="E1170" t="s">
        <v>2981</v>
      </c>
      <c r="H1170" t="s">
        <v>2668</v>
      </c>
      <c r="M1170" t="s">
        <v>2682</v>
      </c>
      <c r="N1170" t="s">
        <v>913</v>
      </c>
      <c r="O1170" t="s">
        <v>794</v>
      </c>
      <c r="Q1170" t="s">
        <v>3767</v>
      </c>
      <c r="R1170" s="52">
        <f>_xlfn.NUMBERVALUE(convertNumberStringPointToNumberComma(LEFT(Q1170,FIND("x",Q1170)-2)))</f>
        <v>81.599999999999994</v>
      </c>
      <c r="S1170" s="52">
        <f>_xlfn.NUMBERVALUE(convertNumberStringPointToNumberComma(LEFT(RIGHT(Q1170,LEN(Q1170)-FIND("x",Q1170)-1),LEN(RIGHT(Q1170,LEN(Q1170)-FIND("x",Q1170)-1))-2)))</f>
        <v>72.7</v>
      </c>
    </row>
    <row r="1171" spans="1:19" x14ac:dyDescent="0.25">
      <c r="A1171" t="s">
        <v>1768</v>
      </c>
      <c r="B1171" t="s">
        <v>678</v>
      </c>
      <c r="E1171" t="s">
        <v>2643</v>
      </c>
      <c r="H1171" t="s">
        <v>27</v>
      </c>
      <c r="M1171" t="s">
        <v>2802</v>
      </c>
      <c r="N1171" t="s">
        <v>913</v>
      </c>
      <c r="O1171" t="s">
        <v>549</v>
      </c>
      <c r="Q1171" t="s">
        <v>3675</v>
      </c>
      <c r="R1171" s="52">
        <f>_xlfn.NUMBERVALUE(convertNumberStringPointToNumberComma(LEFT(Q1171,FIND("x",Q1171)-2)))</f>
        <v>81.599999999999994</v>
      </c>
      <c r="S1171" s="52">
        <f>_xlfn.NUMBERVALUE(convertNumberStringPointToNumberComma(LEFT(RIGHT(Q1171,LEN(Q1171)-FIND("x",Q1171)-1),LEN(RIGHT(Q1171,LEN(Q1171)-FIND("x",Q1171)-1))-2)))</f>
        <v>73.2</v>
      </c>
    </row>
    <row r="1172" spans="1:19" x14ac:dyDescent="0.25">
      <c r="A1172" t="s">
        <v>1975</v>
      </c>
      <c r="B1172" t="s">
        <v>678</v>
      </c>
      <c r="E1172" t="s">
        <v>2980</v>
      </c>
      <c r="H1172" t="s">
        <v>27</v>
      </c>
      <c r="M1172" t="s">
        <v>2802</v>
      </c>
      <c r="N1172" t="s">
        <v>913</v>
      </c>
      <c r="O1172" t="s">
        <v>501</v>
      </c>
      <c r="Q1172" t="s">
        <v>3675</v>
      </c>
      <c r="R1172" s="52">
        <f>_xlfn.NUMBERVALUE(convertNumberStringPointToNumberComma(LEFT(Q1172,FIND("x",Q1172)-2)))</f>
        <v>81.599999999999994</v>
      </c>
      <c r="S1172" s="52">
        <f>_xlfn.NUMBERVALUE(convertNumberStringPointToNumberComma(LEFT(RIGHT(Q1172,LEN(Q1172)-FIND("x",Q1172)-1),LEN(RIGHT(Q1172,LEN(Q1172)-FIND("x",Q1172)-1))-2)))</f>
        <v>73.2</v>
      </c>
    </row>
    <row r="1173" spans="1:19" x14ac:dyDescent="0.25">
      <c r="A1173" t="s">
        <v>1757</v>
      </c>
      <c r="B1173" t="s">
        <v>678</v>
      </c>
      <c r="E1173" t="s">
        <v>2643</v>
      </c>
      <c r="H1173" t="s">
        <v>27</v>
      </c>
      <c r="M1173" t="s">
        <v>2757</v>
      </c>
      <c r="N1173" t="s">
        <v>913</v>
      </c>
      <c r="O1173" t="s">
        <v>612</v>
      </c>
      <c r="Q1173" t="s">
        <v>3664</v>
      </c>
      <c r="R1173" s="52">
        <f>_xlfn.NUMBERVALUE(convertNumberStringPointToNumberComma(LEFT(Q1173,FIND("x",Q1173)-2)))</f>
        <v>81.599999999999994</v>
      </c>
      <c r="S1173" s="52">
        <f>_xlfn.NUMBERVALUE(convertNumberStringPointToNumberComma(LEFT(RIGHT(Q1173,LEN(Q1173)-FIND("x",Q1173)-1),LEN(RIGHT(Q1173,LEN(Q1173)-FIND("x",Q1173)-1))-2)))</f>
        <v>74.2</v>
      </c>
    </row>
    <row r="1174" spans="1:19" x14ac:dyDescent="0.25">
      <c r="A1174" t="s">
        <v>1978</v>
      </c>
      <c r="B1174" t="s">
        <v>678</v>
      </c>
      <c r="E1174" t="s">
        <v>2980</v>
      </c>
      <c r="H1174" t="s">
        <v>27</v>
      </c>
      <c r="M1174" t="s">
        <v>2757</v>
      </c>
      <c r="N1174" t="s">
        <v>913</v>
      </c>
      <c r="O1174" t="s">
        <v>278</v>
      </c>
      <c r="Q1174" t="s">
        <v>3664</v>
      </c>
      <c r="R1174" s="52">
        <f>_xlfn.NUMBERVALUE(convertNumberStringPointToNumberComma(LEFT(Q1174,FIND("x",Q1174)-2)))</f>
        <v>81.599999999999994</v>
      </c>
      <c r="S1174" s="52">
        <f>_xlfn.NUMBERVALUE(convertNumberStringPointToNumberComma(LEFT(RIGHT(Q1174,LEN(Q1174)-FIND("x",Q1174)-1),LEN(RIGHT(Q1174,LEN(Q1174)-FIND("x",Q1174)-1))-2)))</f>
        <v>74.2</v>
      </c>
    </row>
    <row r="1175" spans="1:19" x14ac:dyDescent="0.25">
      <c r="A1175" t="s">
        <v>1160</v>
      </c>
      <c r="B1175" t="s">
        <v>678</v>
      </c>
      <c r="C1175" s="5">
        <f>convertNumberStringPointToNumberComma(IFERROR(LEFT(B1175,(FIND("-",B1175)-1)),LEFT(B1175,FIND("mm",B1175)-1)))</f>
        <v>50</v>
      </c>
      <c r="D1175" s="5">
        <f>convertNumberStringPointToNumberComma(IFERROR(RIGHT(LEFT(B1175,FIND("m",B1175)-1),LEN(LEFT(B1175,FIND("m",B1175)-1))-FIND("-",LEFT(B1175,FIND("m",B1175)-1))-1),C1175))</f>
        <v>50</v>
      </c>
      <c r="E1175" t="s">
        <v>2643</v>
      </c>
      <c r="F1175" s="9">
        <f>convertNumberStringPointToNumberComma(LEFT(MID(E1175,3,9),IFERROR(FIND("-",MID(E1175,3,9))-2,3)))</f>
        <v>1.4</v>
      </c>
      <c r="G1175" s="9">
        <f>convertNumberStringPointToNumberComma(RIGHT(E1175,IF(ISERROR(FIND(".",RIGHT(E1175,3))),1,3)))</f>
        <v>1.4</v>
      </c>
      <c r="H1175" t="s">
        <v>27</v>
      </c>
      <c r="I1175" s="5" t="str">
        <f>IF(H1175="none",0,LEFT(H1175,LEN(H1175)-2))</f>
        <v>77</v>
      </c>
      <c r="J1175" s="5" t="s">
        <v>118</v>
      </c>
      <c r="K1175" s="10">
        <f>IF(J1175="",0,convertNumberStringPointToNumberComma(LEFT(J1175,LEN(J1175)-1)))</f>
        <v>0.16</v>
      </c>
      <c r="M1175" t="s">
        <v>2682</v>
      </c>
      <c r="N1175" t="s">
        <v>913</v>
      </c>
      <c r="O1175" t="s">
        <v>292</v>
      </c>
      <c r="P1175" s="5" t="str">
        <f>LEFT(O1175,LEN(O1175)-1)</f>
        <v>535</v>
      </c>
      <c r="Q1175" t="s">
        <v>3334</v>
      </c>
      <c r="R1175" s="52">
        <f>_xlfn.NUMBERVALUE(convertNumberStringPointToNumberComma(LEFT(Q1175,FIND("x",Q1175)-2)))</f>
        <v>81.599999999999994</v>
      </c>
      <c r="S1175" s="52">
        <f>_xlfn.NUMBERVALUE(convertNumberStringPointToNumberComma(LEFT(RIGHT(Q1175,LEN(Q1175)-FIND("x",Q1175)-1),LEN(RIGHT(Q1175,LEN(Q1175)-FIND("x",Q1175)-1))-2)))</f>
        <v>74.7</v>
      </c>
    </row>
    <row r="1176" spans="1:19" x14ac:dyDescent="0.25">
      <c r="A1176" t="s">
        <v>1970</v>
      </c>
      <c r="B1176" t="s">
        <v>678</v>
      </c>
      <c r="E1176" t="s">
        <v>2980</v>
      </c>
      <c r="H1176" t="s">
        <v>27</v>
      </c>
      <c r="M1176" t="s">
        <v>2682</v>
      </c>
      <c r="N1176" t="s">
        <v>913</v>
      </c>
      <c r="O1176" t="s">
        <v>472</v>
      </c>
      <c r="Q1176" t="s">
        <v>3334</v>
      </c>
      <c r="R1176" s="52">
        <f>_xlfn.NUMBERVALUE(convertNumberStringPointToNumberComma(LEFT(Q1176,FIND("x",Q1176)-2)))</f>
        <v>81.599999999999994</v>
      </c>
      <c r="S1176" s="52">
        <f>_xlfn.NUMBERVALUE(convertNumberStringPointToNumberComma(LEFT(RIGHT(Q1176,LEN(Q1176)-FIND("x",Q1176)-1),LEN(RIGHT(Q1176,LEN(Q1176)-FIND("x",Q1176)-1))-2)))</f>
        <v>74.7</v>
      </c>
    </row>
    <row r="1177" spans="1:19" x14ac:dyDescent="0.25">
      <c r="A1177" t="s">
        <v>1947</v>
      </c>
      <c r="B1177" t="s">
        <v>960</v>
      </c>
      <c r="E1177" t="s">
        <v>2981</v>
      </c>
      <c r="H1177" t="s">
        <v>2668</v>
      </c>
      <c r="M1177" t="s">
        <v>2681</v>
      </c>
      <c r="N1177" t="s">
        <v>2681</v>
      </c>
      <c r="O1177" t="s">
        <v>64</v>
      </c>
      <c r="Q1177" t="s">
        <v>3764</v>
      </c>
      <c r="R1177" s="52">
        <f>_xlfn.NUMBERVALUE(convertNumberStringPointToNumberComma(LEFT(Q1177,FIND("x",Q1177)-2)))</f>
        <v>81.599999999999994</v>
      </c>
      <c r="S1177" s="52">
        <f>_xlfn.NUMBERVALUE(convertNumberStringPointToNumberComma(LEFT(RIGHT(Q1177,LEN(Q1177)-FIND("x",Q1177)-1),LEN(RIGHT(Q1177,LEN(Q1177)-FIND("x",Q1177)-1))-2)))</f>
        <v>78</v>
      </c>
    </row>
    <row r="1178" spans="1:19" x14ac:dyDescent="0.25">
      <c r="A1178" t="s">
        <v>1759</v>
      </c>
      <c r="B1178" t="s">
        <v>678</v>
      </c>
      <c r="E1178" t="s">
        <v>2643</v>
      </c>
      <c r="H1178" t="s">
        <v>27</v>
      </c>
      <c r="M1178" t="s">
        <v>2681</v>
      </c>
      <c r="N1178" t="s">
        <v>2681</v>
      </c>
      <c r="O1178" t="s">
        <v>501</v>
      </c>
      <c r="Q1178" t="s">
        <v>3666</v>
      </c>
      <c r="R1178" s="52">
        <f>_xlfn.NUMBERVALUE(convertNumberStringPointToNumberComma(LEFT(Q1178,FIND("x",Q1178)-2)))</f>
        <v>81.599999999999994</v>
      </c>
      <c r="S1178" s="52">
        <f>_xlfn.NUMBERVALUE(convertNumberStringPointToNumberComma(LEFT(RIGHT(Q1178,LEN(Q1178)-FIND("x",Q1178)-1),LEN(RIGHT(Q1178,LEN(Q1178)-FIND("x",Q1178)-1))-2)))</f>
        <v>80</v>
      </c>
    </row>
    <row r="1179" spans="1:19" x14ac:dyDescent="0.25">
      <c r="A1179" t="s">
        <v>1972</v>
      </c>
      <c r="B1179" t="s">
        <v>678</v>
      </c>
      <c r="E1179" t="s">
        <v>2980</v>
      </c>
      <c r="H1179" t="s">
        <v>27</v>
      </c>
      <c r="M1179" t="s">
        <v>2681</v>
      </c>
      <c r="N1179" t="s">
        <v>2681</v>
      </c>
      <c r="O1179" t="s">
        <v>726</v>
      </c>
      <c r="Q1179" t="s">
        <v>3666</v>
      </c>
      <c r="R1179" s="52">
        <f>_xlfn.NUMBERVALUE(convertNumberStringPointToNumberComma(LEFT(Q1179,FIND("x",Q1179)-2)))</f>
        <v>81.599999999999994</v>
      </c>
      <c r="S1179" s="52">
        <f>_xlfn.NUMBERVALUE(convertNumberStringPointToNumberComma(LEFT(RIGHT(Q1179,LEN(Q1179)-FIND("x",Q1179)-1),LEN(RIGHT(Q1179,LEN(Q1179)-FIND("x",Q1179)-1))-2)))</f>
        <v>80</v>
      </c>
    </row>
    <row r="1180" spans="1:19" x14ac:dyDescent="0.25">
      <c r="A1180" t="s">
        <v>1070</v>
      </c>
      <c r="B1180" t="s">
        <v>1071</v>
      </c>
      <c r="C1180" s="5">
        <f>convertNumberStringPointToNumberComma(IFERROR(LEFT(B1180,(FIND("-",B1180)-1)),LEFT(B1180,FIND("mm",B1180)-1)))</f>
        <v>15</v>
      </c>
      <c r="D1180" s="5">
        <f>convertNumberStringPointToNumberComma(IFERROR(RIGHT(LEFT(B1180,FIND("m",B1180)-1),LEN(LEFT(B1180,FIND("m",B1180)-1))-FIND("-",LEFT(B1180,FIND("m",B1180)-1))-1),C1180))</f>
        <v>5</v>
      </c>
      <c r="E1180" t="s">
        <v>2639</v>
      </c>
      <c r="F1180" s="9">
        <f>convertNumberStringPointToNumberComma(LEFT(MID(E1180,3,9),IFERROR(FIND("-",MID(E1180,3,9))-2,3)))</f>
        <v>3</v>
      </c>
      <c r="G1180" s="9">
        <f>convertNumberStringPointToNumberComma(RIGHT(E1180,IF(ISERROR(FIND(".",RIGHT(E1180,3))),1,3)))</f>
        <v>5.6</v>
      </c>
      <c r="H1180" t="s">
        <v>15</v>
      </c>
      <c r="I1180" s="5" t="str">
        <f>IF(H1180="none",0,LEFT(H1180,LEN(H1180)-2))</f>
        <v>72</v>
      </c>
      <c r="J1180" s="5" t="s">
        <v>291</v>
      </c>
      <c r="K1180" s="10">
        <f>IF(J1180="",0,convertNumberStringPointToNumberComma(LEFT(J1180,LEN(J1180)-1)))</f>
        <v>0.37</v>
      </c>
      <c r="L1180" t="s">
        <v>2679</v>
      </c>
      <c r="M1180" t="s">
        <v>2708</v>
      </c>
      <c r="N1180" t="s">
        <v>903</v>
      </c>
      <c r="O1180" t="s">
        <v>472</v>
      </c>
      <c r="P1180" s="5" t="str">
        <f>LEFT(O1180,LEN(O1180)-1)</f>
        <v>575</v>
      </c>
      <c r="Q1180" t="s">
        <v>3295</v>
      </c>
      <c r="R1180" s="52">
        <f>_xlfn.NUMBERVALUE(convertNumberStringPointToNumberComma(LEFT(Q1180,FIND("x",Q1180)-2)))</f>
        <v>81.599999999999994</v>
      </c>
      <c r="S1180" s="52">
        <f>_xlfn.NUMBERVALUE(convertNumberStringPointToNumberComma(LEFT(RIGHT(Q1180,LEN(Q1180)-FIND("x",Q1180)-1),LEN(RIGHT(Q1180,LEN(Q1180)-FIND("x",Q1180)-1))-2)))</f>
        <v>87.5</v>
      </c>
    </row>
    <row r="1181" spans="1:19" x14ac:dyDescent="0.25">
      <c r="A1181" t="s">
        <v>1943</v>
      </c>
      <c r="B1181" t="s">
        <v>960</v>
      </c>
      <c r="E1181" t="s">
        <v>2981</v>
      </c>
      <c r="H1181" t="s">
        <v>2668</v>
      </c>
      <c r="M1181" t="s">
        <v>2804</v>
      </c>
      <c r="N1181" t="s">
        <v>903</v>
      </c>
      <c r="O1181" t="s">
        <v>794</v>
      </c>
      <c r="Q1181" t="s">
        <v>3760</v>
      </c>
      <c r="R1181" s="52">
        <f>_xlfn.NUMBERVALUE(convertNumberStringPointToNumberComma(LEFT(Q1181,FIND("x",Q1181)-2)))</f>
        <v>81.599999999999994</v>
      </c>
      <c r="S1181" s="52">
        <f>_xlfn.NUMBERVALUE(convertNumberStringPointToNumberComma(LEFT(RIGHT(Q1181,LEN(Q1181)-FIND("x",Q1181)-1),LEN(RIGHT(Q1181,LEN(Q1181)-FIND("x",Q1181)-1))-2)))</f>
        <v>91.2</v>
      </c>
    </row>
    <row r="1182" spans="1:19" x14ac:dyDescent="0.25">
      <c r="A1182" t="s">
        <v>1766</v>
      </c>
      <c r="B1182" t="s">
        <v>678</v>
      </c>
      <c r="E1182" t="s">
        <v>2643</v>
      </c>
      <c r="H1182" t="s">
        <v>27</v>
      </c>
      <c r="M1182" t="s">
        <v>2804</v>
      </c>
      <c r="N1182" t="s">
        <v>903</v>
      </c>
      <c r="O1182" t="s">
        <v>545</v>
      </c>
      <c r="Q1182" t="s">
        <v>3673</v>
      </c>
      <c r="R1182" s="52">
        <f>_xlfn.NUMBERVALUE(convertNumberStringPointToNumberComma(LEFT(Q1182,FIND("x",Q1182)-2)))</f>
        <v>81.599999999999994</v>
      </c>
      <c r="S1182" s="52">
        <f>_xlfn.NUMBERVALUE(convertNumberStringPointToNumberComma(LEFT(RIGHT(Q1182,LEN(Q1182)-FIND("x",Q1182)-1),LEN(RIGHT(Q1182,LEN(Q1182)-FIND("x",Q1182)-1))-2)))</f>
        <v>93.2</v>
      </c>
    </row>
    <row r="1183" spans="1:19" x14ac:dyDescent="0.25">
      <c r="A1183" t="s">
        <v>1946</v>
      </c>
      <c r="B1183" t="s">
        <v>960</v>
      </c>
      <c r="E1183" t="s">
        <v>2981</v>
      </c>
      <c r="H1183" t="s">
        <v>2668</v>
      </c>
      <c r="M1183" t="s">
        <v>2680</v>
      </c>
      <c r="N1183" t="s">
        <v>2681</v>
      </c>
      <c r="O1183" t="s">
        <v>612</v>
      </c>
      <c r="Q1183" t="s">
        <v>3763</v>
      </c>
      <c r="R1183" s="52">
        <f>_xlfn.NUMBERVALUE(convertNumberStringPointToNumberComma(LEFT(Q1183,FIND("x",Q1183)-2)))</f>
        <v>81.599999999999994</v>
      </c>
      <c r="S1183" s="52">
        <f>_xlfn.NUMBERVALUE(convertNumberStringPointToNumberComma(LEFT(RIGHT(Q1183,LEN(Q1183)-FIND("x",Q1183)-1),LEN(RIGHT(Q1183,LEN(Q1183)-FIND("x",Q1183)-1))-2)))</f>
        <v>97.5</v>
      </c>
    </row>
    <row r="1184" spans="1:19" x14ac:dyDescent="0.25">
      <c r="A1184" t="s">
        <v>1949</v>
      </c>
      <c r="B1184" t="s">
        <v>960</v>
      </c>
      <c r="E1184" t="s">
        <v>2981</v>
      </c>
      <c r="H1184" t="s">
        <v>2668</v>
      </c>
      <c r="M1184" t="s">
        <v>2763</v>
      </c>
      <c r="N1184" t="s">
        <v>903</v>
      </c>
      <c r="O1184" t="s">
        <v>292</v>
      </c>
      <c r="Q1184" t="s">
        <v>3766</v>
      </c>
      <c r="R1184" s="52">
        <f>_xlfn.NUMBERVALUE(convertNumberStringPointToNumberComma(LEFT(Q1184,FIND("x",Q1184)-2)))</f>
        <v>81.599999999999994</v>
      </c>
      <c r="S1184" s="52">
        <f>_xlfn.NUMBERVALUE(convertNumberStringPointToNumberComma(LEFT(RIGHT(Q1184,LEN(Q1184)-FIND("x",Q1184)-1),LEN(RIGHT(Q1184,LEN(Q1184)-FIND("x",Q1184)-1))-2)))</f>
        <v>98.6</v>
      </c>
    </row>
    <row r="1185" spans="1:19" x14ac:dyDescent="0.25">
      <c r="A1185" t="s">
        <v>1941</v>
      </c>
      <c r="B1185" t="s">
        <v>960</v>
      </c>
      <c r="E1185" t="s">
        <v>2981</v>
      </c>
      <c r="H1185" t="s">
        <v>2668</v>
      </c>
      <c r="M1185" t="s">
        <v>2674</v>
      </c>
      <c r="N1185" t="s">
        <v>913</v>
      </c>
      <c r="O1185" t="s">
        <v>292</v>
      </c>
      <c r="Q1185" t="s">
        <v>3759</v>
      </c>
      <c r="R1185" s="52">
        <f>_xlfn.NUMBERVALUE(convertNumberStringPointToNumberComma(LEFT(Q1185,FIND("x",Q1185)-2)))</f>
        <v>81.599999999999994</v>
      </c>
      <c r="S1185" s="52">
        <f>_xlfn.NUMBERVALUE(convertNumberStringPointToNumberComma(LEFT(RIGHT(Q1185,LEN(Q1185)-FIND("x",Q1185)-1),LEN(RIGHT(Q1185,LEN(Q1185)-FIND("x",Q1185)-1))-2)))</f>
        <v>98.7</v>
      </c>
    </row>
    <row r="1186" spans="1:19" x14ac:dyDescent="0.25">
      <c r="A1186" t="s">
        <v>1760</v>
      </c>
      <c r="B1186" t="s">
        <v>678</v>
      </c>
      <c r="E1186" t="s">
        <v>2643</v>
      </c>
      <c r="H1186" t="s">
        <v>27</v>
      </c>
      <c r="M1186" t="s">
        <v>2680</v>
      </c>
      <c r="N1186" t="s">
        <v>2681</v>
      </c>
      <c r="O1186" t="s">
        <v>545</v>
      </c>
      <c r="Q1186" t="s">
        <v>3667</v>
      </c>
      <c r="R1186" s="52">
        <f>_xlfn.NUMBERVALUE(convertNumberStringPointToNumberComma(LEFT(Q1186,FIND("x",Q1186)-2)))</f>
        <v>81.599999999999994</v>
      </c>
      <c r="S1186" s="52">
        <f>_xlfn.NUMBERVALUE(convertNumberStringPointToNumberComma(LEFT(RIGHT(Q1186,LEN(Q1186)-FIND("x",Q1186)-1),LEN(RIGHT(Q1186,LEN(Q1186)-FIND("x",Q1186)-1))-2)))</f>
        <v>99.5</v>
      </c>
    </row>
    <row r="1187" spans="1:19" x14ac:dyDescent="0.25">
      <c r="A1187" t="s">
        <v>1973</v>
      </c>
      <c r="B1187" t="s">
        <v>678</v>
      </c>
      <c r="E1187" t="s">
        <v>2980</v>
      </c>
      <c r="H1187" t="s">
        <v>27</v>
      </c>
      <c r="M1187" t="s">
        <v>2680</v>
      </c>
      <c r="N1187" t="s">
        <v>2681</v>
      </c>
      <c r="O1187" t="s">
        <v>2945</v>
      </c>
      <c r="Q1187" t="s">
        <v>3667</v>
      </c>
      <c r="R1187" s="52">
        <f>_xlfn.NUMBERVALUE(convertNumberStringPointToNumberComma(LEFT(Q1187,FIND("x",Q1187)-2)))</f>
        <v>81.599999999999994</v>
      </c>
      <c r="S1187" s="52">
        <f>_xlfn.NUMBERVALUE(convertNumberStringPointToNumberComma(LEFT(RIGHT(Q1187,LEN(Q1187)-FIND("x",Q1187)-1),LEN(RIGHT(Q1187,LEN(Q1187)-FIND("x",Q1187)-1))-2)))</f>
        <v>99.5</v>
      </c>
    </row>
    <row r="1188" spans="1:19" x14ac:dyDescent="0.25">
      <c r="A1188" t="s">
        <v>1948</v>
      </c>
      <c r="B1188" t="s">
        <v>960</v>
      </c>
      <c r="E1188" t="s">
        <v>2981</v>
      </c>
      <c r="H1188" t="s">
        <v>2668</v>
      </c>
      <c r="M1188" t="s">
        <v>2748</v>
      </c>
      <c r="N1188" t="s">
        <v>903</v>
      </c>
      <c r="O1188" t="s">
        <v>472</v>
      </c>
      <c r="Q1188" t="s">
        <v>3765</v>
      </c>
      <c r="R1188" s="52">
        <f>_xlfn.NUMBERVALUE(convertNumberStringPointToNumberComma(LEFT(Q1188,FIND("x",Q1188)-2)))</f>
        <v>81.599999999999994</v>
      </c>
      <c r="S1188" s="52">
        <f>_xlfn.NUMBERVALUE(convertNumberStringPointToNumberComma(LEFT(RIGHT(Q1188,LEN(Q1188)-FIND("x",Q1188)-1),LEN(RIGHT(Q1188,LEN(Q1188)-FIND("x",Q1188)-1))-2)))</f>
        <v>99</v>
      </c>
    </row>
    <row r="1189" spans="1:19" x14ac:dyDescent="0.25">
      <c r="A1189" t="s">
        <v>2015</v>
      </c>
      <c r="B1189" t="s">
        <v>263</v>
      </c>
      <c r="E1189" t="s">
        <v>3007</v>
      </c>
      <c r="H1189" t="s">
        <v>27</v>
      </c>
      <c r="M1189" t="s">
        <v>2674</v>
      </c>
      <c r="N1189" t="s">
        <v>913</v>
      </c>
      <c r="O1189" t="s">
        <v>64</v>
      </c>
      <c r="Q1189" t="s">
        <v>3799</v>
      </c>
      <c r="R1189" s="52">
        <f>_xlfn.NUMBERVALUE(convertNumberStringPointToNumberComma(LEFT(Q1189,FIND("x",Q1189)-2)))</f>
        <v>81.7</v>
      </c>
      <c r="S1189" s="52">
        <f>_xlfn.NUMBERVALUE(convertNumberStringPointToNumberComma(LEFT(RIGHT(Q1189,LEN(Q1189)-FIND("x",Q1189)-1),LEN(RIGHT(Q1189,LEN(Q1189)-FIND("x",Q1189)-1))-2)))</f>
        <v>122.1</v>
      </c>
    </row>
    <row r="1190" spans="1:19" x14ac:dyDescent="0.25">
      <c r="A1190" t="s">
        <v>2014</v>
      </c>
      <c r="B1190" t="s">
        <v>263</v>
      </c>
      <c r="E1190" t="s">
        <v>3007</v>
      </c>
      <c r="H1190" t="s">
        <v>27</v>
      </c>
      <c r="M1190" t="s">
        <v>2763</v>
      </c>
      <c r="N1190" t="s">
        <v>903</v>
      </c>
      <c r="O1190" t="s">
        <v>64</v>
      </c>
      <c r="Q1190" t="s">
        <v>3798</v>
      </c>
      <c r="R1190" s="52">
        <f>_xlfn.NUMBERVALUE(convertNumberStringPointToNumberComma(LEFT(Q1190,FIND("x",Q1190)-2)))</f>
        <v>81.7</v>
      </c>
      <c r="S1190" s="52">
        <f>_xlfn.NUMBERVALUE(convertNumberStringPointToNumberComma(LEFT(RIGHT(Q1190,LEN(Q1190)-FIND("x",Q1190)-1),LEN(RIGHT(Q1190,LEN(Q1190)-FIND("x",Q1190)-1))-2)))</f>
        <v>122</v>
      </c>
    </row>
    <row r="1191" spans="1:19" x14ac:dyDescent="0.25">
      <c r="A1191" t="s">
        <v>2017</v>
      </c>
      <c r="B1191" t="s">
        <v>263</v>
      </c>
      <c r="E1191" t="s">
        <v>3007</v>
      </c>
      <c r="H1191" t="s">
        <v>27</v>
      </c>
      <c r="M1191" t="s">
        <v>8</v>
      </c>
      <c r="N1191" t="s">
        <v>913</v>
      </c>
      <c r="O1191" t="s">
        <v>2711</v>
      </c>
      <c r="Q1191" t="s">
        <v>3800</v>
      </c>
      <c r="R1191" s="52">
        <f>_xlfn.NUMBERVALUE(convertNumberStringPointToNumberComma(LEFT(Q1191,FIND("x",Q1191)-2)))</f>
        <v>81.7</v>
      </c>
      <c r="S1191" s="52">
        <f>_xlfn.NUMBERVALUE(convertNumberStringPointToNumberComma(LEFT(RIGHT(Q1191,LEN(Q1191)-FIND("x",Q1191)-1),LEN(RIGHT(Q1191,LEN(Q1191)-FIND("x",Q1191)-1))-2)))</f>
        <v>93.6</v>
      </c>
    </row>
    <row r="1192" spans="1:19" x14ac:dyDescent="0.25">
      <c r="A1192" t="s">
        <v>2036</v>
      </c>
      <c r="B1192" t="s">
        <v>678</v>
      </c>
      <c r="E1192" t="s">
        <v>2980</v>
      </c>
      <c r="H1192" t="s">
        <v>27</v>
      </c>
      <c r="M1192" t="s">
        <v>2674</v>
      </c>
      <c r="N1192" t="s">
        <v>913</v>
      </c>
      <c r="O1192" t="s">
        <v>123</v>
      </c>
      <c r="Q1192" t="s">
        <v>3806</v>
      </c>
      <c r="R1192" s="52">
        <f>_xlfn.NUMBERVALUE(convertNumberStringPointToNumberComma(LEFT(Q1192,FIND("x",Q1192)-2)))</f>
        <v>82</v>
      </c>
      <c r="S1192" s="52">
        <f>_xlfn.NUMBERVALUE(convertNumberStringPointToNumberComma(LEFT(RIGHT(Q1192,LEN(Q1192)-FIND("x",Q1192)-1),LEN(RIGHT(Q1192,LEN(Q1192)-FIND("x",Q1192)-1))-2)))</f>
        <v>100.7</v>
      </c>
    </row>
    <row r="1193" spans="1:19" x14ac:dyDescent="0.25">
      <c r="A1193" t="s">
        <v>2240</v>
      </c>
      <c r="B1193" t="s">
        <v>148</v>
      </c>
      <c r="E1193" t="s">
        <v>2638</v>
      </c>
      <c r="H1193" t="s">
        <v>27</v>
      </c>
      <c r="M1193" t="s">
        <v>8</v>
      </c>
      <c r="N1193" t="s">
        <v>913</v>
      </c>
      <c r="O1193" t="s">
        <v>150</v>
      </c>
      <c r="Q1193" t="s">
        <v>3879</v>
      </c>
      <c r="R1193" s="52">
        <f>_xlfn.NUMBERVALUE(convertNumberStringPointToNumberComma(LEFT(Q1193,FIND("x",Q1193)-2)))</f>
        <v>82</v>
      </c>
      <c r="S1193" s="52">
        <f>_xlfn.NUMBERVALUE(convertNumberStringPointToNumberComma(LEFT(RIGHT(Q1193,LEN(Q1193)-FIND("x",Q1193)-1),LEN(RIGHT(Q1193,LEN(Q1193)-FIND("x",Q1193)-1))-2)))</f>
        <v>120</v>
      </c>
    </row>
    <row r="1194" spans="1:19" x14ac:dyDescent="0.25">
      <c r="A1194" t="s">
        <v>2253</v>
      </c>
      <c r="B1194" t="s">
        <v>148</v>
      </c>
      <c r="E1194" t="s">
        <v>3014</v>
      </c>
      <c r="H1194" t="s">
        <v>27</v>
      </c>
      <c r="M1194" t="s">
        <v>8</v>
      </c>
      <c r="N1194" t="s">
        <v>913</v>
      </c>
      <c r="O1194" t="s">
        <v>226</v>
      </c>
      <c r="Q1194" t="s">
        <v>3879</v>
      </c>
      <c r="R1194" s="52">
        <f>_xlfn.NUMBERVALUE(convertNumberStringPointToNumberComma(LEFT(Q1194,FIND("x",Q1194)-2)))</f>
        <v>82</v>
      </c>
      <c r="S1194" s="52">
        <f>_xlfn.NUMBERVALUE(convertNumberStringPointToNumberComma(LEFT(RIGHT(Q1194,LEN(Q1194)-FIND("x",Q1194)-1),LEN(RIGHT(Q1194,LEN(Q1194)-FIND("x",Q1194)-1))-2)))</f>
        <v>120</v>
      </c>
    </row>
    <row r="1195" spans="1:19" x14ac:dyDescent="0.25">
      <c r="A1195" t="s">
        <v>2382</v>
      </c>
      <c r="B1195" t="s">
        <v>148</v>
      </c>
      <c r="E1195" t="s">
        <v>2638</v>
      </c>
      <c r="H1195" t="s">
        <v>27</v>
      </c>
      <c r="M1195" t="s">
        <v>8</v>
      </c>
      <c r="N1195" t="s">
        <v>913</v>
      </c>
      <c r="O1195" t="s">
        <v>229</v>
      </c>
      <c r="Q1195" t="s">
        <v>3879</v>
      </c>
      <c r="R1195" s="52">
        <f>_xlfn.NUMBERVALUE(convertNumberStringPointToNumberComma(LEFT(Q1195,FIND("x",Q1195)-2)))</f>
        <v>82</v>
      </c>
      <c r="S1195" s="52">
        <f>_xlfn.NUMBERVALUE(convertNumberStringPointToNumberComma(LEFT(RIGHT(Q1195,LEN(Q1195)-FIND("x",Q1195)-1),LEN(RIGHT(Q1195,LEN(Q1195)-FIND("x",Q1195)-1))-2)))</f>
        <v>120</v>
      </c>
    </row>
    <row r="1196" spans="1:19" x14ac:dyDescent="0.25">
      <c r="A1196" t="s">
        <v>2386</v>
      </c>
      <c r="B1196" t="s">
        <v>148</v>
      </c>
      <c r="E1196" t="s">
        <v>2638</v>
      </c>
      <c r="H1196" t="s">
        <v>27</v>
      </c>
      <c r="M1196" t="s">
        <v>2674</v>
      </c>
      <c r="N1196" t="s">
        <v>913</v>
      </c>
      <c r="O1196" t="s">
        <v>476</v>
      </c>
      <c r="Q1196" t="s">
        <v>3879</v>
      </c>
      <c r="R1196" s="52">
        <f>_xlfn.NUMBERVALUE(convertNumberStringPointToNumberComma(LEFT(Q1196,FIND("x",Q1196)-2)))</f>
        <v>82</v>
      </c>
      <c r="S1196" s="52">
        <f>_xlfn.NUMBERVALUE(convertNumberStringPointToNumberComma(LEFT(RIGHT(Q1196,LEN(Q1196)-FIND("x",Q1196)-1),LEN(RIGHT(Q1196,LEN(Q1196)-FIND("x",Q1196)-1))-2)))</f>
        <v>120</v>
      </c>
    </row>
    <row r="1197" spans="1:19" x14ac:dyDescent="0.25">
      <c r="A1197" t="s">
        <v>2388</v>
      </c>
      <c r="B1197" t="s">
        <v>148</v>
      </c>
      <c r="E1197" t="s">
        <v>3014</v>
      </c>
      <c r="H1197" t="s">
        <v>27</v>
      </c>
      <c r="M1197" t="s">
        <v>8</v>
      </c>
      <c r="N1197" t="s">
        <v>913</v>
      </c>
      <c r="O1197" t="s">
        <v>3129</v>
      </c>
      <c r="Q1197" t="s">
        <v>3879</v>
      </c>
      <c r="R1197" s="52">
        <f>_xlfn.NUMBERVALUE(convertNumberStringPointToNumberComma(LEFT(Q1197,FIND("x",Q1197)-2)))</f>
        <v>82</v>
      </c>
      <c r="S1197" s="52">
        <f>_xlfn.NUMBERVALUE(convertNumberStringPointToNumberComma(LEFT(RIGHT(Q1197,LEN(Q1197)-FIND("x",Q1197)-1),LEN(RIGHT(Q1197,LEN(Q1197)-FIND("x",Q1197)-1))-2)))</f>
        <v>120</v>
      </c>
    </row>
    <row r="1198" spans="1:19" x14ac:dyDescent="0.25">
      <c r="A1198" t="s">
        <v>2241</v>
      </c>
      <c r="B1198" t="s">
        <v>148</v>
      </c>
      <c r="E1198" t="s">
        <v>2638</v>
      </c>
      <c r="H1198" t="s">
        <v>27</v>
      </c>
      <c r="M1198" t="s">
        <v>2802</v>
      </c>
      <c r="N1198" t="s">
        <v>913</v>
      </c>
      <c r="O1198" t="s">
        <v>226</v>
      </c>
      <c r="Q1198" t="s">
        <v>3880</v>
      </c>
      <c r="R1198" s="52">
        <f>_xlfn.NUMBERVALUE(convertNumberStringPointToNumberComma(LEFT(Q1198,FIND("x",Q1198)-2)))</f>
        <v>82</v>
      </c>
      <c r="S1198" s="52">
        <f>_xlfn.NUMBERVALUE(convertNumberStringPointToNumberComma(LEFT(RIGHT(Q1198,LEN(Q1198)-FIND("x",Q1198)-1),LEN(RIGHT(Q1198,LEN(Q1198)-FIND("x",Q1198)-1))-2)))</f>
        <v>121</v>
      </c>
    </row>
    <row r="1199" spans="1:19" x14ac:dyDescent="0.25">
      <c r="A1199" t="s">
        <v>2258</v>
      </c>
      <c r="B1199" t="s">
        <v>148</v>
      </c>
      <c r="E1199" t="s">
        <v>3014</v>
      </c>
      <c r="H1199" t="s">
        <v>27</v>
      </c>
      <c r="M1199" t="s">
        <v>2802</v>
      </c>
      <c r="N1199" t="s">
        <v>913</v>
      </c>
      <c r="O1199" t="s">
        <v>494</v>
      </c>
      <c r="Q1199" t="s">
        <v>3880</v>
      </c>
      <c r="R1199" s="52">
        <f>_xlfn.NUMBERVALUE(convertNumberStringPointToNumberComma(LEFT(Q1199,FIND("x",Q1199)-2)))</f>
        <v>82</v>
      </c>
      <c r="S1199" s="52">
        <f>_xlfn.NUMBERVALUE(convertNumberStringPointToNumberComma(LEFT(RIGHT(Q1199,LEN(Q1199)-FIND("x",Q1199)-1),LEN(RIGHT(Q1199,LEN(Q1199)-FIND("x",Q1199)-1))-2)))</f>
        <v>121</v>
      </c>
    </row>
    <row r="1200" spans="1:19" x14ac:dyDescent="0.25">
      <c r="A1200" t="s">
        <v>2234</v>
      </c>
      <c r="B1200" t="s">
        <v>148</v>
      </c>
      <c r="E1200" t="s">
        <v>2638</v>
      </c>
      <c r="H1200" t="s">
        <v>27</v>
      </c>
      <c r="M1200" t="s">
        <v>2682</v>
      </c>
      <c r="N1200" t="s">
        <v>913</v>
      </c>
      <c r="O1200" t="s">
        <v>153</v>
      </c>
      <c r="Q1200" t="s">
        <v>3877</v>
      </c>
      <c r="R1200" s="52">
        <f>_xlfn.NUMBERVALUE(convertNumberStringPointToNumberComma(LEFT(Q1200,FIND("x",Q1200)-2)))</f>
        <v>82</v>
      </c>
      <c r="S1200" s="52">
        <f>_xlfn.NUMBERVALUE(convertNumberStringPointToNumberComma(LEFT(RIGHT(Q1200,LEN(Q1200)-FIND("x",Q1200)-1),LEN(RIGHT(Q1200,LEN(Q1200)-FIND("x",Q1200)-1))-2)))</f>
        <v>122</v>
      </c>
    </row>
    <row r="1201" spans="1:19" x14ac:dyDescent="0.25">
      <c r="A1201" t="s">
        <v>2242</v>
      </c>
      <c r="B1201" t="s">
        <v>148</v>
      </c>
      <c r="E1201" t="s">
        <v>2638</v>
      </c>
      <c r="H1201" t="s">
        <v>27</v>
      </c>
      <c r="M1201" t="s">
        <v>2757</v>
      </c>
      <c r="N1201" t="s">
        <v>913</v>
      </c>
      <c r="O1201" t="s">
        <v>494</v>
      </c>
      <c r="Q1201" t="s">
        <v>3877</v>
      </c>
      <c r="R1201" s="52">
        <f>_xlfn.NUMBERVALUE(convertNumberStringPointToNumberComma(LEFT(Q1201,FIND("x",Q1201)-2)))</f>
        <v>82</v>
      </c>
      <c r="S1201" s="52">
        <f>_xlfn.NUMBERVALUE(convertNumberStringPointToNumberComma(LEFT(RIGHT(Q1201,LEN(Q1201)-FIND("x",Q1201)-1),LEN(RIGHT(Q1201,LEN(Q1201)-FIND("x",Q1201)-1))-2)))</f>
        <v>122</v>
      </c>
    </row>
    <row r="1202" spans="1:19" x14ac:dyDescent="0.25">
      <c r="A1202" t="s">
        <v>2247</v>
      </c>
      <c r="B1202" t="s">
        <v>148</v>
      </c>
      <c r="E1202" t="s">
        <v>3014</v>
      </c>
      <c r="H1202" t="s">
        <v>27</v>
      </c>
      <c r="M1202" t="s">
        <v>2682</v>
      </c>
      <c r="N1202" t="s">
        <v>913</v>
      </c>
      <c r="O1202" t="s">
        <v>3104</v>
      </c>
      <c r="Q1202" t="s">
        <v>3877</v>
      </c>
      <c r="R1202" s="52">
        <f>_xlfn.NUMBERVALUE(convertNumberStringPointToNumberComma(LEFT(Q1202,FIND("x",Q1202)-2)))</f>
        <v>82</v>
      </c>
      <c r="S1202" s="52">
        <f>_xlfn.NUMBERVALUE(convertNumberStringPointToNumberComma(LEFT(RIGHT(Q1202,LEN(Q1202)-FIND("x",Q1202)-1),LEN(RIGHT(Q1202,LEN(Q1202)-FIND("x",Q1202)-1))-2)))</f>
        <v>122</v>
      </c>
    </row>
    <row r="1203" spans="1:19" x14ac:dyDescent="0.25">
      <c r="A1203" t="s">
        <v>2259</v>
      </c>
      <c r="B1203" t="s">
        <v>148</v>
      </c>
      <c r="E1203" t="s">
        <v>3014</v>
      </c>
      <c r="H1203" t="s">
        <v>27</v>
      </c>
      <c r="M1203" t="s">
        <v>2757</v>
      </c>
      <c r="N1203" t="s">
        <v>913</v>
      </c>
      <c r="O1203" t="s">
        <v>153</v>
      </c>
      <c r="Q1203" t="s">
        <v>3877</v>
      </c>
      <c r="R1203" s="52">
        <f>_xlfn.NUMBERVALUE(convertNumberStringPointToNumberComma(LEFT(Q1203,FIND("x",Q1203)-2)))</f>
        <v>82</v>
      </c>
      <c r="S1203" s="52">
        <f>_xlfn.NUMBERVALUE(convertNumberStringPointToNumberComma(LEFT(RIGHT(Q1203,LEN(Q1203)-FIND("x",Q1203)-1),LEN(RIGHT(Q1203,LEN(Q1203)-FIND("x",Q1203)-1))-2)))</f>
        <v>122</v>
      </c>
    </row>
    <row r="1204" spans="1:19" x14ac:dyDescent="0.25">
      <c r="A1204" t="s">
        <v>2245</v>
      </c>
      <c r="B1204" t="s">
        <v>148</v>
      </c>
      <c r="E1204" t="s">
        <v>2638</v>
      </c>
      <c r="H1204" t="s">
        <v>27</v>
      </c>
      <c r="M1204" t="s">
        <v>2681</v>
      </c>
      <c r="N1204" t="s">
        <v>2681</v>
      </c>
      <c r="O1204" t="s">
        <v>646</v>
      </c>
      <c r="Q1204" t="s">
        <v>3881</v>
      </c>
      <c r="R1204" s="52">
        <f>_xlfn.NUMBERVALUE(convertNumberStringPointToNumberComma(LEFT(Q1204,FIND("x",Q1204)-2)))</f>
        <v>82</v>
      </c>
      <c r="S1204" s="52">
        <f>_xlfn.NUMBERVALUE(convertNumberStringPointToNumberComma(LEFT(RIGHT(Q1204,LEN(Q1204)-FIND("x",Q1204)-1),LEN(RIGHT(Q1204,LEN(Q1204)-FIND("x",Q1204)-1))-2)))</f>
        <v>127</v>
      </c>
    </row>
    <row r="1205" spans="1:19" x14ac:dyDescent="0.25">
      <c r="A1205" t="s">
        <v>2254</v>
      </c>
      <c r="B1205" t="s">
        <v>148</v>
      </c>
      <c r="E1205" t="s">
        <v>3014</v>
      </c>
      <c r="H1205" t="s">
        <v>27</v>
      </c>
      <c r="M1205" t="s">
        <v>2681</v>
      </c>
      <c r="N1205" t="s">
        <v>2681</v>
      </c>
      <c r="O1205" t="s">
        <v>759</v>
      </c>
      <c r="Q1205" t="s">
        <v>3881</v>
      </c>
      <c r="R1205" s="52">
        <f>_xlfn.NUMBERVALUE(convertNumberStringPointToNumberComma(LEFT(Q1205,FIND("x",Q1205)-2)))</f>
        <v>82</v>
      </c>
      <c r="S1205" s="52">
        <f>_xlfn.NUMBERVALUE(convertNumberStringPointToNumberComma(LEFT(RIGHT(Q1205,LEN(Q1205)-FIND("x",Q1205)-1),LEN(RIGHT(Q1205,LEN(Q1205)-FIND("x",Q1205)-1))-2)))</f>
        <v>127</v>
      </c>
    </row>
    <row r="1206" spans="1:19" x14ac:dyDescent="0.25">
      <c r="A1206" t="s">
        <v>2246</v>
      </c>
      <c r="B1206" t="s">
        <v>148</v>
      </c>
      <c r="E1206" t="s">
        <v>2638</v>
      </c>
      <c r="H1206" t="s">
        <v>27</v>
      </c>
      <c r="M1206" t="s">
        <v>2680</v>
      </c>
      <c r="N1206" t="s">
        <v>2681</v>
      </c>
      <c r="O1206" t="s">
        <v>3104</v>
      </c>
      <c r="Q1206" t="s">
        <v>3882</v>
      </c>
      <c r="R1206" s="52">
        <f>_xlfn.NUMBERVALUE(convertNumberStringPointToNumberComma(LEFT(Q1206,FIND("x",Q1206)-2)))</f>
        <v>82</v>
      </c>
      <c r="S1206" s="52">
        <f>_xlfn.NUMBERVALUE(convertNumberStringPointToNumberComma(LEFT(RIGHT(Q1206,LEN(Q1206)-FIND("x",Q1206)-1),LEN(RIGHT(Q1206,LEN(Q1206)-FIND("x",Q1206)-1))-2)))</f>
        <v>147</v>
      </c>
    </row>
    <row r="1207" spans="1:19" x14ac:dyDescent="0.25">
      <c r="A1207" t="s">
        <v>2256</v>
      </c>
      <c r="B1207" t="s">
        <v>148</v>
      </c>
      <c r="E1207" t="s">
        <v>3014</v>
      </c>
      <c r="H1207" t="s">
        <v>27</v>
      </c>
      <c r="M1207" t="s">
        <v>2680</v>
      </c>
      <c r="N1207" t="s">
        <v>2681</v>
      </c>
      <c r="O1207" t="s">
        <v>2723</v>
      </c>
      <c r="Q1207" t="s">
        <v>3882</v>
      </c>
      <c r="R1207" s="52">
        <f>_xlfn.NUMBERVALUE(convertNumberStringPointToNumberComma(LEFT(Q1207,FIND("x",Q1207)-2)))</f>
        <v>82</v>
      </c>
      <c r="S1207" s="52">
        <f>_xlfn.NUMBERVALUE(convertNumberStringPointToNumberComma(LEFT(RIGHT(Q1207,LEN(Q1207)-FIND("x",Q1207)-1),LEN(RIGHT(Q1207,LEN(Q1207)-FIND("x",Q1207)-1))-2)))</f>
        <v>147</v>
      </c>
    </row>
    <row r="1208" spans="1:19" x14ac:dyDescent="0.25">
      <c r="A1208" t="s">
        <v>2239</v>
      </c>
      <c r="B1208" t="s">
        <v>148</v>
      </c>
      <c r="E1208" t="s">
        <v>2638</v>
      </c>
      <c r="H1208" t="s">
        <v>27</v>
      </c>
      <c r="M1208" t="s">
        <v>2763</v>
      </c>
      <c r="N1208" t="s">
        <v>903</v>
      </c>
      <c r="O1208" t="s">
        <v>2723</v>
      </c>
      <c r="Q1208" t="s">
        <v>154</v>
      </c>
      <c r="R1208" s="52">
        <f>_xlfn.NUMBERVALUE(convertNumberStringPointToNumberComma(LEFT(Q1208,FIND("x",Q1208)-2)))</f>
        <v>82</v>
      </c>
      <c r="S1208" s="52">
        <f>_xlfn.NUMBERVALUE(convertNumberStringPointToNumberComma(LEFT(RIGHT(Q1208,LEN(Q1208)-FIND("x",Q1208)-1),LEN(RIGHT(Q1208,LEN(Q1208)-FIND("x",Q1208)-1))-2)))</f>
        <v>148</v>
      </c>
    </row>
    <row r="1209" spans="1:19" x14ac:dyDescent="0.25">
      <c r="A1209" t="s">
        <v>2243</v>
      </c>
      <c r="B1209" t="s">
        <v>148</v>
      </c>
      <c r="E1209" t="s">
        <v>2638</v>
      </c>
      <c r="H1209" t="s">
        <v>27</v>
      </c>
      <c r="M1209" t="s">
        <v>2674</v>
      </c>
      <c r="N1209" t="s">
        <v>913</v>
      </c>
      <c r="O1209" t="s">
        <v>2723</v>
      </c>
      <c r="Q1209" t="s">
        <v>154</v>
      </c>
      <c r="R1209" s="52">
        <f>_xlfn.NUMBERVALUE(convertNumberStringPointToNumberComma(LEFT(Q1209,FIND("x",Q1209)-2)))</f>
        <v>82</v>
      </c>
      <c r="S1209" s="52">
        <f>_xlfn.NUMBERVALUE(convertNumberStringPointToNumberComma(LEFT(RIGHT(Q1209,LEN(Q1209)-FIND("x",Q1209)-1),LEN(RIGHT(Q1209,LEN(Q1209)-FIND("x",Q1209)-1))-2)))</f>
        <v>148</v>
      </c>
    </row>
    <row r="1210" spans="1:19" x14ac:dyDescent="0.25">
      <c r="A1210" t="s">
        <v>2244</v>
      </c>
      <c r="B1210" t="s">
        <v>148</v>
      </c>
      <c r="E1210" t="s">
        <v>2638</v>
      </c>
      <c r="H1210" t="s">
        <v>27</v>
      </c>
      <c r="M1210" t="s">
        <v>2748</v>
      </c>
      <c r="N1210" t="s">
        <v>903</v>
      </c>
      <c r="O1210" t="s">
        <v>229</v>
      </c>
      <c r="Q1210" t="s">
        <v>154</v>
      </c>
      <c r="R1210" s="52">
        <f>_xlfn.NUMBERVALUE(convertNumberStringPointToNumberComma(LEFT(Q1210,FIND("x",Q1210)-2)))</f>
        <v>82</v>
      </c>
      <c r="S1210" s="52">
        <f>_xlfn.NUMBERVALUE(convertNumberStringPointToNumberComma(LEFT(RIGHT(Q1210,LEN(Q1210)-FIND("x",Q1210)-1),LEN(RIGHT(Q1210,LEN(Q1210)-FIND("x",Q1210)-1))-2)))</f>
        <v>148</v>
      </c>
    </row>
    <row r="1211" spans="1:19" x14ac:dyDescent="0.25">
      <c r="A1211" t="s">
        <v>2257</v>
      </c>
      <c r="B1211" t="s">
        <v>148</v>
      </c>
      <c r="E1211" t="s">
        <v>3014</v>
      </c>
      <c r="H1211" t="s">
        <v>27</v>
      </c>
      <c r="M1211" t="s">
        <v>2748</v>
      </c>
      <c r="N1211" t="s">
        <v>903</v>
      </c>
      <c r="O1211" t="s">
        <v>414</v>
      </c>
      <c r="Q1211" t="s">
        <v>154</v>
      </c>
      <c r="R1211" s="52">
        <f>_xlfn.NUMBERVALUE(convertNumberStringPointToNumberComma(LEFT(Q1211,FIND("x",Q1211)-2)))</f>
        <v>82</v>
      </c>
      <c r="S1211" s="52">
        <f>_xlfn.NUMBERVALUE(convertNumberStringPointToNumberComma(LEFT(RIGHT(Q1211,LEN(Q1211)-FIND("x",Q1211)-1),LEN(RIGHT(Q1211,LEN(Q1211)-FIND("x",Q1211)-1))-2)))</f>
        <v>148</v>
      </c>
    </row>
    <row r="1212" spans="1:19" x14ac:dyDescent="0.25">
      <c r="A1212" t="s">
        <v>2260</v>
      </c>
      <c r="B1212" t="s">
        <v>148</v>
      </c>
      <c r="E1212" t="s">
        <v>3014</v>
      </c>
      <c r="H1212" t="s">
        <v>27</v>
      </c>
      <c r="M1212" t="s">
        <v>2674</v>
      </c>
      <c r="N1212" t="s">
        <v>913</v>
      </c>
      <c r="O1212" t="s">
        <v>646</v>
      </c>
      <c r="Q1212" t="s">
        <v>154</v>
      </c>
      <c r="R1212" s="52">
        <f>_xlfn.NUMBERVALUE(convertNumberStringPointToNumberComma(LEFT(Q1212,FIND("x",Q1212)-2)))</f>
        <v>82</v>
      </c>
      <c r="S1212" s="52">
        <f>_xlfn.NUMBERVALUE(convertNumberStringPointToNumberComma(LEFT(RIGHT(Q1212,LEN(Q1212)-FIND("x",Q1212)-1),LEN(RIGHT(Q1212,LEN(Q1212)-FIND("x",Q1212)-1))-2)))</f>
        <v>148</v>
      </c>
    </row>
    <row r="1213" spans="1:19" x14ac:dyDescent="0.25">
      <c r="A1213" t="s">
        <v>2227</v>
      </c>
      <c r="B1213" t="s">
        <v>61</v>
      </c>
      <c r="E1213" t="s">
        <v>2981</v>
      </c>
      <c r="H1213" t="s">
        <v>56</v>
      </c>
      <c r="L1213" t="s">
        <v>2707</v>
      </c>
      <c r="M1213" t="s">
        <v>8</v>
      </c>
      <c r="N1213" t="s">
        <v>913</v>
      </c>
      <c r="O1213" t="s">
        <v>3036</v>
      </c>
      <c r="Q1213" t="s">
        <v>3875</v>
      </c>
      <c r="R1213" s="52">
        <f>_xlfn.NUMBERVALUE(convertNumberStringPointToNumberComma(LEFT(Q1213,FIND("x",Q1213)-2)))</f>
        <v>82</v>
      </c>
      <c r="S1213" s="52">
        <f>_xlfn.NUMBERVALUE(convertNumberStringPointToNumberComma(LEFT(RIGHT(Q1213,LEN(Q1213)-FIND("x",Q1213)-1),LEN(RIGHT(Q1213,LEN(Q1213)-FIND("x",Q1213)-1))-2)))</f>
        <v>149</v>
      </c>
    </row>
    <row r="1214" spans="1:19" x14ac:dyDescent="0.25">
      <c r="A1214" t="s">
        <v>1398</v>
      </c>
      <c r="B1214" t="s">
        <v>1399</v>
      </c>
      <c r="E1214" t="s">
        <v>2633</v>
      </c>
      <c r="H1214" t="s">
        <v>56</v>
      </c>
      <c r="L1214" t="s">
        <v>2686</v>
      </c>
      <c r="M1214" t="s">
        <v>2802</v>
      </c>
      <c r="N1214" t="s">
        <v>903</v>
      </c>
      <c r="O1214" t="s">
        <v>2895</v>
      </c>
      <c r="Q1214" t="s">
        <v>3473</v>
      </c>
      <c r="R1214" s="52">
        <f>_xlfn.NUMBERVALUE(convertNumberStringPointToNumberComma(LEFT(Q1214,FIND("x",Q1214)-2)))</f>
        <v>82</v>
      </c>
      <c r="S1214" s="52">
        <f>_xlfn.NUMBERVALUE(convertNumberStringPointToNumberComma(LEFT(RIGHT(Q1214,LEN(Q1214)-FIND("x",Q1214)-1),LEN(RIGHT(Q1214,LEN(Q1214)-FIND("x",Q1214)-1))-2)))</f>
        <v>167.5</v>
      </c>
    </row>
    <row r="1215" spans="1:19" x14ac:dyDescent="0.25">
      <c r="A1215" t="s">
        <v>2594</v>
      </c>
      <c r="B1215" t="s">
        <v>933</v>
      </c>
      <c r="E1215" t="s">
        <v>2633</v>
      </c>
      <c r="H1215" t="s">
        <v>56</v>
      </c>
      <c r="L1215" t="s">
        <v>2710</v>
      </c>
      <c r="M1215" t="s">
        <v>8</v>
      </c>
      <c r="N1215" t="s">
        <v>913</v>
      </c>
      <c r="O1215" t="s">
        <v>3005</v>
      </c>
      <c r="Q1215" t="s">
        <v>3473</v>
      </c>
      <c r="R1215" s="52">
        <f>_xlfn.NUMBERVALUE(convertNumberStringPointToNumberComma(LEFT(Q1215,FIND("x",Q1215)-2)))</f>
        <v>82</v>
      </c>
      <c r="S1215" s="52">
        <f>_xlfn.NUMBERVALUE(convertNumberStringPointToNumberComma(LEFT(RIGHT(Q1215,LEN(Q1215)-FIND("x",Q1215)-1),LEN(RIGHT(Q1215,LEN(Q1215)-FIND("x",Q1215)-1))-2)))</f>
        <v>167.5</v>
      </c>
    </row>
    <row r="1216" spans="1:19" x14ac:dyDescent="0.25">
      <c r="A1216" t="s">
        <v>2268</v>
      </c>
      <c r="B1216" t="s">
        <v>678</v>
      </c>
      <c r="E1216" t="s">
        <v>2980</v>
      </c>
      <c r="H1216" t="s">
        <v>27</v>
      </c>
      <c r="M1216" t="s">
        <v>2682</v>
      </c>
      <c r="N1216" t="s">
        <v>913</v>
      </c>
      <c r="O1216" t="s">
        <v>108</v>
      </c>
      <c r="Q1216" t="s">
        <v>3891</v>
      </c>
      <c r="R1216" s="52">
        <f>_xlfn.NUMBERVALUE(convertNumberStringPointToNumberComma(LEFT(Q1216,FIND("x",Q1216)-2)))</f>
        <v>82</v>
      </c>
      <c r="S1216" s="52">
        <f>_xlfn.NUMBERVALUE(convertNumberStringPointToNumberComma(LEFT(RIGHT(Q1216,LEN(Q1216)-FIND("x",Q1216)-1),LEN(RIGHT(Q1216,LEN(Q1216)-FIND("x",Q1216)-1))-2)))</f>
        <v>74.7</v>
      </c>
    </row>
    <row r="1217" spans="1:19" x14ac:dyDescent="0.25">
      <c r="A1217" t="s">
        <v>2269</v>
      </c>
      <c r="B1217" t="s">
        <v>678</v>
      </c>
      <c r="E1217" t="s">
        <v>2980</v>
      </c>
      <c r="H1217" t="s">
        <v>27</v>
      </c>
      <c r="M1217" t="s">
        <v>8</v>
      </c>
      <c r="N1217" t="s">
        <v>913</v>
      </c>
      <c r="O1217" t="s">
        <v>108</v>
      </c>
      <c r="Q1217" t="s">
        <v>3891</v>
      </c>
      <c r="R1217" s="52">
        <f>_xlfn.NUMBERVALUE(convertNumberStringPointToNumberComma(LEFT(Q1217,FIND("x",Q1217)-2)))</f>
        <v>82</v>
      </c>
      <c r="S1217" s="52">
        <f>_xlfn.NUMBERVALUE(convertNumberStringPointToNumberComma(LEFT(RIGHT(Q1217,LEN(Q1217)-FIND("x",Q1217)-1),LEN(RIGHT(Q1217,LEN(Q1217)-FIND("x",Q1217)-1))-2)))</f>
        <v>74.7</v>
      </c>
    </row>
    <row r="1218" spans="1:19" x14ac:dyDescent="0.25">
      <c r="A1218" t="s">
        <v>1196</v>
      </c>
      <c r="B1218" t="s">
        <v>927</v>
      </c>
      <c r="C1218" s="5">
        <f>convertNumberStringPointToNumberComma(IFERROR(LEFT(B1218,(FIND("-",B1218)-1)),LEFT(B1218,FIND("mm",B1218)-1)))</f>
        <v>70</v>
      </c>
      <c r="D1218" s="5">
        <f>convertNumberStringPointToNumberComma(IFERROR(RIGHT(LEFT(B1218,FIND("m",B1218)-1),LEN(LEFT(B1218,FIND("m",B1218)-1))-FIND("-",LEFT(B1218,FIND("m",B1218)-1))-1),C1218))</f>
        <v>0</v>
      </c>
      <c r="E1218" t="s">
        <v>2636</v>
      </c>
      <c r="F1218" s="9">
        <f>convertNumberStringPointToNumberComma(LEFT(MID(E1218,3,9),IFERROR(FIND("-",MID(E1218,3,9))-2,3)))</f>
        <v>4</v>
      </c>
      <c r="G1218" s="9">
        <f>convertNumberStringPointToNumberComma(RIGHT(E1218,IF(ISERROR(FIND(".",RIGHT(E1218,3))),1,3)))</f>
        <v>5.6</v>
      </c>
      <c r="H1218" t="s">
        <v>91</v>
      </c>
      <c r="I1218" s="5" t="str">
        <f>IF(H1218="none",0,LEFT(H1218,LEN(H1218)-2))</f>
        <v>58</v>
      </c>
      <c r="J1218" s="5" t="s">
        <v>63</v>
      </c>
      <c r="K1218" s="10">
        <f>IF(J1218="",0,convertNumberStringPointToNumberComma(LEFT(J1218,LEN(J1218)-1)))</f>
        <v>1</v>
      </c>
      <c r="L1218" t="s">
        <v>2673</v>
      </c>
      <c r="M1218" t="s">
        <v>2682</v>
      </c>
      <c r="N1218" t="s">
        <v>913</v>
      </c>
      <c r="O1218" t="s">
        <v>2836</v>
      </c>
      <c r="P1218" s="5" t="str">
        <f>LEFT(O1218,LEN(O1218)-1)</f>
        <v>720</v>
      </c>
      <c r="Q1218" t="s">
        <v>3358</v>
      </c>
      <c r="R1218" s="52">
        <f>_xlfn.NUMBERVALUE(convertNumberStringPointToNumberComma(LEFT(Q1218,FIND("x",Q1218)-2)))</f>
        <v>82.4</v>
      </c>
      <c r="S1218" s="52">
        <f>_xlfn.NUMBERVALUE(convertNumberStringPointToNumberComma(LEFT(RIGHT(Q1218,LEN(Q1218)-FIND("x",Q1218)-1),LEN(RIGHT(Q1218,LEN(Q1218)-FIND("x",Q1218)-1))-2)))</f>
        <v>99.9</v>
      </c>
    </row>
    <row r="1219" spans="1:19" x14ac:dyDescent="0.25">
      <c r="A1219" t="s">
        <v>1439</v>
      </c>
      <c r="B1219" t="s">
        <v>505</v>
      </c>
      <c r="E1219" t="s">
        <v>2649</v>
      </c>
      <c r="H1219" t="s">
        <v>27</v>
      </c>
      <c r="L1219" t="s">
        <v>2888</v>
      </c>
      <c r="M1219" t="s">
        <v>8</v>
      </c>
      <c r="N1219" t="s">
        <v>913</v>
      </c>
      <c r="O1219" t="s">
        <v>513</v>
      </c>
      <c r="Q1219" t="s">
        <v>3498</v>
      </c>
      <c r="R1219" s="52">
        <f>_xlfn.NUMBERVALUE(convertNumberStringPointToNumberComma(LEFT(Q1219,FIND("x",Q1219)-2)))</f>
        <v>82.5</v>
      </c>
      <c r="S1219" s="52">
        <f>_xlfn.NUMBERVALUE(convertNumberStringPointToNumberComma(LEFT(RIGHT(Q1219,LEN(Q1219)-FIND("x",Q1219)-1),LEN(RIGHT(Q1219,LEN(Q1219)-FIND("x",Q1219)-1))-2)))</f>
        <v>108</v>
      </c>
    </row>
    <row r="1220" spans="1:19" x14ac:dyDescent="0.25">
      <c r="A1220" t="s">
        <v>1929</v>
      </c>
      <c r="B1220" t="s">
        <v>1930</v>
      </c>
      <c r="E1220" t="s">
        <v>2633</v>
      </c>
      <c r="H1220" t="s">
        <v>56</v>
      </c>
      <c r="L1220" t="s">
        <v>2707</v>
      </c>
      <c r="M1220" t="s">
        <v>2989</v>
      </c>
      <c r="N1220" t="s">
        <v>913</v>
      </c>
      <c r="O1220" t="s">
        <v>462</v>
      </c>
      <c r="Q1220" t="s">
        <v>3756</v>
      </c>
      <c r="R1220" s="52">
        <f>_xlfn.NUMBERVALUE(convertNumberStringPointToNumberComma(LEFT(Q1220,FIND("x",Q1220)-2)))</f>
        <v>82.5</v>
      </c>
      <c r="S1220" s="52">
        <f>_xlfn.NUMBERVALUE(convertNumberStringPointToNumberComma(LEFT(RIGHT(Q1220,LEN(Q1220)-FIND("x",Q1220)-1),LEN(RIGHT(Q1220,LEN(Q1220)-FIND("x",Q1220)-1))-2)))</f>
        <v>110</v>
      </c>
    </row>
    <row r="1221" spans="1:19" x14ac:dyDescent="0.25">
      <c r="A1221" t="s">
        <v>2463</v>
      </c>
      <c r="B1221" t="s">
        <v>148</v>
      </c>
      <c r="E1221" t="s">
        <v>2638</v>
      </c>
      <c r="H1221" t="s">
        <v>15</v>
      </c>
      <c r="L1221" t="s">
        <v>2673</v>
      </c>
      <c r="M1221" t="s">
        <v>2682</v>
      </c>
      <c r="N1221" t="s">
        <v>913</v>
      </c>
      <c r="O1221" t="s">
        <v>2863</v>
      </c>
      <c r="Q1221" t="s">
        <v>4007</v>
      </c>
      <c r="R1221" s="52">
        <f>_xlfn.NUMBERVALUE(convertNumberStringPointToNumberComma(LEFT(Q1221,FIND("x",Q1221)-2)))</f>
        <v>82.5</v>
      </c>
      <c r="S1221" s="52">
        <f>_xlfn.NUMBERVALUE(convertNumberStringPointToNumberComma(LEFT(RIGHT(Q1221,LEN(Q1221)-FIND("x",Q1221)-1),LEN(RIGHT(Q1221,LEN(Q1221)-FIND("x",Q1221)-1))-2)))</f>
        <v>112</v>
      </c>
    </row>
    <row r="1222" spans="1:19" x14ac:dyDescent="0.25">
      <c r="A1222" t="s">
        <v>2476</v>
      </c>
      <c r="B1222" t="s">
        <v>916</v>
      </c>
      <c r="E1222" t="s">
        <v>2633</v>
      </c>
      <c r="H1222" t="s">
        <v>27</v>
      </c>
      <c r="L1222" t="s">
        <v>2728</v>
      </c>
      <c r="M1222" t="s">
        <v>8</v>
      </c>
      <c r="N1222" t="s">
        <v>913</v>
      </c>
      <c r="O1222" t="s">
        <v>2853</v>
      </c>
      <c r="Q1222" t="s">
        <v>4016</v>
      </c>
      <c r="R1222" s="52">
        <f>_xlfn.NUMBERVALUE(convertNumberStringPointToNumberComma(LEFT(Q1222,FIND("x",Q1222)-2)))</f>
        <v>82.5</v>
      </c>
      <c r="S1222" s="52">
        <f>_xlfn.NUMBERVALUE(convertNumberStringPointToNumberComma(LEFT(RIGHT(Q1222,LEN(Q1222)-FIND("x",Q1222)-1),LEN(RIGHT(Q1222,LEN(Q1222)-FIND("x",Q1222)-1))-2)))</f>
        <v>125</v>
      </c>
    </row>
    <row r="1223" spans="1:19" x14ac:dyDescent="0.25">
      <c r="A1223" t="s">
        <v>2476</v>
      </c>
      <c r="B1223" t="s">
        <v>916</v>
      </c>
      <c r="E1223" t="s">
        <v>2633</v>
      </c>
      <c r="H1223" t="s">
        <v>27</v>
      </c>
      <c r="L1223" t="s">
        <v>2728</v>
      </c>
      <c r="M1223" t="s">
        <v>8</v>
      </c>
      <c r="N1223" t="s">
        <v>913</v>
      </c>
      <c r="O1223" t="s">
        <v>2853</v>
      </c>
      <c r="Q1223" t="s">
        <v>4016</v>
      </c>
      <c r="R1223" s="52">
        <f>_xlfn.NUMBERVALUE(convertNumberStringPointToNumberComma(LEFT(Q1223,FIND("x",Q1223)-2)))</f>
        <v>82.5</v>
      </c>
      <c r="S1223" s="52">
        <f>_xlfn.NUMBERVALUE(convertNumberStringPointToNumberComma(LEFT(RIGHT(Q1223,LEN(Q1223)-FIND("x",Q1223)-1),LEN(RIGHT(Q1223,LEN(Q1223)-FIND("x",Q1223)-1))-2)))</f>
        <v>125</v>
      </c>
    </row>
    <row r="1224" spans="1:19" x14ac:dyDescent="0.25">
      <c r="A1224" t="s">
        <v>1162</v>
      </c>
      <c r="B1224" t="s">
        <v>927</v>
      </c>
      <c r="C1224" s="5">
        <f>convertNumberStringPointToNumberComma(IFERROR(LEFT(B1224,(FIND("-",B1224)-1)),LEFT(B1224,FIND("mm",B1224)-1)))</f>
        <v>70</v>
      </c>
      <c r="D1224" s="5">
        <f>convertNumberStringPointToNumberComma(IFERROR(RIGHT(LEFT(B1224,FIND("m",B1224)-1),LEN(LEFT(B1224,FIND("m",B1224)-1))-FIND("-",LEFT(B1224,FIND("m",B1224)-1))-1),C1224))</f>
        <v>0</v>
      </c>
      <c r="E1224" t="s">
        <v>2636</v>
      </c>
      <c r="F1224" s="9">
        <f>convertNumberStringPointToNumberComma(LEFT(MID(E1224,3,9),IFERROR(FIND("-",MID(E1224,3,9))-2,3)))</f>
        <v>4</v>
      </c>
      <c r="G1224" s="9">
        <f>convertNumberStringPointToNumberComma(RIGHT(E1224,IF(ISERROR(FIND(".",RIGHT(E1224,3))),1,3)))</f>
        <v>5.6</v>
      </c>
      <c r="H1224" t="s">
        <v>84</v>
      </c>
      <c r="I1224" s="5" t="str">
        <f>IF(H1224="none",0,LEFT(H1224,LEN(H1224)-2))</f>
        <v>62</v>
      </c>
      <c r="J1224" s="5" t="s">
        <v>162</v>
      </c>
      <c r="K1224" s="10">
        <f>IF(J1224="",0,convertNumberStringPointToNumberComma(LEFT(J1224,LEN(J1224)-1)))</f>
        <v>0.25</v>
      </c>
      <c r="L1224" t="s">
        <v>2728</v>
      </c>
      <c r="M1224" t="s">
        <v>2757</v>
      </c>
      <c r="N1224" t="s">
        <v>913</v>
      </c>
      <c r="O1224" t="s">
        <v>399</v>
      </c>
      <c r="P1224" s="5" t="str">
        <f>LEFT(O1224,LEN(O1224)-1)</f>
        <v>760</v>
      </c>
      <c r="Q1224" t="s">
        <v>3337</v>
      </c>
      <c r="R1224" s="52">
        <f>_xlfn.NUMBERVALUE(convertNumberStringPointToNumberComma(LEFT(Q1224,FIND("x",Q1224)-2)))</f>
        <v>82.5</v>
      </c>
      <c r="S1224" s="52">
        <f>_xlfn.NUMBERVALUE(convertNumberStringPointToNumberComma(LEFT(RIGHT(Q1224,LEN(Q1224)-FIND("x",Q1224)-1),LEN(RIGHT(Q1224,LEN(Q1224)-FIND("x",Q1224)-1))-2)))</f>
        <v>135.5</v>
      </c>
    </row>
    <row r="1225" spans="1:19" x14ac:dyDescent="0.25">
      <c r="A1225" t="s">
        <v>2029</v>
      </c>
      <c r="B1225" t="s">
        <v>927</v>
      </c>
      <c r="E1225" t="s">
        <v>2636</v>
      </c>
      <c r="H1225" t="s">
        <v>84</v>
      </c>
      <c r="L1225" t="s">
        <v>2728</v>
      </c>
      <c r="M1225" t="s">
        <v>2757</v>
      </c>
      <c r="N1225" t="s">
        <v>913</v>
      </c>
      <c r="O1225" t="s">
        <v>399</v>
      </c>
      <c r="Q1225" t="s">
        <v>3337</v>
      </c>
      <c r="R1225" s="52">
        <f>_xlfn.NUMBERVALUE(convertNumberStringPointToNumberComma(LEFT(Q1225,FIND("x",Q1225)-2)))</f>
        <v>82.5</v>
      </c>
      <c r="S1225" s="52">
        <f>_xlfn.NUMBERVALUE(convertNumberStringPointToNumberComma(LEFT(RIGHT(Q1225,LEN(Q1225)-FIND("x",Q1225)-1),LEN(RIGHT(Q1225,LEN(Q1225)-FIND("x",Q1225)-1))-2)))</f>
        <v>135.5</v>
      </c>
    </row>
    <row r="1226" spans="1:19" x14ac:dyDescent="0.25">
      <c r="A1226" t="s">
        <v>1543</v>
      </c>
      <c r="B1226" t="s">
        <v>398</v>
      </c>
      <c r="E1226" t="s">
        <v>2649</v>
      </c>
      <c r="H1226" t="s">
        <v>15</v>
      </c>
      <c r="L1226" t="s">
        <v>2707</v>
      </c>
      <c r="M1226" t="s">
        <v>2682</v>
      </c>
      <c r="N1226" t="s">
        <v>913</v>
      </c>
      <c r="O1226" t="s">
        <v>2930</v>
      </c>
      <c r="Q1226" t="s">
        <v>3545</v>
      </c>
      <c r="R1226" s="52">
        <f>_xlfn.NUMBERVALUE(convertNumberStringPointToNumberComma(LEFT(Q1226,FIND("x",Q1226)-2)))</f>
        <v>82.5</v>
      </c>
      <c r="S1226" s="52">
        <f>_xlfn.NUMBERVALUE(convertNumberStringPointToNumberComma(LEFT(RIGHT(Q1226,LEN(Q1226)-FIND("x",Q1226)-1),LEN(RIGHT(Q1226,LEN(Q1226)-FIND("x",Q1226)-1))-2)))</f>
        <v>186.5</v>
      </c>
    </row>
    <row r="1227" spans="1:19" x14ac:dyDescent="0.25">
      <c r="A1227" t="s">
        <v>2556</v>
      </c>
      <c r="B1227" t="s">
        <v>987</v>
      </c>
      <c r="E1227" t="s">
        <v>2645</v>
      </c>
      <c r="H1227" t="s">
        <v>27</v>
      </c>
      <c r="L1227" t="s">
        <v>2698</v>
      </c>
      <c r="M1227" t="s">
        <v>8</v>
      </c>
      <c r="N1227" t="s">
        <v>903</v>
      </c>
      <c r="O1227" t="s">
        <v>33</v>
      </c>
      <c r="Q1227" t="s">
        <v>4046</v>
      </c>
      <c r="R1227" s="52">
        <f>_xlfn.NUMBERVALUE(convertNumberStringPointToNumberComma(LEFT(Q1227,FIND("x",Q1227)-2)))</f>
        <v>82.5</v>
      </c>
      <c r="S1227" s="52">
        <f>_xlfn.NUMBERVALUE(convertNumberStringPointToNumberComma(LEFT(RIGHT(Q1227,LEN(Q1227)-FIND("x",Q1227)-1),LEN(RIGHT(Q1227,LEN(Q1227)-FIND("x",Q1227)-1))-2)))</f>
        <v>87</v>
      </c>
    </row>
    <row r="1228" spans="1:19" x14ac:dyDescent="0.25">
      <c r="A1228" t="s">
        <v>1496</v>
      </c>
      <c r="B1228" t="s">
        <v>948</v>
      </c>
      <c r="E1228" t="s">
        <v>2633</v>
      </c>
      <c r="H1228" t="s">
        <v>27</v>
      </c>
      <c r="L1228" t="s">
        <v>2753</v>
      </c>
      <c r="M1228" t="s">
        <v>8</v>
      </c>
      <c r="N1228" t="s">
        <v>903</v>
      </c>
      <c r="O1228" t="s">
        <v>257</v>
      </c>
      <c r="Q1228" t="s">
        <v>3523</v>
      </c>
      <c r="R1228" s="52">
        <f>_xlfn.NUMBERVALUE(convertNumberStringPointToNumberComma(LEFT(Q1228,FIND("x",Q1228)-2)))</f>
        <v>82.5</v>
      </c>
      <c r="S1228" s="52">
        <f>_xlfn.NUMBERVALUE(convertNumberStringPointToNumberComma(LEFT(RIGHT(Q1228,LEN(Q1228)-FIND("x",Q1228)-1),LEN(RIGHT(Q1228,LEN(Q1228)-FIND("x",Q1228)-1))-2)))</f>
        <v>90</v>
      </c>
    </row>
    <row r="1229" spans="1:19" x14ac:dyDescent="0.25">
      <c r="A1229" t="s">
        <v>934</v>
      </c>
      <c r="B1229" t="s">
        <v>916</v>
      </c>
      <c r="C1229" s="5">
        <f>convertNumberStringPointToNumberComma(IFERROR(LEFT(B1229,(FIND("-",B1229)-1)),LEFT(B1229,FIND("mm",B1229)-1)))</f>
        <v>16</v>
      </c>
      <c r="D1229" s="5">
        <f>convertNumberStringPointToNumberComma(IFERROR(RIGHT(LEFT(B1229,FIND("m",B1229)-1),LEN(LEFT(B1229,FIND("m",B1229)-1))-FIND("-",LEFT(B1229,FIND("m",B1229)-1))-1),C1229))</f>
        <v>5</v>
      </c>
      <c r="E1229" t="s">
        <v>2633</v>
      </c>
      <c r="F1229" s="9">
        <f>convertNumberStringPointToNumberComma(LEFT(MID(E1229,3,9),IFERROR(FIND("-",MID(E1229,3,9))-2,3)))</f>
        <v>4</v>
      </c>
      <c r="G1229" s="9">
        <f>convertNumberStringPointToNumberComma(RIGHT(E1229,IF(ISERROR(FIND(".",RIGHT(E1229,3))),1,3)))</f>
        <v>4</v>
      </c>
      <c r="H1229" t="s">
        <v>27</v>
      </c>
      <c r="I1229" s="5" t="str">
        <f>IF(H1229="none",0,LEFT(H1229,LEN(H1229)-2))</f>
        <v>77</v>
      </c>
      <c r="J1229" s="5" t="s">
        <v>40</v>
      </c>
      <c r="K1229" s="10">
        <f>IF(J1229="",0,convertNumberStringPointToNumberComma(LEFT(J1229,LEN(J1229)-1)))</f>
        <v>0.2</v>
      </c>
      <c r="L1229" t="s">
        <v>2675</v>
      </c>
      <c r="M1229" t="s">
        <v>2682</v>
      </c>
      <c r="N1229" t="s">
        <v>913</v>
      </c>
      <c r="O1229" t="s">
        <v>268</v>
      </c>
      <c r="P1229" s="5" t="str">
        <f>LEFT(O1229,LEN(O1229)-1)</f>
        <v>615</v>
      </c>
      <c r="Q1229" t="s">
        <v>3208</v>
      </c>
      <c r="R1229" s="52">
        <f>_xlfn.NUMBERVALUE(convertNumberStringPointToNumberComma(LEFT(Q1229,FIND("x",Q1229)-2)))</f>
        <v>82.6</v>
      </c>
      <c r="S1229" s="52">
        <f>_xlfn.NUMBERVALUE(convertNumberStringPointToNumberComma(LEFT(RIGHT(Q1229,LEN(Q1229)-FIND("x",Q1229)-1),LEN(RIGHT(Q1229,LEN(Q1229)-FIND("x",Q1229)-1))-2)))</f>
        <v>112.8</v>
      </c>
    </row>
    <row r="1230" spans="1:19" x14ac:dyDescent="0.25">
      <c r="A1230" t="s">
        <v>1631</v>
      </c>
      <c r="B1230" t="s">
        <v>822</v>
      </c>
      <c r="E1230" t="s">
        <v>2632</v>
      </c>
      <c r="H1230" t="s">
        <v>27</v>
      </c>
      <c r="L1230" t="s">
        <v>2703</v>
      </c>
      <c r="M1230" t="s">
        <v>8</v>
      </c>
      <c r="N1230" t="s">
        <v>913</v>
      </c>
      <c r="O1230" t="s">
        <v>2872</v>
      </c>
      <c r="Q1230" t="s">
        <v>3586</v>
      </c>
      <c r="R1230" s="52">
        <f>_xlfn.NUMBERVALUE(convertNumberStringPointToNumberComma(LEFT(Q1230,FIND("x",Q1230)-2)))</f>
        <v>82.7</v>
      </c>
      <c r="S1230" s="52">
        <f>_xlfn.NUMBERVALUE(convertNumberStringPointToNumberComma(LEFT(RIGHT(Q1230,LEN(Q1230)-FIND("x",Q1230)-1),LEN(RIGHT(Q1230,LEN(Q1230)-FIND("x",Q1230)-1))-2)))</f>
        <v>107</v>
      </c>
    </row>
    <row r="1231" spans="1:19" x14ac:dyDescent="0.25">
      <c r="A1231" t="s">
        <v>1313</v>
      </c>
      <c r="B1231" t="s">
        <v>1314</v>
      </c>
      <c r="E1231" t="s">
        <v>2632</v>
      </c>
      <c r="H1231" t="s">
        <v>15</v>
      </c>
      <c r="L1231" t="s">
        <v>2753</v>
      </c>
      <c r="M1231" t="s">
        <v>2748</v>
      </c>
      <c r="N1231" t="s">
        <v>903</v>
      </c>
      <c r="O1231" t="s">
        <v>2871</v>
      </c>
      <c r="Q1231" t="s">
        <v>3426</v>
      </c>
      <c r="R1231" s="52">
        <f>_xlfn.NUMBERVALUE(convertNumberStringPointToNumberComma(LEFT(Q1231,FIND("x",Q1231)-2)))</f>
        <v>82.9</v>
      </c>
      <c r="S1231" s="52">
        <f>_xlfn.NUMBERVALUE(convertNumberStringPointToNumberComma(LEFT(RIGHT(Q1231,LEN(Q1231)-FIND("x",Q1231)-1),LEN(RIGHT(Q1231,LEN(Q1231)-FIND("x",Q1231)-1))-2)))</f>
        <v>175.9</v>
      </c>
    </row>
    <row r="1232" spans="1:19" x14ac:dyDescent="0.25">
      <c r="A1232" t="s">
        <v>2558</v>
      </c>
      <c r="B1232" t="s">
        <v>1314</v>
      </c>
      <c r="E1232" t="s">
        <v>2632</v>
      </c>
      <c r="H1232" t="s">
        <v>15</v>
      </c>
      <c r="L1232" t="s">
        <v>2753</v>
      </c>
      <c r="M1232" t="s">
        <v>2748</v>
      </c>
      <c r="N1232" t="s">
        <v>903</v>
      </c>
      <c r="O1232" t="s">
        <v>2871</v>
      </c>
      <c r="Q1232" t="s">
        <v>3426</v>
      </c>
      <c r="R1232" s="52">
        <f>_xlfn.NUMBERVALUE(convertNumberStringPointToNumberComma(LEFT(Q1232,FIND("x",Q1232)-2)))</f>
        <v>82.9</v>
      </c>
      <c r="S1232" s="52">
        <f>_xlfn.NUMBERVALUE(convertNumberStringPointToNumberComma(LEFT(RIGHT(Q1232,LEN(Q1232)-FIND("x",Q1232)-1),LEN(RIGHT(Q1232,LEN(Q1232)-FIND("x",Q1232)-1))-2)))</f>
        <v>175.9</v>
      </c>
    </row>
    <row r="1233" spans="1:19" x14ac:dyDescent="0.25">
      <c r="A1233" t="s">
        <v>1998</v>
      </c>
      <c r="B1233" t="s">
        <v>678</v>
      </c>
      <c r="E1233" t="s">
        <v>2643</v>
      </c>
      <c r="H1233" t="s">
        <v>56</v>
      </c>
      <c r="L1233" t="s">
        <v>2687</v>
      </c>
      <c r="M1233" t="s">
        <v>8</v>
      </c>
      <c r="N1233" t="s">
        <v>913</v>
      </c>
      <c r="O1233" t="s">
        <v>704</v>
      </c>
      <c r="Q1233" t="s">
        <v>3788</v>
      </c>
      <c r="R1233" s="52">
        <f>_xlfn.NUMBERVALUE(convertNumberStringPointToNumberComma(LEFT(Q1233,FIND("x",Q1233)-2)))</f>
        <v>82.9</v>
      </c>
      <c r="S1233" s="52">
        <f>_xlfn.NUMBERVALUE(convertNumberStringPointToNumberComma(LEFT(RIGHT(Q1233,LEN(Q1233)-FIND("x",Q1233)-1),LEN(RIGHT(Q1233,LEN(Q1233)-FIND("x",Q1233)-1))-2)))</f>
        <v>94</v>
      </c>
    </row>
    <row r="1234" spans="1:19" x14ac:dyDescent="0.25">
      <c r="A1234" t="s">
        <v>2528</v>
      </c>
      <c r="B1234" t="s">
        <v>552</v>
      </c>
      <c r="E1234" t="s">
        <v>2643</v>
      </c>
      <c r="H1234" t="s">
        <v>27</v>
      </c>
      <c r="L1234" t="s">
        <v>2706</v>
      </c>
      <c r="M1234" t="s">
        <v>8</v>
      </c>
      <c r="N1234" t="s">
        <v>913</v>
      </c>
      <c r="O1234" t="s">
        <v>555</v>
      </c>
      <c r="Q1234" t="s">
        <v>4039</v>
      </c>
      <c r="R1234" s="52">
        <f>_xlfn.NUMBERVALUE(convertNumberStringPointToNumberComma(LEFT(Q1234,FIND("x",Q1234)-2)))</f>
        <v>83</v>
      </c>
      <c r="S1234" s="52">
        <f>_xlfn.NUMBERVALUE(convertNumberStringPointToNumberComma(LEFT(RIGHT(Q1234,LEN(Q1234)-FIND("x",Q1234)-1),LEN(RIGHT(Q1234,LEN(Q1234)-FIND("x",Q1234)-1))-2)))</f>
        <v>100.5</v>
      </c>
    </row>
    <row r="1235" spans="1:19" x14ac:dyDescent="0.25">
      <c r="A1235" t="s">
        <v>2090</v>
      </c>
      <c r="B1235" t="s">
        <v>505</v>
      </c>
      <c r="E1235" t="s">
        <v>2980</v>
      </c>
      <c r="H1235" t="s">
        <v>27</v>
      </c>
      <c r="M1235" t="s">
        <v>2681</v>
      </c>
      <c r="N1235" t="s">
        <v>2681</v>
      </c>
      <c r="O1235" t="s">
        <v>339</v>
      </c>
      <c r="Q1235" t="s">
        <v>3831</v>
      </c>
      <c r="R1235" s="52">
        <f>_xlfn.NUMBERVALUE(convertNumberStringPointToNumberComma(LEFT(Q1235,FIND("x",Q1235)-2)))</f>
        <v>83</v>
      </c>
      <c r="S1235" s="52">
        <f>_xlfn.NUMBERVALUE(convertNumberStringPointToNumberComma(LEFT(RIGHT(Q1235,LEN(Q1235)-FIND("x",Q1235)-1),LEN(RIGHT(Q1235,LEN(Q1235)-FIND("x",Q1235)-1))-2)))</f>
        <v>102.8</v>
      </c>
    </row>
    <row r="1236" spans="1:19" x14ac:dyDescent="0.25">
      <c r="A1236" t="s">
        <v>1666</v>
      </c>
      <c r="B1236" t="s">
        <v>441</v>
      </c>
      <c r="E1236" t="s">
        <v>2654</v>
      </c>
      <c r="H1236" t="s">
        <v>27</v>
      </c>
      <c r="M1236" t="s">
        <v>2804</v>
      </c>
      <c r="N1236" t="s">
        <v>903</v>
      </c>
      <c r="O1236" t="s">
        <v>2975</v>
      </c>
      <c r="Q1236" t="s">
        <v>3615</v>
      </c>
      <c r="R1236" s="52">
        <f>_xlfn.NUMBERVALUE(convertNumberStringPointToNumberComma(LEFT(Q1236,FIND("x",Q1236)-2)))</f>
        <v>83</v>
      </c>
      <c r="S1236" s="52">
        <f>_xlfn.NUMBERVALUE(convertNumberStringPointToNumberComma(LEFT(RIGHT(Q1236,LEN(Q1236)-FIND("x",Q1236)-1),LEN(RIGHT(Q1236,LEN(Q1236)-FIND("x",Q1236)-1))-2)))</f>
        <v>106.9</v>
      </c>
    </row>
    <row r="1237" spans="1:19" x14ac:dyDescent="0.25">
      <c r="A1237" t="s">
        <v>2406</v>
      </c>
      <c r="B1237" t="s">
        <v>441</v>
      </c>
      <c r="E1237" t="s">
        <v>2635</v>
      </c>
      <c r="H1237" t="s">
        <v>27</v>
      </c>
      <c r="M1237" t="s">
        <v>2804</v>
      </c>
      <c r="N1237" t="s">
        <v>903</v>
      </c>
      <c r="O1237" t="s">
        <v>2711</v>
      </c>
      <c r="Q1237" t="s">
        <v>3615</v>
      </c>
      <c r="R1237" s="52">
        <f>_xlfn.NUMBERVALUE(convertNumberStringPointToNumberComma(LEFT(Q1237,FIND("x",Q1237)-2)))</f>
        <v>83</v>
      </c>
      <c r="S1237" s="52">
        <f>_xlfn.NUMBERVALUE(convertNumberStringPointToNumberComma(LEFT(RIGHT(Q1237,LEN(Q1237)-FIND("x",Q1237)-1),LEN(RIGHT(Q1237,LEN(Q1237)-FIND("x",Q1237)-1))-2)))</f>
        <v>106.9</v>
      </c>
    </row>
    <row r="1238" spans="1:19" x14ac:dyDescent="0.25">
      <c r="A1238" t="s">
        <v>1272</v>
      </c>
      <c r="B1238" t="s">
        <v>1273</v>
      </c>
      <c r="E1238" t="s">
        <v>2632</v>
      </c>
      <c r="H1238" t="s">
        <v>27</v>
      </c>
      <c r="L1238" t="s">
        <v>2679</v>
      </c>
      <c r="M1238" t="s">
        <v>8</v>
      </c>
      <c r="N1238" t="s">
        <v>913</v>
      </c>
      <c r="O1238" t="s">
        <v>2863</v>
      </c>
      <c r="Q1238" t="s">
        <v>273</v>
      </c>
      <c r="R1238" s="52">
        <f>_xlfn.NUMBERVALUE(convertNumberStringPointToNumberComma(LEFT(Q1238,FIND("x",Q1238)-2)))</f>
        <v>83</v>
      </c>
      <c r="S1238" s="52">
        <f>_xlfn.NUMBERVALUE(convertNumberStringPointToNumberComma(LEFT(RIGHT(Q1238,LEN(Q1238)-FIND("x",Q1238)-1),LEN(RIGHT(Q1238,LEN(Q1238)-FIND("x",Q1238)-1))-2)))</f>
        <v>106</v>
      </c>
    </row>
    <row r="1239" spans="1:19" x14ac:dyDescent="0.25">
      <c r="A1239" t="s">
        <v>2212</v>
      </c>
      <c r="B1239" t="s">
        <v>263</v>
      </c>
      <c r="E1239" t="s">
        <v>3014</v>
      </c>
      <c r="H1239" t="s">
        <v>27</v>
      </c>
      <c r="M1239" t="s">
        <v>2804</v>
      </c>
      <c r="N1239" t="s">
        <v>903</v>
      </c>
      <c r="O1239" t="s">
        <v>268</v>
      </c>
      <c r="Q1239" t="s">
        <v>3869</v>
      </c>
      <c r="R1239" s="52">
        <f>_xlfn.NUMBERVALUE(convertNumberStringPointToNumberComma(LEFT(Q1239,FIND("x",Q1239)-2)))</f>
        <v>83</v>
      </c>
      <c r="S1239" s="52">
        <f>_xlfn.NUMBERVALUE(convertNumberStringPointToNumberComma(LEFT(RIGHT(Q1239,LEN(Q1239)-FIND("x",Q1239)-1),LEN(RIGHT(Q1239,LEN(Q1239)-FIND("x",Q1239)-1))-2)))</f>
        <v>107.9</v>
      </c>
    </row>
    <row r="1240" spans="1:19" x14ac:dyDescent="0.25">
      <c r="A1240" t="s">
        <v>2054</v>
      </c>
      <c r="B1240" t="s">
        <v>592</v>
      </c>
      <c r="E1240" t="s">
        <v>2980</v>
      </c>
      <c r="H1240" t="s">
        <v>27</v>
      </c>
      <c r="M1240" t="s">
        <v>8</v>
      </c>
      <c r="N1240" t="s">
        <v>913</v>
      </c>
      <c r="O1240" t="s">
        <v>2853</v>
      </c>
      <c r="Q1240" t="s">
        <v>3818</v>
      </c>
      <c r="R1240" s="52">
        <f>_xlfn.NUMBERVALUE(convertNumberStringPointToNumberComma(LEFT(Q1240,FIND("x",Q1240)-2)))</f>
        <v>83</v>
      </c>
      <c r="S1240" s="52">
        <f>_xlfn.NUMBERVALUE(convertNumberStringPointToNumberComma(LEFT(RIGHT(Q1240,LEN(Q1240)-FIND("x",Q1240)-1),LEN(RIGHT(Q1240,LEN(Q1240)-FIND("x",Q1240)-1))-2)))</f>
        <v>109</v>
      </c>
    </row>
    <row r="1241" spans="1:19" x14ac:dyDescent="0.25">
      <c r="A1241" t="s">
        <v>2374</v>
      </c>
      <c r="B1241" t="s">
        <v>592</v>
      </c>
      <c r="E1241" t="s">
        <v>2980</v>
      </c>
      <c r="H1241" t="s">
        <v>27</v>
      </c>
      <c r="M1241" t="s">
        <v>8</v>
      </c>
      <c r="N1241" t="s">
        <v>913</v>
      </c>
      <c r="O1241" t="s">
        <v>2853</v>
      </c>
      <c r="Q1241" t="s">
        <v>3818</v>
      </c>
      <c r="R1241" s="52">
        <f>_xlfn.NUMBERVALUE(convertNumberStringPointToNumberComma(LEFT(Q1241,FIND("x",Q1241)-2)))</f>
        <v>83</v>
      </c>
      <c r="S1241" s="52">
        <f>_xlfn.NUMBERVALUE(convertNumberStringPointToNumberComma(LEFT(RIGHT(Q1241,LEN(Q1241)-FIND("x",Q1241)-1),LEN(RIGHT(Q1241,LEN(Q1241)-FIND("x",Q1241)-1))-2)))</f>
        <v>109</v>
      </c>
    </row>
    <row r="1242" spans="1:19" x14ac:dyDescent="0.25">
      <c r="A1242" t="s">
        <v>1687</v>
      </c>
      <c r="B1242" t="s">
        <v>592</v>
      </c>
      <c r="E1242" t="s">
        <v>2980</v>
      </c>
      <c r="H1242" t="s">
        <v>27</v>
      </c>
      <c r="M1242" t="s">
        <v>2802</v>
      </c>
      <c r="N1242" t="s">
        <v>913</v>
      </c>
      <c r="O1242" t="s">
        <v>119</v>
      </c>
      <c r="Q1242" t="s">
        <v>3633</v>
      </c>
      <c r="R1242" s="52">
        <f>_xlfn.NUMBERVALUE(convertNumberStringPointToNumberComma(LEFT(Q1242,FIND("x",Q1242)-2)))</f>
        <v>83</v>
      </c>
      <c r="S1242" s="52">
        <f>_xlfn.NUMBERVALUE(convertNumberStringPointToNumberComma(LEFT(RIGHT(Q1242,LEN(Q1242)-FIND("x",Q1242)-1),LEN(RIGHT(Q1242,LEN(Q1242)-FIND("x",Q1242)-1))-2)))</f>
        <v>110</v>
      </c>
    </row>
    <row r="1243" spans="1:19" x14ac:dyDescent="0.25">
      <c r="A1243" t="s">
        <v>2053</v>
      </c>
      <c r="B1243" t="s">
        <v>592</v>
      </c>
      <c r="E1243" t="s">
        <v>2980</v>
      </c>
      <c r="H1243" t="s">
        <v>27</v>
      </c>
      <c r="M1243" t="s">
        <v>2802</v>
      </c>
      <c r="N1243" t="s">
        <v>913</v>
      </c>
      <c r="O1243" t="s">
        <v>119</v>
      </c>
      <c r="Q1243" t="s">
        <v>3633</v>
      </c>
      <c r="R1243" s="52">
        <f>_xlfn.NUMBERVALUE(convertNumberStringPointToNumberComma(LEFT(Q1243,FIND("x",Q1243)-2)))</f>
        <v>83</v>
      </c>
      <c r="S1243" s="52">
        <f>_xlfn.NUMBERVALUE(convertNumberStringPointToNumberComma(LEFT(RIGHT(Q1243,LEN(Q1243)-FIND("x",Q1243)-1),LEN(RIGHT(Q1243,LEN(Q1243)-FIND("x",Q1243)-1))-2)))</f>
        <v>110</v>
      </c>
    </row>
    <row r="1244" spans="1:19" x14ac:dyDescent="0.25">
      <c r="A1244" t="s">
        <v>2373</v>
      </c>
      <c r="B1244" t="s">
        <v>592</v>
      </c>
      <c r="E1244" t="s">
        <v>2643</v>
      </c>
      <c r="H1244" t="s">
        <v>27</v>
      </c>
      <c r="M1244" t="s">
        <v>2763</v>
      </c>
      <c r="N1244" t="s">
        <v>903</v>
      </c>
      <c r="O1244" t="s">
        <v>3126</v>
      </c>
      <c r="Q1244" t="s">
        <v>3633</v>
      </c>
      <c r="R1244" s="52">
        <f>_xlfn.NUMBERVALUE(convertNumberStringPointToNumberComma(LEFT(Q1244,FIND("x",Q1244)-2)))</f>
        <v>83</v>
      </c>
      <c r="S1244" s="52">
        <f>_xlfn.NUMBERVALUE(convertNumberStringPointToNumberComma(LEFT(RIGHT(Q1244,LEN(Q1244)-FIND("x",Q1244)-1),LEN(RIGHT(Q1244,LEN(Q1244)-FIND("x",Q1244)-1))-2)))</f>
        <v>110</v>
      </c>
    </row>
    <row r="1245" spans="1:19" x14ac:dyDescent="0.25">
      <c r="A1245" t="s">
        <v>1320</v>
      </c>
      <c r="B1245" t="s">
        <v>592</v>
      </c>
      <c r="E1245" t="s">
        <v>2643</v>
      </c>
      <c r="H1245" t="s">
        <v>27</v>
      </c>
      <c r="M1245" t="s">
        <v>8</v>
      </c>
      <c r="N1245" t="s">
        <v>913</v>
      </c>
      <c r="O1245" t="s">
        <v>2874</v>
      </c>
      <c r="Q1245" t="s">
        <v>3431</v>
      </c>
      <c r="R1245" s="52">
        <f>_xlfn.NUMBERVALUE(convertNumberStringPointToNumberComma(LEFT(Q1245,FIND("x",Q1245)-2)))</f>
        <v>83</v>
      </c>
      <c r="S1245" s="52">
        <f>_xlfn.NUMBERVALUE(convertNumberStringPointToNumberComma(LEFT(RIGHT(Q1245,LEN(Q1245)-FIND("x",Q1245)-1),LEN(RIGHT(Q1245,LEN(Q1245)-FIND("x",Q1245)-1))-2)))</f>
        <v>111.5</v>
      </c>
    </row>
    <row r="1246" spans="1:19" x14ac:dyDescent="0.25">
      <c r="A1246" t="s">
        <v>2048</v>
      </c>
      <c r="B1246" t="s">
        <v>592</v>
      </c>
      <c r="E1246" t="s">
        <v>2980</v>
      </c>
      <c r="H1246" t="s">
        <v>27</v>
      </c>
      <c r="M1246" t="s">
        <v>2682</v>
      </c>
      <c r="N1246" t="s">
        <v>913</v>
      </c>
      <c r="O1246" t="s">
        <v>3033</v>
      </c>
      <c r="Q1246" t="s">
        <v>3431</v>
      </c>
      <c r="R1246" s="52">
        <f>_xlfn.NUMBERVALUE(convertNumberStringPointToNumberComma(LEFT(Q1246,FIND("x",Q1246)-2)))</f>
        <v>83</v>
      </c>
      <c r="S1246" s="52">
        <f>_xlfn.NUMBERVALUE(convertNumberStringPointToNumberComma(LEFT(RIGHT(Q1246,LEN(Q1246)-FIND("x",Q1246)-1),LEN(RIGHT(Q1246,LEN(Q1246)-FIND("x",Q1246)-1))-2)))</f>
        <v>111.5</v>
      </c>
    </row>
    <row r="1247" spans="1:19" x14ac:dyDescent="0.25">
      <c r="A1247" t="s">
        <v>2274</v>
      </c>
      <c r="B1247" t="s">
        <v>592</v>
      </c>
      <c r="E1247" t="s">
        <v>2643</v>
      </c>
      <c r="H1247" t="s">
        <v>27</v>
      </c>
      <c r="M1247" t="s">
        <v>2682</v>
      </c>
      <c r="N1247" t="s">
        <v>913</v>
      </c>
      <c r="O1247" t="s">
        <v>2874</v>
      </c>
      <c r="Q1247" t="s">
        <v>3431</v>
      </c>
      <c r="R1247" s="52">
        <f>_xlfn.NUMBERVALUE(convertNumberStringPointToNumberComma(LEFT(Q1247,FIND("x",Q1247)-2)))</f>
        <v>83</v>
      </c>
      <c r="S1247" s="52">
        <f>_xlfn.NUMBERVALUE(convertNumberStringPointToNumberComma(LEFT(RIGHT(Q1247,LEN(Q1247)-FIND("x",Q1247)-1),LEN(RIGHT(Q1247,LEN(Q1247)-FIND("x",Q1247)-1))-2)))</f>
        <v>111.5</v>
      </c>
    </row>
    <row r="1248" spans="1:19" x14ac:dyDescent="0.25">
      <c r="A1248" t="s">
        <v>1162</v>
      </c>
      <c r="B1248" t="s">
        <v>919</v>
      </c>
      <c r="C1248" s="5">
        <f>convertNumberStringPointToNumberComma(IFERROR(LEFT(B1248,(FIND("-",B1248)-1)),LEFT(B1248,FIND("mm",B1248)-1)))</f>
        <v>24</v>
      </c>
      <c r="D1248" s="5">
        <f>convertNumberStringPointToNumberComma(IFERROR(RIGHT(LEFT(B1248,FIND("m",B1248)-1),LEN(LEFT(B1248,FIND("m",B1248)-1))-FIND("-",LEFT(B1248,FIND("m",B1248)-1))-1),C1248))</f>
        <v>0</v>
      </c>
      <c r="E1248" t="s">
        <v>2632</v>
      </c>
      <c r="F1248" s="9">
        <f>convertNumberStringPointToNumberComma(LEFT(MID(E1248,3,9),IFERROR(FIND("-",MID(E1248,3,9))-2,3)))</f>
        <v>2.8</v>
      </c>
      <c r="G1248" s="9">
        <f>convertNumberStringPointToNumberComma(RIGHT(E1248,IF(ISERROR(FIND(".",RIGHT(E1248,3))),1,3)))</f>
        <v>2.8</v>
      </c>
      <c r="H1248" t="s">
        <v>27</v>
      </c>
      <c r="I1248" s="5" t="str">
        <f>IF(H1248="none",0,LEFT(H1248,LEN(H1248)-2))</f>
        <v>77</v>
      </c>
      <c r="J1248" s="5" t="s">
        <v>343</v>
      </c>
      <c r="K1248" s="10">
        <f>IF(J1248="",0,convertNumberStringPointToNumberComma(LEFT(J1248,LEN(J1248)-1)))</f>
        <v>0.28000000000000003</v>
      </c>
      <c r="L1248" t="s">
        <v>2728</v>
      </c>
      <c r="M1248" t="s">
        <v>2757</v>
      </c>
      <c r="N1248" t="s">
        <v>913</v>
      </c>
      <c r="O1248" t="s">
        <v>2820</v>
      </c>
      <c r="P1248" s="5" t="str">
        <f>LEFT(O1248,LEN(O1248)-1)</f>
        <v>955</v>
      </c>
      <c r="Q1248" t="s">
        <v>3336</v>
      </c>
      <c r="R1248" s="52">
        <f>_xlfn.NUMBERVALUE(convertNumberStringPointToNumberComma(LEFT(Q1248,FIND("x",Q1248)-2)))</f>
        <v>83</v>
      </c>
      <c r="S1248" s="52">
        <f>_xlfn.NUMBERVALUE(convertNumberStringPointToNumberComma(LEFT(RIGHT(Q1248,LEN(Q1248)-FIND("x",Q1248)-1),LEN(RIGHT(Q1248,LEN(Q1248)-FIND("x",Q1248)-1))-2)))</f>
        <v>111</v>
      </c>
    </row>
    <row r="1249" spans="1:19" x14ac:dyDescent="0.25">
      <c r="A1249" t="s">
        <v>1782</v>
      </c>
      <c r="B1249" t="s">
        <v>919</v>
      </c>
      <c r="E1249" t="s">
        <v>2632</v>
      </c>
      <c r="H1249" t="s">
        <v>27</v>
      </c>
      <c r="L1249" t="s">
        <v>2728</v>
      </c>
      <c r="M1249" t="s">
        <v>2757</v>
      </c>
      <c r="N1249" t="s">
        <v>913</v>
      </c>
      <c r="O1249" t="s">
        <v>3010</v>
      </c>
      <c r="Q1249" t="s">
        <v>3336</v>
      </c>
      <c r="R1249" s="52">
        <f>_xlfn.NUMBERVALUE(convertNumberStringPointToNumberComma(LEFT(Q1249,FIND("x",Q1249)-2)))</f>
        <v>83</v>
      </c>
      <c r="S1249" s="52">
        <f>_xlfn.NUMBERVALUE(convertNumberStringPointToNumberComma(LEFT(RIGHT(Q1249,LEN(Q1249)-FIND("x",Q1249)-1),LEN(RIGHT(Q1249,LEN(Q1249)-FIND("x",Q1249)-1))-2)))</f>
        <v>111</v>
      </c>
    </row>
    <row r="1250" spans="1:19" x14ac:dyDescent="0.25">
      <c r="A1250" t="s">
        <v>2050</v>
      </c>
      <c r="B1250" t="s">
        <v>592</v>
      </c>
      <c r="E1250" t="s">
        <v>2980</v>
      </c>
      <c r="H1250" t="s">
        <v>27</v>
      </c>
      <c r="M1250" t="s">
        <v>2757</v>
      </c>
      <c r="N1250" t="s">
        <v>913</v>
      </c>
      <c r="O1250" t="s">
        <v>3052</v>
      </c>
      <c r="Q1250" t="s">
        <v>3336</v>
      </c>
      <c r="R1250" s="52">
        <f>_xlfn.NUMBERVALUE(convertNumberStringPointToNumberComma(LEFT(Q1250,FIND("x",Q1250)-2)))</f>
        <v>83</v>
      </c>
      <c r="S1250" s="52">
        <f>_xlfn.NUMBERVALUE(convertNumberStringPointToNumberComma(LEFT(RIGHT(Q1250,LEN(Q1250)-FIND("x",Q1250)-1),LEN(RIGHT(Q1250,LEN(Q1250)-FIND("x",Q1250)-1))-2)))</f>
        <v>111</v>
      </c>
    </row>
    <row r="1251" spans="1:19" x14ac:dyDescent="0.25">
      <c r="A1251" t="s">
        <v>2066</v>
      </c>
      <c r="B1251" t="s">
        <v>592</v>
      </c>
      <c r="E1251" t="s">
        <v>2980</v>
      </c>
      <c r="H1251" t="s">
        <v>27</v>
      </c>
      <c r="M1251" t="s">
        <v>8</v>
      </c>
      <c r="N1251" t="s">
        <v>913</v>
      </c>
      <c r="O1251" t="s">
        <v>69</v>
      </c>
      <c r="Q1251" t="s">
        <v>3336</v>
      </c>
      <c r="R1251" s="52">
        <f>_xlfn.NUMBERVALUE(convertNumberStringPointToNumberComma(LEFT(Q1251,FIND("x",Q1251)-2)))</f>
        <v>83</v>
      </c>
      <c r="S1251" s="52">
        <f>_xlfn.NUMBERVALUE(convertNumberStringPointToNumberComma(LEFT(RIGHT(Q1251,LEN(Q1251)-FIND("x",Q1251)-1),LEN(RIGHT(Q1251,LEN(Q1251)-FIND("x",Q1251)-1))-2)))</f>
        <v>111</v>
      </c>
    </row>
    <row r="1252" spans="1:19" x14ac:dyDescent="0.25">
      <c r="A1252" t="s">
        <v>2187</v>
      </c>
      <c r="B1252" t="s">
        <v>592</v>
      </c>
      <c r="E1252" t="s">
        <v>2643</v>
      </c>
      <c r="H1252" t="s">
        <v>27</v>
      </c>
      <c r="M1252" t="s">
        <v>2682</v>
      </c>
      <c r="N1252" t="s">
        <v>913</v>
      </c>
      <c r="O1252" t="s">
        <v>69</v>
      </c>
      <c r="Q1252" t="s">
        <v>3336</v>
      </c>
      <c r="R1252" s="52">
        <f>_xlfn.NUMBERVALUE(convertNumberStringPointToNumberComma(LEFT(Q1252,FIND("x",Q1252)-2)))</f>
        <v>83</v>
      </c>
      <c r="S1252" s="52">
        <f>_xlfn.NUMBERVALUE(convertNumberStringPointToNumberComma(LEFT(RIGHT(Q1252,LEN(Q1252)-FIND("x",Q1252)-1),LEN(RIGHT(Q1252,LEN(Q1252)-FIND("x",Q1252)-1))-2)))</f>
        <v>111</v>
      </c>
    </row>
    <row r="1253" spans="1:19" x14ac:dyDescent="0.25">
      <c r="A1253" t="s">
        <v>2188</v>
      </c>
      <c r="B1253" t="s">
        <v>592</v>
      </c>
      <c r="E1253" t="s">
        <v>2643</v>
      </c>
      <c r="H1253" t="s">
        <v>27</v>
      </c>
      <c r="M1253" t="s">
        <v>8</v>
      </c>
      <c r="N1253" t="s">
        <v>913</v>
      </c>
      <c r="O1253" t="s">
        <v>69</v>
      </c>
      <c r="Q1253" t="s">
        <v>3336</v>
      </c>
      <c r="R1253" s="52">
        <f>_xlfn.NUMBERVALUE(convertNumberStringPointToNumberComma(LEFT(Q1253,FIND("x",Q1253)-2)))</f>
        <v>83</v>
      </c>
      <c r="S1253" s="52">
        <f>_xlfn.NUMBERVALUE(convertNumberStringPointToNumberComma(LEFT(RIGHT(Q1253,LEN(Q1253)-FIND("x",Q1253)-1),LEN(RIGHT(Q1253,LEN(Q1253)-FIND("x",Q1253)-1))-2)))</f>
        <v>111</v>
      </c>
    </row>
    <row r="1254" spans="1:19" x14ac:dyDescent="0.25">
      <c r="A1254" t="s">
        <v>2189</v>
      </c>
      <c r="B1254" t="s">
        <v>592</v>
      </c>
      <c r="E1254" t="s">
        <v>2643</v>
      </c>
      <c r="H1254" t="s">
        <v>27</v>
      </c>
      <c r="M1254" t="s">
        <v>8</v>
      </c>
      <c r="N1254" t="s">
        <v>913</v>
      </c>
      <c r="O1254" t="s">
        <v>69</v>
      </c>
      <c r="Q1254" t="s">
        <v>3336</v>
      </c>
      <c r="R1254" s="52">
        <f>_xlfn.NUMBERVALUE(convertNumberStringPointToNumberComma(LEFT(Q1254,FIND("x",Q1254)-2)))</f>
        <v>83</v>
      </c>
      <c r="S1254" s="52">
        <f>_xlfn.NUMBERVALUE(convertNumberStringPointToNumberComma(LEFT(RIGHT(Q1254,LEN(Q1254)-FIND("x",Q1254)-1),LEN(RIGHT(Q1254,LEN(Q1254)-FIND("x",Q1254)-1))-2)))</f>
        <v>111</v>
      </c>
    </row>
    <row r="1255" spans="1:19" x14ac:dyDescent="0.25">
      <c r="A1255" t="s">
        <v>2190</v>
      </c>
      <c r="B1255" t="s">
        <v>592</v>
      </c>
      <c r="E1255" t="s">
        <v>2643</v>
      </c>
      <c r="H1255" t="s">
        <v>27</v>
      </c>
      <c r="M1255" t="s">
        <v>2681</v>
      </c>
      <c r="N1255" t="s">
        <v>2681</v>
      </c>
      <c r="O1255" t="s">
        <v>69</v>
      </c>
      <c r="Q1255" t="s">
        <v>3336</v>
      </c>
      <c r="R1255" s="52">
        <f>_xlfn.NUMBERVALUE(convertNumberStringPointToNumberComma(LEFT(Q1255,FIND("x",Q1255)-2)))</f>
        <v>83</v>
      </c>
      <c r="S1255" s="52">
        <f>_xlfn.NUMBERVALUE(convertNumberStringPointToNumberComma(LEFT(RIGHT(Q1255,LEN(Q1255)-FIND("x",Q1255)-1),LEN(RIGHT(Q1255,LEN(Q1255)-FIND("x",Q1255)-1))-2)))</f>
        <v>111</v>
      </c>
    </row>
    <row r="1256" spans="1:19" x14ac:dyDescent="0.25">
      <c r="A1256" t="s">
        <v>2191</v>
      </c>
      <c r="B1256" t="s">
        <v>592</v>
      </c>
      <c r="E1256" t="s">
        <v>2643</v>
      </c>
      <c r="H1256" t="s">
        <v>27</v>
      </c>
      <c r="M1256" t="s">
        <v>2757</v>
      </c>
      <c r="N1256" t="s">
        <v>913</v>
      </c>
      <c r="O1256" t="s">
        <v>69</v>
      </c>
      <c r="Q1256" t="s">
        <v>3336</v>
      </c>
      <c r="R1256" s="52">
        <f>_xlfn.NUMBERVALUE(convertNumberStringPointToNumberComma(LEFT(Q1256,FIND("x",Q1256)-2)))</f>
        <v>83</v>
      </c>
      <c r="S1256" s="52">
        <f>_xlfn.NUMBERVALUE(convertNumberStringPointToNumberComma(LEFT(RIGHT(Q1256,LEN(Q1256)-FIND("x",Q1256)-1),LEN(RIGHT(Q1256,LEN(Q1256)-FIND("x",Q1256)-1))-2)))</f>
        <v>111</v>
      </c>
    </row>
    <row r="1257" spans="1:19" x14ac:dyDescent="0.25">
      <c r="A1257" t="s">
        <v>2192</v>
      </c>
      <c r="B1257" t="s">
        <v>592</v>
      </c>
      <c r="E1257" t="s">
        <v>2643</v>
      </c>
      <c r="H1257" t="s">
        <v>27</v>
      </c>
      <c r="M1257" t="s">
        <v>2802</v>
      </c>
      <c r="N1257" t="s">
        <v>913</v>
      </c>
      <c r="O1257" t="s">
        <v>69</v>
      </c>
      <c r="Q1257" t="s">
        <v>3336</v>
      </c>
      <c r="R1257" s="52">
        <f>_xlfn.NUMBERVALUE(convertNumberStringPointToNumberComma(LEFT(Q1257,FIND("x",Q1257)-2)))</f>
        <v>83</v>
      </c>
      <c r="S1257" s="52">
        <f>_xlfn.NUMBERVALUE(convertNumberStringPointToNumberComma(LEFT(RIGHT(Q1257,LEN(Q1257)-FIND("x",Q1257)-1),LEN(RIGHT(Q1257,LEN(Q1257)-FIND("x",Q1257)-1))-2)))</f>
        <v>111</v>
      </c>
    </row>
    <row r="1258" spans="1:19" x14ac:dyDescent="0.25">
      <c r="A1258" t="s">
        <v>2248</v>
      </c>
      <c r="B1258" t="s">
        <v>592</v>
      </c>
      <c r="E1258" t="s">
        <v>2643</v>
      </c>
      <c r="H1258" t="s">
        <v>27</v>
      </c>
      <c r="M1258" t="s">
        <v>2682</v>
      </c>
      <c r="N1258" t="s">
        <v>913</v>
      </c>
      <c r="O1258" t="s">
        <v>69</v>
      </c>
      <c r="Q1258" t="s">
        <v>3336</v>
      </c>
      <c r="R1258" s="52">
        <f>_xlfn.NUMBERVALUE(convertNumberStringPointToNumberComma(LEFT(Q1258,FIND("x",Q1258)-2)))</f>
        <v>83</v>
      </c>
      <c r="S1258" s="52">
        <f>_xlfn.NUMBERVALUE(convertNumberStringPointToNumberComma(LEFT(RIGHT(Q1258,LEN(Q1258)-FIND("x",Q1258)-1),LEN(RIGHT(Q1258,LEN(Q1258)-FIND("x",Q1258)-1))-2)))</f>
        <v>111</v>
      </c>
    </row>
    <row r="1259" spans="1:19" x14ac:dyDescent="0.25">
      <c r="A1259" t="s">
        <v>2336</v>
      </c>
      <c r="B1259" t="s">
        <v>592</v>
      </c>
      <c r="E1259" t="s">
        <v>2643</v>
      </c>
      <c r="H1259" t="s">
        <v>27</v>
      </c>
      <c r="M1259" t="s">
        <v>2804</v>
      </c>
      <c r="N1259" t="s">
        <v>903</v>
      </c>
      <c r="O1259" t="s">
        <v>69</v>
      </c>
      <c r="Q1259" t="s">
        <v>3336</v>
      </c>
      <c r="R1259" s="52">
        <f>_xlfn.NUMBERVALUE(convertNumberStringPointToNumberComma(LEFT(Q1259,FIND("x",Q1259)-2)))</f>
        <v>83</v>
      </c>
      <c r="S1259" s="52">
        <f>_xlfn.NUMBERVALUE(convertNumberStringPointToNumberComma(LEFT(RIGHT(Q1259,LEN(Q1259)-FIND("x",Q1259)-1),LEN(RIGHT(Q1259,LEN(Q1259)-FIND("x",Q1259)-1))-2)))</f>
        <v>111</v>
      </c>
    </row>
    <row r="1260" spans="1:19" x14ac:dyDescent="0.25">
      <c r="A1260" t="s">
        <v>2349</v>
      </c>
      <c r="B1260" t="s">
        <v>592</v>
      </c>
      <c r="E1260" t="s">
        <v>2643</v>
      </c>
      <c r="H1260" t="s">
        <v>27</v>
      </c>
      <c r="M1260" t="s">
        <v>2763</v>
      </c>
      <c r="N1260" t="s">
        <v>913</v>
      </c>
      <c r="O1260" t="s">
        <v>69</v>
      </c>
      <c r="Q1260" t="s">
        <v>3336</v>
      </c>
      <c r="R1260" s="52">
        <f>_xlfn.NUMBERVALUE(convertNumberStringPointToNumberComma(LEFT(Q1260,FIND("x",Q1260)-2)))</f>
        <v>83</v>
      </c>
      <c r="S1260" s="52">
        <f>_xlfn.NUMBERVALUE(convertNumberStringPointToNumberComma(LEFT(RIGHT(Q1260,LEN(Q1260)-FIND("x",Q1260)-1),LEN(RIGHT(Q1260,LEN(Q1260)-FIND("x",Q1260)-1))-2)))</f>
        <v>111</v>
      </c>
    </row>
    <row r="1261" spans="1:19" x14ac:dyDescent="0.25">
      <c r="A1261" t="s">
        <v>2353</v>
      </c>
      <c r="B1261" t="s">
        <v>592</v>
      </c>
      <c r="E1261" t="s">
        <v>2643</v>
      </c>
      <c r="H1261" t="s">
        <v>27</v>
      </c>
      <c r="M1261" t="s">
        <v>2674</v>
      </c>
      <c r="N1261" t="s">
        <v>903</v>
      </c>
      <c r="O1261" t="s">
        <v>69</v>
      </c>
      <c r="Q1261" t="s">
        <v>3336</v>
      </c>
      <c r="R1261" s="52">
        <f>_xlfn.NUMBERVALUE(convertNumberStringPointToNumberComma(LEFT(Q1261,FIND("x",Q1261)-2)))</f>
        <v>83</v>
      </c>
      <c r="S1261" s="52">
        <f>_xlfn.NUMBERVALUE(convertNumberStringPointToNumberComma(LEFT(RIGHT(Q1261,LEN(Q1261)-FIND("x",Q1261)-1),LEN(RIGHT(Q1261,LEN(Q1261)-FIND("x",Q1261)-1))-2)))</f>
        <v>111</v>
      </c>
    </row>
    <row r="1262" spans="1:19" x14ac:dyDescent="0.25">
      <c r="A1262" t="s">
        <v>1668</v>
      </c>
      <c r="B1262" t="s">
        <v>441</v>
      </c>
      <c r="E1262" t="s">
        <v>2654</v>
      </c>
      <c r="H1262" t="s">
        <v>27</v>
      </c>
      <c r="M1262" t="s">
        <v>2680</v>
      </c>
      <c r="N1262" t="s">
        <v>2681</v>
      </c>
      <c r="O1262" t="s">
        <v>2977</v>
      </c>
      <c r="Q1262" t="s">
        <v>3617</v>
      </c>
      <c r="R1262" s="52">
        <f>_xlfn.NUMBERVALUE(convertNumberStringPointToNumberComma(LEFT(Q1262,FIND("x",Q1262)-2)))</f>
        <v>83</v>
      </c>
      <c r="S1262" s="52">
        <f>_xlfn.NUMBERVALUE(convertNumberStringPointToNumberComma(LEFT(RIGHT(Q1262,LEN(Q1262)-FIND("x",Q1262)-1),LEN(RIGHT(Q1262,LEN(Q1262)-FIND("x",Q1262)-1))-2)))</f>
        <v>113.2</v>
      </c>
    </row>
    <row r="1263" spans="1:19" x14ac:dyDescent="0.25">
      <c r="A1263" t="s">
        <v>2410</v>
      </c>
      <c r="B1263" t="s">
        <v>441</v>
      </c>
      <c r="E1263" t="s">
        <v>2635</v>
      </c>
      <c r="H1263" t="s">
        <v>27</v>
      </c>
      <c r="M1263" t="s">
        <v>2680</v>
      </c>
      <c r="N1263" t="s">
        <v>2681</v>
      </c>
      <c r="O1263" t="s">
        <v>23</v>
      </c>
      <c r="Q1263" t="s">
        <v>3617</v>
      </c>
      <c r="R1263" s="52">
        <f>_xlfn.NUMBERVALUE(convertNumberStringPointToNumberComma(LEFT(Q1263,FIND("x",Q1263)-2)))</f>
        <v>83</v>
      </c>
      <c r="S1263" s="52">
        <f>_xlfn.NUMBERVALUE(convertNumberStringPointToNumberComma(LEFT(RIGHT(Q1263,LEN(Q1263)-FIND("x",Q1263)-1),LEN(RIGHT(Q1263,LEN(Q1263)-FIND("x",Q1263)-1))-2)))</f>
        <v>113.2</v>
      </c>
    </row>
    <row r="1264" spans="1:19" x14ac:dyDescent="0.25">
      <c r="A1264" t="s">
        <v>2209</v>
      </c>
      <c r="B1264" t="s">
        <v>263</v>
      </c>
      <c r="E1264" t="s">
        <v>3014</v>
      </c>
      <c r="H1264" t="s">
        <v>27</v>
      </c>
      <c r="M1264" t="s">
        <v>2680</v>
      </c>
      <c r="N1264" t="s">
        <v>2681</v>
      </c>
      <c r="O1264" t="s">
        <v>508</v>
      </c>
      <c r="Q1264" t="s">
        <v>3867</v>
      </c>
      <c r="R1264" s="52">
        <f>_xlfn.NUMBERVALUE(convertNumberStringPointToNumberComma(LEFT(Q1264,FIND("x",Q1264)-2)))</f>
        <v>83</v>
      </c>
      <c r="S1264" s="52">
        <f>_xlfn.NUMBERVALUE(convertNumberStringPointToNumberComma(LEFT(RIGHT(Q1264,LEN(Q1264)-FIND("x",Q1264)-1),LEN(RIGHT(Q1264,LEN(Q1264)-FIND("x",Q1264)-1))-2)))</f>
        <v>114.2</v>
      </c>
    </row>
    <row r="1265" spans="1:19" x14ac:dyDescent="0.25">
      <c r="A1265" t="s">
        <v>1664</v>
      </c>
      <c r="B1265" t="s">
        <v>441</v>
      </c>
      <c r="E1265" t="s">
        <v>2654</v>
      </c>
      <c r="H1265" t="s">
        <v>27</v>
      </c>
      <c r="M1265" t="s">
        <v>2763</v>
      </c>
      <c r="N1265" t="s">
        <v>903</v>
      </c>
      <c r="O1265" t="s">
        <v>2973</v>
      </c>
      <c r="Q1265" t="s">
        <v>3613</v>
      </c>
      <c r="R1265" s="52">
        <f>_xlfn.NUMBERVALUE(convertNumberStringPointToNumberComma(LEFT(Q1265,FIND("x",Q1265)-2)))</f>
        <v>83</v>
      </c>
      <c r="S1265" s="52">
        <f>_xlfn.NUMBERVALUE(convertNumberStringPointToNumberComma(LEFT(RIGHT(Q1265,LEN(Q1265)-FIND("x",Q1265)-1),LEN(RIGHT(Q1265,LEN(Q1265)-FIND("x",Q1265)-1))-2)))</f>
        <v>114.3</v>
      </c>
    </row>
    <row r="1266" spans="1:19" x14ac:dyDescent="0.25">
      <c r="A1266" t="s">
        <v>2403</v>
      </c>
      <c r="B1266" t="s">
        <v>441</v>
      </c>
      <c r="E1266" t="s">
        <v>2635</v>
      </c>
      <c r="H1266" t="s">
        <v>27</v>
      </c>
      <c r="M1266" t="s">
        <v>2763</v>
      </c>
      <c r="N1266" t="s">
        <v>903</v>
      </c>
      <c r="O1266" t="s">
        <v>794</v>
      </c>
      <c r="Q1266" t="s">
        <v>3613</v>
      </c>
      <c r="R1266" s="52">
        <f>_xlfn.NUMBERVALUE(convertNumberStringPointToNumberComma(LEFT(Q1266,FIND("x",Q1266)-2)))</f>
        <v>83</v>
      </c>
      <c r="S1266" s="52">
        <f>_xlfn.NUMBERVALUE(convertNumberStringPointToNumberComma(LEFT(RIGHT(Q1266,LEN(Q1266)-FIND("x",Q1266)-1),LEN(RIGHT(Q1266,LEN(Q1266)-FIND("x",Q1266)-1))-2)))</f>
        <v>114.3</v>
      </c>
    </row>
    <row r="1267" spans="1:19" x14ac:dyDescent="0.25">
      <c r="A1267" t="s">
        <v>2414</v>
      </c>
      <c r="B1267" t="s">
        <v>441</v>
      </c>
      <c r="E1267" t="s">
        <v>2654</v>
      </c>
      <c r="H1267" t="s">
        <v>27</v>
      </c>
      <c r="M1267" t="s">
        <v>2674</v>
      </c>
      <c r="N1267" t="s">
        <v>913</v>
      </c>
      <c r="O1267" t="s">
        <v>2973</v>
      </c>
      <c r="Q1267" t="s">
        <v>3939</v>
      </c>
      <c r="R1267" s="52">
        <f>_xlfn.NUMBERVALUE(convertNumberStringPointToNumberComma(LEFT(Q1267,FIND("x",Q1267)-2)))</f>
        <v>83</v>
      </c>
      <c r="S1267" s="52">
        <f>_xlfn.NUMBERVALUE(convertNumberStringPointToNumberComma(LEFT(RIGHT(Q1267,LEN(Q1267)-FIND("x",Q1267)-1),LEN(RIGHT(Q1267,LEN(Q1267)-FIND("x",Q1267)-1))-2)))</f>
        <v>114.4</v>
      </c>
    </row>
    <row r="1268" spans="1:19" x14ac:dyDescent="0.25">
      <c r="A1268" t="s">
        <v>2631</v>
      </c>
      <c r="B1268" t="s">
        <v>441</v>
      </c>
      <c r="E1268" t="s">
        <v>2635</v>
      </c>
      <c r="H1268" t="s">
        <v>27</v>
      </c>
      <c r="M1268" t="s">
        <v>2674</v>
      </c>
      <c r="N1268" t="s">
        <v>913</v>
      </c>
      <c r="O1268" t="s">
        <v>794</v>
      </c>
      <c r="Q1268" t="s">
        <v>3939</v>
      </c>
      <c r="R1268" s="52">
        <f>_xlfn.NUMBERVALUE(convertNumberStringPointToNumberComma(LEFT(Q1268,FIND("x",Q1268)-2)))</f>
        <v>83</v>
      </c>
      <c r="S1268" s="52">
        <f>_xlfn.NUMBERVALUE(convertNumberStringPointToNumberComma(LEFT(RIGHT(Q1268,LEN(Q1268)-FIND("x",Q1268)-1),LEN(RIGHT(Q1268,LEN(Q1268)-FIND("x",Q1268)-1))-2)))</f>
        <v>114.4</v>
      </c>
    </row>
    <row r="1269" spans="1:19" x14ac:dyDescent="0.25">
      <c r="A1269" t="s">
        <v>2444</v>
      </c>
      <c r="B1269" t="s">
        <v>1044</v>
      </c>
      <c r="E1269" t="s">
        <v>2639</v>
      </c>
      <c r="H1269" t="s">
        <v>27</v>
      </c>
      <c r="L1269" t="s">
        <v>2893</v>
      </c>
      <c r="M1269" t="s">
        <v>8</v>
      </c>
      <c r="N1269" t="s">
        <v>913</v>
      </c>
      <c r="O1269" t="s">
        <v>536</v>
      </c>
      <c r="Q1269" t="s">
        <v>3996</v>
      </c>
      <c r="R1269" s="52">
        <f>_xlfn.NUMBERVALUE(convertNumberStringPointToNumberComma(LEFT(Q1269,FIND("x",Q1269)-2)))</f>
        <v>83</v>
      </c>
      <c r="S1269" s="52">
        <f>_xlfn.NUMBERVALUE(convertNumberStringPointToNumberComma(LEFT(RIGHT(Q1269,LEN(Q1269)-FIND("x",Q1269)-1),LEN(RIGHT(Q1269,LEN(Q1269)-FIND("x",Q1269)-1))-2)))</f>
        <v>114.5</v>
      </c>
    </row>
    <row r="1270" spans="1:19" x14ac:dyDescent="0.25">
      <c r="A1270" t="s">
        <v>1665</v>
      </c>
      <c r="B1270" t="s">
        <v>441</v>
      </c>
      <c r="E1270" t="s">
        <v>2654</v>
      </c>
      <c r="H1270" t="s">
        <v>27</v>
      </c>
      <c r="M1270" t="s">
        <v>2748</v>
      </c>
      <c r="N1270" t="s">
        <v>903</v>
      </c>
      <c r="O1270" t="s">
        <v>2974</v>
      </c>
      <c r="Q1270" t="s">
        <v>3614</v>
      </c>
      <c r="R1270" s="52">
        <f>_xlfn.NUMBERVALUE(convertNumberStringPointToNumberComma(LEFT(Q1270,FIND("x",Q1270)-2)))</f>
        <v>83</v>
      </c>
      <c r="S1270" s="52">
        <f>_xlfn.NUMBERVALUE(convertNumberStringPointToNumberComma(LEFT(RIGHT(Q1270,LEN(Q1270)-FIND("x",Q1270)-1),LEN(RIGHT(Q1270,LEN(Q1270)-FIND("x",Q1270)-1))-2)))</f>
        <v>114.7</v>
      </c>
    </row>
    <row r="1271" spans="1:19" x14ac:dyDescent="0.25">
      <c r="A1271" t="s">
        <v>2409</v>
      </c>
      <c r="B1271" t="s">
        <v>441</v>
      </c>
      <c r="E1271" t="s">
        <v>2635</v>
      </c>
      <c r="H1271" t="s">
        <v>27</v>
      </c>
      <c r="M1271" t="s">
        <v>2748</v>
      </c>
      <c r="N1271" t="s">
        <v>903</v>
      </c>
      <c r="O1271" t="s">
        <v>278</v>
      </c>
      <c r="Q1271" t="s">
        <v>3614</v>
      </c>
      <c r="R1271" s="52">
        <f>_xlfn.NUMBERVALUE(convertNumberStringPointToNumberComma(LEFT(Q1271,FIND("x",Q1271)-2)))</f>
        <v>83</v>
      </c>
      <c r="S1271" s="52">
        <f>_xlfn.NUMBERVALUE(convertNumberStringPointToNumberComma(LEFT(RIGHT(Q1271,LEN(Q1271)-FIND("x",Q1271)-1),LEN(RIGHT(Q1271,LEN(Q1271)-FIND("x",Q1271)-1))-2)))</f>
        <v>114.7</v>
      </c>
    </row>
    <row r="1272" spans="1:19" x14ac:dyDescent="0.25">
      <c r="A1272" t="s">
        <v>1783</v>
      </c>
      <c r="B1272" t="s">
        <v>916</v>
      </c>
      <c r="E1272" t="s">
        <v>2632</v>
      </c>
      <c r="H1272" t="s">
        <v>27</v>
      </c>
      <c r="L1272" t="s">
        <v>2677</v>
      </c>
      <c r="M1272" t="s">
        <v>2757</v>
      </c>
      <c r="N1272" t="s">
        <v>913</v>
      </c>
      <c r="O1272" t="s">
        <v>3011</v>
      </c>
      <c r="Q1272" t="s">
        <v>3684</v>
      </c>
      <c r="R1272" s="52">
        <f>_xlfn.NUMBERVALUE(convertNumberStringPointToNumberComma(LEFT(Q1272,FIND("x",Q1272)-2)))</f>
        <v>83</v>
      </c>
      <c r="S1272" s="52">
        <f>_xlfn.NUMBERVALUE(convertNumberStringPointToNumberComma(LEFT(RIGHT(Q1272,LEN(Q1272)-FIND("x",Q1272)-1),LEN(RIGHT(Q1272,LEN(Q1272)-FIND("x",Q1272)-1))-2)))</f>
        <v>114</v>
      </c>
    </row>
    <row r="1273" spans="1:19" x14ac:dyDescent="0.25">
      <c r="A1273" t="s">
        <v>2213</v>
      </c>
      <c r="B1273" t="s">
        <v>263</v>
      </c>
      <c r="E1273" t="s">
        <v>3014</v>
      </c>
      <c r="H1273" t="s">
        <v>27</v>
      </c>
      <c r="M1273" t="s">
        <v>2674</v>
      </c>
      <c r="N1273" t="s">
        <v>903</v>
      </c>
      <c r="O1273" t="s">
        <v>508</v>
      </c>
      <c r="Q1273" t="s">
        <v>3870</v>
      </c>
      <c r="R1273" s="52">
        <f>_xlfn.NUMBERVALUE(convertNumberStringPointToNumberComma(LEFT(Q1273,FIND("x",Q1273)-2)))</f>
        <v>83</v>
      </c>
      <c r="S1273" s="52">
        <f>_xlfn.NUMBERVALUE(convertNumberStringPointToNumberComma(LEFT(RIGHT(Q1273,LEN(Q1273)-FIND("x",Q1273)-1),LEN(RIGHT(Q1273,LEN(Q1273)-FIND("x",Q1273)-1))-2)))</f>
        <v>115.4</v>
      </c>
    </row>
    <row r="1274" spans="1:19" x14ac:dyDescent="0.25">
      <c r="A1274" t="s">
        <v>2207</v>
      </c>
      <c r="B1274" t="s">
        <v>263</v>
      </c>
      <c r="E1274" t="s">
        <v>3014</v>
      </c>
      <c r="H1274" t="s">
        <v>27</v>
      </c>
      <c r="M1274" t="s">
        <v>2763</v>
      </c>
      <c r="N1274" t="s">
        <v>903</v>
      </c>
      <c r="O1274" t="s">
        <v>508</v>
      </c>
      <c r="Q1274" t="s">
        <v>3865</v>
      </c>
      <c r="R1274" s="52">
        <f>_xlfn.NUMBERVALUE(convertNumberStringPointToNumberComma(LEFT(Q1274,FIND("x",Q1274)-2)))</f>
        <v>83</v>
      </c>
      <c r="S1274" s="52">
        <f>_xlfn.NUMBERVALUE(convertNumberStringPointToNumberComma(LEFT(RIGHT(Q1274,LEN(Q1274)-FIND("x",Q1274)-1),LEN(RIGHT(Q1274,LEN(Q1274)-FIND("x",Q1274)-1))-2)))</f>
        <v>115.7</v>
      </c>
    </row>
    <row r="1275" spans="1:19" x14ac:dyDescent="0.25">
      <c r="A1275" t="s">
        <v>2210</v>
      </c>
      <c r="B1275" t="s">
        <v>263</v>
      </c>
      <c r="E1275" t="s">
        <v>3014</v>
      </c>
      <c r="H1275" t="s">
        <v>27</v>
      </c>
      <c r="M1275" t="s">
        <v>2748</v>
      </c>
      <c r="N1275" t="s">
        <v>903</v>
      </c>
      <c r="O1275" t="s">
        <v>96</v>
      </c>
      <c r="Q1275" t="s">
        <v>3865</v>
      </c>
      <c r="R1275" s="52">
        <f>_xlfn.NUMBERVALUE(convertNumberStringPointToNumberComma(LEFT(Q1275,FIND("x",Q1275)-2)))</f>
        <v>83</v>
      </c>
      <c r="S1275" s="52">
        <f>_xlfn.NUMBERVALUE(convertNumberStringPointToNumberComma(LEFT(RIGHT(Q1275,LEN(Q1275)-FIND("x",Q1275)-1),LEN(RIGHT(Q1275,LEN(Q1275)-FIND("x",Q1275)-1))-2)))</f>
        <v>115.7</v>
      </c>
    </row>
    <row r="1276" spans="1:19" x14ac:dyDescent="0.25">
      <c r="A1276" t="s">
        <v>2056</v>
      </c>
      <c r="B1276" t="s">
        <v>592</v>
      </c>
      <c r="E1276" t="s">
        <v>2980</v>
      </c>
      <c r="H1276" t="s">
        <v>27</v>
      </c>
      <c r="M1276" t="s">
        <v>2681</v>
      </c>
      <c r="N1276" t="s">
        <v>2681</v>
      </c>
      <c r="O1276" t="s">
        <v>2836</v>
      </c>
      <c r="Q1276" t="s">
        <v>3820</v>
      </c>
      <c r="R1276" s="52">
        <f>_xlfn.NUMBERVALUE(convertNumberStringPointToNumberComma(LEFT(Q1276,FIND("x",Q1276)-2)))</f>
        <v>83</v>
      </c>
      <c r="S1276" s="52">
        <f>_xlfn.NUMBERVALUE(convertNumberStringPointToNumberComma(LEFT(RIGHT(Q1276,LEN(Q1276)-FIND("x",Q1276)-1),LEN(RIGHT(Q1276,LEN(Q1276)-FIND("x",Q1276)-1))-2)))</f>
        <v>116.8</v>
      </c>
    </row>
    <row r="1277" spans="1:19" x14ac:dyDescent="0.25">
      <c r="A1277" t="s">
        <v>1728</v>
      </c>
      <c r="B1277" t="s">
        <v>263</v>
      </c>
      <c r="E1277" t="s">
        <v>2638</v>
      </c>
      <c r="H1277" t="s">
        <v>27</v>
      </c>
      <c r="M1277" t="s">
        <v>2748</v>
      </c>
      <c r="N1277" t="s">
        <v>903</v>
      </c>
      <c r="O1277" t="s">
        <v>268</v>
      </c>
      <c r="Q1277" t="s">
        <v>86</v>
      </c>
      <c r="R1277" s="52">
        <f>_xlfn.NUMBERVALUE(convertNumberStringPointToNumberComma(LEFT(Q1277,FIND("x",Q1277)-2)))</f>
        <v>83</v>
      </c>
      <c r="S1277" s="52">
        <f>_xlfn.NUMBERVALUE(convertNumberStringPointToNumberComma(LEFT(RIGHT(Q1277,LEN(Q1277)-FIND("x",Q1277)-1),LEN(RIGHT(Q1277,LEN(Q1277)-FIND("x",Q1277)-1))-2)))</f>
        <v>116</v>
      </c>
    </row>
    <row r="1278" spans="1:19" x14ac:dyDescent="0.25">
      <c r="A1278" t="s">
        <v>2501</v>
      </c>
      <c r="B1278" t="s">
        <v>75</v>
      </c>
      <c r="E1278" t="s">
        <v>2632</v>
      </c>
      <c r="H1278" t="s">
        <v>84</v>
      </c>
      <c r="L1278" t="s">
        <v>2707</v>
      </c>
      <c r="M1278" t="s">
        <v>8</v>
      </c>
      <c r="N1278" t="s">
        <v>913</v>
      </c>
      <c r="O1278" t="s">
        <v>2863</v>
      </c>
      <c r="Q1278" t="s">
        <v>86</v>
      </c>
      <c r="R1278" s="52">
        <f>_xlfn.NUMBERVALUE(convertNumberStringPointToNumberComma(LEFT(Q1278,FIND("x",Q1278)-2)))</f>
        <v>83</v>
      </c>
      <c r="S1278" s="52">
        <f>_xlfn.NUMBERVALUE(convertNumberStringPointToNumberComma(LEFT(RIGHT(Q1278,LEN(Q1278)-FIND("x",Q1278)-1),LEN(RIGHT(Q1278,LEN(Q1278)-FIND("x",Q1278)-1))-2)))</f>
        <v>116</v>
      </c>
    </row>
    <row r="1279" spans="1:19" x14ac:dyDescent="0.25">
      <c r="A1279" t="s">
        <v>2501</v>
      </c>
      <c r="B1279" t="s">
        <v>75</v>
      </c>
      <c r="E1279" t="s">
        <v>2632</v>
      </c>
      <c r="H1279" t="s">
        <v>84</v>
      </c>
      <c r="L1279" t="s">
        <v>2707</v>
      </c>
      <c r="M1279" t="s">
        <v>8</v>
      </c>
      <c r="N1279" t="s">
        <v>913</v>
      </c>
      <c r="O1279" t="s">
        <v>2863</v>
      </c>
      <c r="Q1279" t="s">
        <v>86</v>
      </c>
      <c r="R1279" s="52">
        <f>_xlfn.NUMBERVALUE(convertNumberStringPointToNumberComma(LEFT(Q1279,FIND("x",Q1279)-2)))</f>
        <v>83</v>
      </c>
      <c r="S1279" s="52">
        <f>_xlfn.NUMBERVALUE(convertNumberStringPointToNumberComma(LEFT(RIGHT(Q1279,LEN(Q1279)-FIND("x",Q1279)-1),LEN(RIGHT(Q1279,LEN(Q1279)-FIND("x",Q1279)-1))-2)))</f>
        <v>116</v>
      </c>
    </row>
    <row r="1280" spans="1:19" x14ac:dyDescent="0.25">
      <c r="A1280" t="s">
        <v>1839</v>
      </c>
      <c r="B1280" t="s">
        <v>62</v>
      </c>
      <c r="E1280" t="s">
        <v>2643</v>
      </c>
      <c r="H1280" t="s">
        <v>27</v>
      </c>
      <c r="L1280" t="s">
        <v>2898</v>
      </c>
      <c r="M1280" t="s">
        <v>8</v>
      </c>
      <c r="N1280" t="s">
        <v>913</v>
      </c>
      <c r="O1280" t="s">
        <v>173</v>
      </c>
      <c r="Q1280" t="s">
        <v>3704</v>
      </c>
      <c r="R1280" s="52">
        <f>_xlfn.NUMBERVALUE(convertNumberStringPointToNumberComma(LEFT(Q1280,FIND("x",Q1280)-2)))</f>
        <v>83</v>
      </c>
      <c r="S1280" s="52">
        <f>_xlfn.NUMBERVALUE(convertNumberStringPointToNumberComma(LEFT(RIGHT(Q1280,LEN(Q1280)-FIND("x",Q1280)-1),LEN(RIGHT(Q1280,LEN(Q1280)-FIND("x",Q1280)-1))-2)))</f>
        <v>117.5</v>
      </c>
    </row>
    <row r="1281" spans="1:19" x14ac:dyDescent="0.25">
      <c r="A1281" t="s">
        <v>1838</v>
      </c>
      <c r="B1281" t="s">
        <v>62</v>
      </c>
      <c r="E1281" t="s">
        <v>2643</v>
      </c>
      <c r="H1281" t="s">
        <v>27</v>
      </c>
      <c r="L1281" t="s">
        <v>2898</v>
      </c>
      <c r="M1281" t="s">
        <v>2682</v>
      </c>
      <c r="N1281" t="s">
        <v>913</v>
      </c>
      <c r="O1281" t="s">
        <v>3027</v>
      </c>
      <c r="Q1281" t="s">
        <v>3703</v>
      </c>
      <c r="R1281" s="52">
        <f>_xlfn.NUMBERVALUE(convertNumberStringPointToNumberComma(LEFT(Q1281,FIND("x",Q1281)-2)))</f>
        <v>83</v>
      </c>
      <c r="S1281" s="52">
        <f>_xlfn.NUMBERVALUE(convertNumberStringPointToNumberComma(LEFT(RIGHT(Q1281,LEN(Q1281)-FIND("x",Q1281)-1),LEN(RIGHT(Q1281,LEN(Q1281)-FIND("x",Q1281)-1))-2)))</f>
        <v>120</v>
      </c>
    </row>
    <row r="1282" spans="1:19" x14ac:dyDescent="0.25">
      <c r="A1282" t="s">
        <v>2486</v>
      </c>
      <c r="B1282" t="s">
        <v>1286</v>
      </c>
      <c r="E1282" t="s">
        <v>2639</v>
      </c>
      <c r="H1282" t="s">
        <v>27</v>
      </c>
      <c r="L1282" t="s">
        <v>3175</v>
      </c>
      <c r="M1282" t="s">
        <v>8</v>
      </c>
      <c r="N1282" t="s">
        <v>903</v>
      </c>
      <c r="O1282" t="s">
        <v>153</v>
      </c>
      <c r="Q1282" t="s">
        <v>3703</v>
      </c>
      <c r="R1282" s="52">
        <f>_xlfn.NUMBERVALUE(convertNumberStringPointToNumberComma(LEFT(Q1282,FIND("x",Q1282)-2)))</f>
        <v>83</v>
      </c>
      <c r="S1282" s="52">
        <f>_xlfn.NUMBERVALUE(convertNumberStringPointToNumberComma(LEFT(RIGHT(Q1282,LEN(Q1282)-FIND("x",Q1282)-1),LEN(RIGHT(Q1282,LEN(Q1282)-FIND("x",Q1282)-1))-2)))</f>
        <v>120</v>
      </c>
    </row>
    <row r="1283" spans="1:19" x14ac:dyDescent="0.25">
      <c r="A1283" t="s">
        <v>2089</v>
      </c>
      <c r="B1283" t="s">
        <v>505</v>
      </c>
      <c r="E1283" t="s">
        <v>2980</v>
      </c>
      <c r="H1283" t="s">
        <v>27</v>
      </c>
      <c r="M1283" t="s">
        <v>2680</v>
      </c>
      <c r="N1283" t="s">
        <v>2681</v>
      </c>
      <c r="O1283" t="s">
        <v>834</v>
      </c>
      <c r="Q1283" t="s">
        <v>3830</v>
      </c>
      <c r="R1283" s="52">
        <f>_xlfn.NUMBERVALUE(convertNumberStringPointToNumberComma(LEFT(Q1283,FIND("x",Q1283)-2)))</f>
        <v>83</v>
      </c>
      <c r="S1283" s="52">
        <f>_xlfn.NUMBERVALUE(convertNumberStringPointToNumberComma(LEFT(RIGHT(Q1283,LEN(Q1283)-FIND("x",Q1283)-1),LEN(RIGHT(Q1283,LEN(Q1283)-FIND("x",Q1283)-1))-2)))</f>
        <v>122.3</v>
      </c>
    </row>
    <row r="1284" spans="1:19" x14ac:dyDescent="0.25">
      <c r="A1284" t="s">
        <v>2412</v>
      </c>
      <c r="B1284" t="s">
        <v>505</v>
      </c>
      <c r="E1284" t="s">
        <v>2643</v>
      </c>
      <c r="H1284" t="s">
        <v>27</v>
      </c>
      <c r="M1284" t="s">
        <v>2680</v>
      </c>
      <c r="N1284" t="s">
        <v>2681</v>
      </c>
      <c r="O1284" t="s">
        <v>356</v>
      </c>
      <c r="Q1284" t="s">
        <v>3830</v>
      </c>
      <c r="R1284" s="52">
        <f>_xlfn.NUMBERVALUE(convertNumberStringPointToNumberComma(LEFT(Q1284,FIND("x",Q1284)-2)))</f>
        <v>83</v>
      </c>
      <c r="S1284" s="52">
        <f>_xlfn.NUMBERVALUE(convertNumberStringPointToNumberComma(LEFT(RIGHT(Q1284,LEN(Q1284)-FIND("x",Q1284)-1),LEN(RIGHT(Q1284,LEN(Q1284)-FIND("x",Q1284)-1))-2)))</f>
        <v>122.3</v>
      </c>
    </row>
    <row r="1285" spans="1:19" x14ac:dyDescent="0.25">
      <c r="A1285" t="s">
        <v>1671</v>
      </c>
      <c r="B1285" t="s">
        <v>505</v>
      </c>
      <c r="E1285" t="s">
        <v>2643</v>
      </c>
      <c r="H1285" t="s">
        <v>27</v>
      </c>
      <c r="M1285" t="s">
        <v>2763</v>
      </c>
      <c r="N1285" t="s">
        <v>903</v>
      </c>
      <c r="O1285" t="s">
        <v>726</v>
      </c>
      <c r="Q1285" t="s">
        <v>3620</v>
      </c>
      <c r="R1285" s="52">
        <f>_xlfn.NUMBERVALUE(convertNumberStringPointToNumberComma(LEFT(Q1285,FIND("x",Q1285)-2)))</f>
        <v>83</v>
      </c>
      <c r="S1285" s="52">
        <f>_xlfn.NUMBERVALUE(convertNumberStringPointToNumberComma(LEFT(RIGHT(Q1285,LEN(Q1285)-FIND("x",Q1285)-1),LEN(RIGHT(Q1285,LEN(Q1285)-FIND("x",Q1285)-1))-2)))</f>
        <v>123.4</v>
      </c>
    </row>
    <row r="1286" spans="1:19" x14ac:dyDescent="0.25">
      <c r="A1286" t="s">
        <v>2082</v>
      </c>
      <c r="B1286" t="s">
        <v>505</v>
      </c>
      <c r="E1286" t="s">
        <v>2980</v>
      </c>
      <c r="H1286" t="s">
        <v>27</v>
      </c>
      <c r="M1286" t="s">
        <v>2763</v>
      </c>
      <c r="N1286" t="s">
        <v>903</v>
      </c>
      <c r="O1286" t="s">
        <v>339</v>
      </c>
      <c r="Q1286" t="s">
        <v>3620</v>
      </c>
      <c r="R1286" s="52">
        <f>_xlfn.NUMBERVALUE(convertNumberStringPointToNumberComma(LEFT(Q1286,FIND("x",Q1286)-2)))</f>
        <v>83</v>
      </c>
      <c r="S1286" s="52">
        <f>_xlfn.NUMBERVALUE(convertNumberStringPointToNumberComma(LEFT(RIGHT(Q1286,LEN(Q1286)-FIND("x",Q1286)-1),LEN(RIGHT(Q1286,LEN(Q1286)-FIND("x",Q1286)-1))-2)))</f>
        <v>123.4</v>
      </c>
    </row>
    <row r="1287" spans="1:19" x14ac:dyDescent="0.25">
      <c r="A1287" t="s">
        <v>2084</v>
      </c>
      <c r="B1287" t="s">
        <v>505</v>
      </c>
      <c r="E1287" t="s">
        <v>2980</v>
      </c>
      <c r="H1287" t="s">
        <v>27</v>
      </c>
      <c r="M1287" t="s">
        <v>2674</v>
      </c>
      <c r="N1287" t="s">
        <v>903</v>
      </c>
      <c r="O1287" t="s">
        <v>77</v>
      </c>
      <c r="Q1287" t="s">
        <v>3828</v>
      </c>
      <c r="R1287" s="52">
        <f>_xlfn.NUMBERVALUE(convertNumberStringPointToNumberComma(LEFT(Q1287,FIND("x",Q1287)-2)))</f>
        <v>83</v>
      </c>
      <c r="S1287" s="52">
        <f>_xlfn.NUMBERVALUE(convertNumberStringPointToNumberComma(LEFT(RIGHT(Q1287,LEN(Q1287)-FIND("x",Q1287)-1),LEN(RIGHT(Q1287,LEN(Q1287)-FIND("x",Q1287)-1))-2)))</f>
        <v>123.5</v>
      </c>
    </row>
    <row r="1288" spans="1:19" x14ac:dyDescent="0.25">
      <c r="A1288" t="s">
        <v>1936</v>
      </c>
      <c r="B1288" t="s">
        <v>505</v>
      </c>
      <c r="E1288" t="s">
        <v>2643</v>
      </c>
      <c r="H1288" t="s">
        <v>27</v>
      </c>
      <c r="M1288" t="s">
        <v>2748</v>
      </c>
      <c r="N1288" t="s">
        <v>913</v>
      </c>
      <c r="O1288" t="s">
        <v>339</v>
      </c>
      <c r="Q1288" t="s">
        <v>3758</v>
      </c>
      <c r="R1288" s="52">
        <f>_xlfn.NUMBERVALUE(convertNumberStringPointToNumberComma(LEFT(Q1288,FIND("x",Q1288)-2)))</f>
        <v>83</v>
      </c>
      <c r="S1288" s="52">
        <f>_xlfn.NUMBERVALUE(convertNumberStringPointToNumberComma(LEFT(RIGHT(Q1288,LEN(Q1288)-FIND("x",Q1288)-1),LEN(RIGHT(Q1288,LEN(Q1288)-FIND("x",Q1288)-1))-2)))</f>
        <v>123.8</v>
      </c>
    </row>
    <row r="1289" spans="1:19" x14ac:dyDescent="0.25">
      <c r="A1289" t="s">
        <v>2091</v>
      </c>
      <c r="B1289" t="s">
        <v>505</v>
      </c>
      <c r="E1289" t="s">
        <v>2980</v>
      </c>
      <c r="H1289" t="s">
        <v>27</v>
      </c>
      <c r="M1289" t="s">
        <v>2748</v>
      </c>
      <c r="N1289" t="s">
        <v>903</v>
      </c>
      <c r="O1289" t="s">
        <v>77</v>
      </c>
      <c r="Q1289" t="s">
        <v>3758</v>
      </c>
      <c r="R1289" s="52">
        <f>_xlfn.NUMBERVALUE(convertNumberStringPointToNumberComma(LEFT(Q1289,FIND("x",Q1289)-2)))</f>
        <v>83</v>
      </c>
      <c r="S1289" s="52">
        <f>_xlfn.NUMBERVALUE(convertNumberStringPointToNumberComma(LEFT(RIGHT(Q1289,LEN(Q1289)-FIND("x",Q1289)-1),LEN(RIGHT(Q1289,LEN(Q1289)-FIND("x",Q1289)-1))-2)))</f>
        <v>123.8</v>
      </c>
    </row>
    <row r="1290" spans="1:19" x14ac:dyDescent="0.25">
      <c r="A1290" t="s">
        <v>2277</v>
      </c>
      <c r="B1290" t="s">
        <v>505</v>
      </c>
      <c r="E1290" t="s">
        <v>2643</v>
      </c>
      <c r="H1290" t="s">
        <v>27</v>
      </c>
      <c r="M1290" t="s">
        <v>2748</v>
      </c>
      <c r="N1290" t="s">
        <v>2681</v>
      </c>
      <c r="O1290" t="s">
        <v>339</v>
      </c>
      <c r="Q1290" t="s">
        <v>3758</v>
      </c>
      <c r="R1290" s="52">
        <f>_xlfn.NUMBERVALUE(convertNumberStringPointToNumberComma(LEFT(Q1290,FIND("x",Q1290)-2)))</f>
        <v>83</v>
      </c>
      <c r="S1290" s="52">
        <f>_xlfn.NUMBERVALUE(convertNumberStringPointToNumberComma(LEFT(RIGHT(Q1290,LEN(Q1290)-FIND("x",Q1290)-1),LEN(RIGHT(Q1290,LEN(Q1290)-FIND("x",Q1290)-1))-2)))</f>
        <v>123.8</v>
      </c>
    </row>
    <row r="1291" spans="1:19" x14ac:dyDescent="0.25">
      <c r="A1291" t="s">
        <v>2052</v>
      </c>
      <c r="B1291" t="s">
        <v>592</v>
      </c>
      <c r="E1291" t="s">
        <v>2980</v>
      </c>
      <c r="H1291" t="s">
        <v>27</v>
      </c>
      <c r="M1291" t="s">
        <v>2804</v>
      </c>
      <c r="N1291" t="s">
        <v>903</v>
      </c>
      <c r="O1291" t="s">
        <v>2836</v>
      </c>
      <c r="Q1291" t="s">
        <v>3817</v>
      </c>
      <c r="R1291" s="52">
        <f>_xlfn.NUMBERVALUE(convertNumberStringPointToNumberComma(LEFT(Q1291,FIND("x",Q1291)-2)))</f>
        <v>83</v>
      </c>
      <c r="S1291" s="52">
        <f>_xlfn.NUMBERVALUE(convertNumberStringPointToNumberComma(LEFT(RIGHT(Q1291,LEN(Q1291)-FIND("x",Q1291)-1),LEN(RIGHT(Q1291,LEN(Q1291)-FIND("x",Q1291)-1))-2)))</f>
        <v>130</v>
      </c>
    </row>
    <row r="1292" spans="1:19" x14ac:dyDescent="0.25">
      <c r="A1292" t="s">
        <v>2469</v>
      </c>
      <c r="B1292" t="s">
        <v>919</v>
      </c>
      <c r="E1292" t="s">
        <v>2632</v>
      </c>
      <c r="H1292" t="s">
        <v>27</v>
      </c>
      <c r="L1292" t="s">
        <v>2725</v>
      </c>
      <c r="M1292" t="s">
        <v>8</v>
      </c>
      <c r="N1292" t="s">
        <v>913</v>
      </c>
      <c r="O1292" t="s">
        <v>480</v>
      </c>
      <c r="Q1292" t="s">
        <v>481</v>
      </c>
      <c r="R1292" s="52">
        <f>_xlfn.NUMBERVALUE(convertNumberStringPointToNumberComma(LEFT(Q1292,FIND("x",Q1292)-2)))</f>
        <v>83</v>
      </c>
      <c r="S1292" s="52">
        <f>_xlfn.NUMBERVALUE(convertNumberStringPointToNumberComma(LEFT(RIGHT(Q1292,LEN(Q1292)-FIND("x",Q1292)-1),LEN(RIGHT(Q1292,LEN(Q1292)-FIND("x",Q1292)-1))-2)))</f>
        <v>133</v>
      </c>
    </row>
    <row r="1293" spans="1:19" x14ac:dyDescent="0.25">
      <c r="A1293" t="s">
        <v>1401</v>
      </c>
      <c r="B1293" t="s">
        <v>432</v>
      </c>
      <c r="E1293" t="s">
        <v>2632</v>
      </c>
      <c r="H1293" t="s">
        <v>27</v>
      </c>
      <c r="L1293" t="s">
        <v>2698</v>
      </c>
      <c r="M1293" t="s">
        <v>2802</v>
      </c>
      <c r="N1293" t="s">
        <v>903</v>
      </c>
      <c r="O1293" t="s">
        <v>494</v>
      </c>
      <c r="Q1293" t="s">
        <v>3475</v>
      </c>
      <c r="R1293" s="52">
        <f>_xlfn.NUMBERVALUE(convertNumberStringPointToNumberComma(LEFT(Q1293,FIND("x",Q1293)-2)))</f>
        <v>83</v>
      </c>
      <c r="S1293" s="52">
        <f>_xlfn.NUMBERVALUE(convertNumberStringPointToNumberComma(LEFT(RIGHT(Q1293,LEN(Q1293)-FIND("x",Q1293)-1),LEN(RIGHT(Q1293,LEN(Q1293)-FIND("x",Q1293)-1))-2)))</f>
        <v>134</v>
      </c>
    </row>
    <row r="1294" spans="1:19" x14ac:dyDescent="0.25">
      <c r="A1294" t="s">
        <v>2055</v>
      </c>
      <c r="B1294" t="s">
        <v>592</v>
      </c>
      <c r="E1294" t="s">
        <v>2980</v>
      </c>
      <c r="H1294" t="s">
        <v>27</v>
      </c>
      <c r="M1294" t="s">
        <v>2680</v>
      </c>
      <c r="N1294" t="s">
        <v>2681</v>
      </c>
      <c r="O1294" t="s">
        <v>3032</v>
      </c>
      <c r="Q1294" t="s">
        <v>3819</v>
      </c>
      <c r="R1294" s="52">
        <f>_xlfn.NUMBERVALUE(convertNumberStringPointToNumberComma(LEFT(Q1294,FIND("x",Q1294)-2)))</f>
        <v>83</v>
      </c>
      <c r="S1294" s="52">
        <f>_xlfn.NUMBERVALUE(convertNumberStringPointToNumberComma(LEFT(RIGHT(Q1294,LEN(Q1294)-FIND("x",Q1294)-1),LEN(RIGHT(Q1294,LEN(Q1294)-FIND("x",Q1294)-1))-2)))</f>
        <v>136.30000000000001</v>
      </c>
    </row>
    <row r="1295" spans="1:19" x14ac:dyDescent="0.25">
      <c r="A1295" t="s">
        <v>2049</v>
      </c>
      <c r="B1295" t="s">
        <v>592</v>
      </c>
      <c r="E1295" t="s">
        <v>2980</v>
      </c>
      <c r="H1295" t="s">
        <v>27</v>
      </c>
      <c r="M1295" t="s">
        <v>2763</v>
      </c>
      <c r="N1295" t="s">
        <v>903</v>
      </c>
      <c r="O1295" t="s">
        <v>513</v>
      </c>
      <c r="Q1295" t="s">
        <v>3815</v>
      </c>
      <c r="R1295" s="52">
        <f>_xlfn.NUMBERVALUE(convertNumberStringPointToNumberComma(LEFT(Q1295,FIND("x",Q1295)-2)))</f>
        <v>83</v>
      </c>
      <c r="S1295" s="52">
        <f>_xlfn.NUMBERVALUE(convertNumberStringPointToNumberComma(LEFT(RIGHT(Q1295,LEN(Q1295)-FIND("x",Q1295)-1),LEN(RIGHT(Q1295,LEN(Q1295)-FIND("x",Q1295)-1))-2)))</f>
        <v>137.4</v>
      </c>
    </row>
    <row r="1296" spans="1:19" x14ac:dyDescent="0.25">
      <c r="A1296" t="s">
        <v>2051</v>
      </c>
      <c r="B1296" t="s">
        <v>592</v>
      </c>
      <c r="E1296" t="s">
        <v>2980</v>
      </c>
      <c r="H1296" t="s">
        <v>27</v>
      </c>
      <c r="M1296" t="s">
        <v>2674</v>
      </c>
      <c r="N1296" t="s">
        <v>913</v>
      </c>
      <c r="O1296" t="s">
        <v>2836</v>
      </c>
      <c r="Q1296" t="s">
        <v>3816</v>
      </c>
      <c r="R1296" s="52">
        <f>_xlfn.NUMBERVALUE(convertNumberStringPointToNumberComma(LEFT(Q1296,FIND("x",Q1296)-2)))</f>
        <v>83</v>
      </c>
      <c r="S1296" s="52">
        <f>_xlfn.NUMBERVALUE(convertNumberStringPointToNumberComma(LEFT(RIGHT(Q1296,LEN(Q1296)-FIND("x",Q1296)-1),LEN(RIGHT(Q1296,LEN(Q1296)-FIND("x",Q1296)-1))-2)))</f>
        <v>137.5</v>
      </c>
    </row>
    <row r="1297" spans="1:19" x14ac:dyDescent="0.25">
      <c r="A1297" t="s">
        <v>2058</v>
      </c>
      <c r="B1297" t="s">
        <v>592</v>
      </c>
      <c r="E1297" t="s">
        <v>2980</v>
      </c>
      <c r="H1297" t="s">
        <v>27</v>
      </c>
      <c r="M1297" t="s">
        <v>2748</v>
      </c>
      <c r="N1297" t="s">
        <v>903</v>
      </c>
      <c r="O1297" t="s">
        <v>3036</v>
      </c>
      <c r="Q1297" t="s">
        <v>3821</v>
      </c>
      <c r="R1297" s="52">
        <f>_xlfn.NUMBERVALUE(convertNumberStringPointToNumberComma(LEFT(Q1297,FIND("x",Q1297)-2)))</f>
        <v>83</v>
      </c>
      <c r="S1297" s="52">
        <f>_xlfn.NUMBERVALUE(convertNumberStringPointToNumberComma(LEFT(RIGHT(Q1297,LEN(Q1297)-FIND("x",Q1297)-1),LEN(RIGHT(Q1297,LEN(Q1297)-FIND("x",Q1297)-1))-2)))</f>
        <v>137.80000000000001</v>
      </c>
    </row>
    <row r="1298" spans="1:19" x14ac:dyDescent="0.25">
      <c r="A1298" t="s">
        <v>2281</v>
      </c>
      <c r="B1298" t="s">
        <v>592</v>
      </c>
      <c r="E1298" t="s">
        <v>2643</v>
      </c>
      <c r="H1298" t="s">
        <v>27</v>
      </c>
      <c r="M1298" t="s">
        <v>2748</v>
      </c>
      <c r="N1298" t="s">
        <v>903</v>
      </c>
      <c r="O1298" t="s">
        <v>650</v>
      </c>
      <c r="Q1298" t="s">
        <v>3821</v>
      </c>
      <c r="R1298" s="52">
        <f>_xlfn.NUMBERVALUE(convertNumberStringPointToNumberComma(LEFT(Q1298,FIND("x",Q1298)-2)))</f>
        <v>83</v>
      </c>
      <c r="S1298" s="52">
        <f>_xlfn.NUMBERVALUE(convertNumberStringPointToNumberComma(LEFT(RIGHT(Q1298,LEN(Q1298)-FIND("x",Q1298)-1),LEN(RIGHT(Q1298,LEN(Q1298)-FIND("x",Q1298)-1))-2)))</f>
        <v>137.80000000000001</v>
      </c>
    </row>
    <row r="1299" spans="1:19" x14ac:dyDescent="0.25">
      <c r="A1299" t="s">
        <v>964</v>
      </c>
      <c r="B1299" t="s">
        <v>929</v>
      </c>
      <c r="C1299" s="5">
        <f>convertNumberStringPointToNumberComma(IFERROR(LEFT(B1299,(FIND("-",B1299)-1)),LEFT(B1299,FIND("mm",B1299)-1)))</f>
        <v>100</v>
      </c>
      <c r="D1299" s="5">
        <f>convertNumberStringPointToNumberComma(IFERROR(RIGHT(LEFT(B1299,FIND("m",B1299)-1),LEN(LEFT(B1299,FIND("m",B1299)-1))-FIND("-",LEFT(B1299,FIND("m",B1299)-1))-1),C1299))</f>
        <v>0</v>
      </c>
      <c r="E1299" t="s">
        <v>2641</v>
      </c>
      <c r="F1299" s="9">
        <f>convertNumberStringPointToNumberComma(LEFT(MID(E1299,3,9),IFERROR(FIND("-",MID(E1299,3,9))-2,3)))</f>
        <v>4</v>
      </c>
      <c r="G1299" s="9">
        <f>convertNumberStringPointToNumberComma(RIGHT(E1299,IF(ISERROR(FIND(".",RIGHT(E1299,3))),1,3)))</f>
        <v>6.3</v>
      </c>
      <c r="H1299" t="s">
        <v>15</v>
      </c>
      <c r="I1299" s="5" t="str">
        <f>IF(H1299="none",0,LEFT(H1299,LEN(H1299)-2))</f>
        <v>72</v>
      </c>
      <c r="J1299" s="5" t="s">
        <v>188</v>
      </c>
      <c r="K1299" s="10">
        <f>IF(J1299="",0,convertNumberStringPointToNumberComma(LEFT(J1299,LEN(J1299)-1)))</f>
        <v>0.11</v>
      </c>
      <c r="L1299" t="s">
        <v>2703</v>
      </c>
      <c r="M1299" t="s">
        <v>2680</v>
      </c>
      <c r="N1299" t="s">
        <v>2681</v>
      </c>
      <c r="O1299" t="s">
        <v>81</v>
      </c>
      <c r="P1299" s="5" t="str">
        <f>LEFT(O1299,LEN(O1299)-1)</f>
        <v>985</v>
      </c>
      <c r="Q1299" t="s">
        <v>3228</v>
      </c>
      <c r="R1299" s="52">
        <f>_xlfn.NUMBERVALUE(convertNumberStringPointToNumberComma(LEFT(Q1299,FIND("x",Q1299)-2)))</f>
        <v>83</v>
      </c>
      <c r="S1299" s="52">
        <f>_xlfn.NUMBERVALUE(convertNumberStringPointToNumberComma(LEFT(RIGHT(Q1299,LEN(Q1299)-FIND("x",Q1299)-1),LEN(RIGHT(Q1299,LEN(Q1299)-FIND("x",Q1299)-1))-2)))</f>
        <v>172</v>
      </c>
    </row>
    <row r="1300" spans="1:19" x14ac:dyDescent="0.25">
      <c r="A1300" t="s">
        <v>1660</v>
      </c>
      <c r="B1300" t="s">
        <v>572</v>
      </c>
      <c r="E1300" t="s">
        <v>2633</v>
      </c>
      <c r="H1300" t="s">
        <v>27</v>
      </c>
      <c r="L1300" t="s">
        <v>2677</v>
      </c>
      <c r="M1300" t="s">
        <v>2802</v>
      </c>
      <c r="N1300" t="s">
        <v>903</v>
      </c>
      <c r="O1300" t="s">
        <v>2735</v>
      </c>
      <c r="Q1300" t="s">
        <v>3601</v>
      </c>
      <c r="R1300" s="52">
        <f>_xlfn.NUMBERVALUE(convertNumberStringPointToNumberComma(LEFT(Q1300,FIND("x",Q1300)-2)))</f>
        <v>83</v>
      </c>
      <c r="S1300" s="52">
        <f>_xlfn.NUMBERVALUE(convertNumberStringPointToNumberComma(LEFT(RIGHT(Q1300,LEN(Q1300)-FIND("x",Q1300)-1),LEN(RIGHT(Q1300,LEN(Q1300)-FIND("x",Q1300)-1))-2)))</f>
        <v>184</v>
      </c>
    </row>
    <row r="1301" spans="1:19" x14ac:dyDescent="0.25">
      <c r="A1301" t="s">
        <v>1927</v>
      </c>
      <c r="B1301" t="s">
        <v>572</v>
      </c>
      <c r="E1301" t="s">
        <v>2633</v>
      </c>
      <c r="H1301" t="s">
        <v>27</v>
      </c>
      <c r="L1301" t="s">
        <v>2692</v>
      </c>
      <c r="M1301" t="s">
        <v>2989</v>
      </c>
      <c r="N1301" t="s">
        <v>913</v>
      </c>
      <c r="O1301" t="s">
        <v>2694</v>
      </c>
      <c r="Q1301" t="s">
        <v>3754</v>
      </c>
      <c r="R1301" s="52">
        <f>_xlfn.NUMBERVALUE(convertNumberStringPointToNumberComma(LEFT(Q1301,FIND("x",Q1301)-2)))</f>
        <v>83</v>
      </c>
      <c r="S1301" s="52">
        <f>_xlfn.NUMBERVALUE(convertNumberStringPointToNumberComma(LEFT(RIGHT(Q1301,LEN(Q1301)-FIND("x",Q1301)-1),LEN(RIGHT(Q1301,LEN(Q1301)-FIND("x",Q1301)-1))-2)))</f>
        <v>207.5</v>
      </c>
    </row>
    <row r="1302" spans="1:19" x14ac:dyDescent="0.25">
      <c r="A1302" t="s">
        <v>1662</v>
      </c>
      <c r="B1302" t="s">
        <v>441</v>
      </c>
      <c r="E1302" t="s">
        <v>2654</v>
      </c>
      <c r="H1302" t="s">
        <v>27</v>
      </c>
      <c r="M1302" t="s">
        <v>8</v>
      </c>
      <c r="N1302" t="s">
        <v>913</v>
      </c>
      <c r="O1302" t="s">
        <v>2972</v>
      </c>
      <c r="Q1302" t="s">
        <v>449</v>
      </c>
      <c r="R1302" s="52">
        <f>_xlfn.NUMBERVALUE(convertNumberStringPointToNumberComma(LEFT(Q1302,FIND("x",Q1302)-2)))</f>
        <v>83</v>
      </c>
      <c r="S1302" s="52">
        <f>_xlfn.NUMBERVALUE(convertNumberStringPointToNumberComma(LEFT(RIGHT(Q1302,LEN(Q1302)-FIND("x",Q1302)-1),LEN(RIGHT(Q1302,LEN(Q1302)-FIND("x",Q1302)-1))-2)))</f>
        <v>85.9</v>
      </c>
    </row>
    <row r="1303" spans="1:19" x14ac:dyDescent="0.25">
      <c r="A1303" t="s">
        <v>2408</v>
      </c>
      <c r="B1303" t="s">
        <v>441</v>
      </c>
      <c r="E1303" t="s">
        <v>2635</v>
      </c>
      <c r="H1303" t="s">
        <v>27</v>
      </c>
      <c r="M1303" t="s">
        <v>8</v>
      </c>
      <c r="N1303" t="s">
        <v>913</v>
      </c>
      <c r="O1303" t="s">
        <v>448</v>
      </c>
      <c r="Q1303" t="s">
        <v>449</v>
      </c>
      <c r="R1303" s="52">
        <f>_xlfn.NUMBERVALUE(convertNumberStringPointToNumberComma(LEFT(Q1303,FIND("x",Q1303)-2)))</f>
        <v>83</v>
      </c>
      <c r="S1303" s="52">
        <f>_xlfn.NUMBERVALUE(convertNumberStringPointToNumberComma(LEFT(RIGHT(Q1303,LEN(Q1303)-FIND("x",Q1303)-1),LEN(RIGHT(Q1303,LEN(Q1303)-FIND("x",Q1303)-1))-2)))</f>
        <v>85.9</v>
      </c>
    </row>
    <row r="1304" spans="1:19" x14ac:dyDescent="0.25">
      <c r="A1304" t="s">
        <v>2211</v>
      </c>
      <c r="B1304" t="s">
        <v>263</v>
      </c>
      <c r="E1304" t="s">
        <v>3014</v>
      </c>
      <c r="H1304" t="s">
        <v>27</v>
      </c>
      <c r="M1304" t="s">
        <v>8</v>
      </c>
      <c r="N1304" t="s">
        <v>903</v>
      </c>
      <c r="O1304" t="s">
        <v>726</v>
      </c>
      <c r="Q1304" t="s">
        <v>3868</v>
      </c>
      <c r="R1304" s="52">
        <f>_xlfn.NUMBERVALUE(convertNumberStringPointToNumberComma(LEFT(Q1304,FIND("x",Q1304)-2)))</f>
        <v>83</v>
      </c>
      <c r="S1304" s="52">
        <f>_xlfn.NUMBERVALUE(convertNumberStringPointToNumberComma(LEFT(RIGHT(Q1304,LEN(Q1304)-FIND("x",Q1304)-1),LEN(RIGHT(Q1304,LEN(Q1304)-FIND("x",Q1304)-1))-2)))</f>
        <v>86.9</v>
      </c>
    </row>
    <row r="1305" spans="1:19" x14ac:dyDescent="0.25">
      <c r="A1305" t="s">
        <v>2303</v>
      </c>
      <c r="B1305" t="s">
        <v>263</v>
      </c>
      <c r="E1305" t="s">
        <v>3014</v>
      </c>
      <c r="H1305" t="s">
        <v>27</v>
      </c>
      <c r="M1305" t="s">
        <v>8</v>
      </c>
      <c r="N1305" t="s">
        <v>903</v>
      </c>
      <c r="O1305" t="s">
        <v>726</v>
      </c>
      <c r="Q1305" t="s">
        <v>3868</v>
      </c>
      <c r="R1305" s="52">
        <f>_xlfn.NUMBERVALUE(convertNumberStringPointToNumberComma(LEFT(Q1305,FIND("x",Q1305)-2)))</f>
        <v>83</v>
      </c>
      <c r="S1305" s="52">
        <f>_xlfn.NUMBERVALUE(convertNumberStringPointToNumberComma(LEFT(RIGHT(Q1305,LEN(Q1305)-FIND("x",Q1305)-1),LEN(RIGHT(Q1305,LEN(Q1305)-FIND("x",Q1305)-1))-2)))</f>
        <v>86.9</v>
      </c>
    </row>
    <row r="1306" spans="1:19" x14ac:dyDescent="0.25">
      <c r="A1306" t="s">
        <v>2407</v>
      </c>
      <c r="B1306" t="s">
        <v>441</v>
      </c>
      <c r="E1306" t="s">
        <v>2635</v>
      </c>
      <c r="H1306" t="s">
        <v>27</v>
      </c>
      <c r="M1306" t="s">
        <v>2802</v>
      </c>
      <c r="N1306" t="s">
        <v>913</v>
      </c>
      <c r="O1306" t="s">
        <v>3132</v>
      </c>
      <c r="Q1306" t="s">
        <v>3868</v>
      </c>
      <c r="R1306" s="52">
        <f>_xlfn.NUMBERVALUE(convertNumberStringPointToNumberComma(LEFT(Q1306,FIND("x",Q1306)-2)))</f>
        <v>83</v>
      </c>
      <c r="S1306" s="52">
        <f>_xlfn.NUMBERVALUE(convertNumberStringPointToNumberComma(LEFT(RIGHT(Q1306,LEN(Q1306)-FIND("x",Q1306)-1),LEN(RIGHT(Q1306,LEN(Q1306)-FIND("x",Q1306)-1))-2)))</f>
        <v>86.9</v>
      </c>
    </row>
    <row r="1307" spans="1:19" x14ac:dyDescent="0.25">
      <c r="A1307" t="s">
        <v>2415</v>
      </c>
      <c r="B1307" t="s">
        <v>441</v>
      </c>
      <c r="E1307" t="s">
        <v>2654</v>
      </c>
      <c r="H1307" t="s">
        <v>27</v>
      </c>
      <c r="M1307" t="s">
        <v>2802</v>
      </c>
      <c r="N1307" t="s">
        <v>913</v>
      </c>
      <c r="O1307" t="s">
        <v>837</v>
      </c>
      <c r="Q1307" t="s">
        <v>3868</v>
      </c>
      <c r="R1307" s="52">
        <f>_xlfn.NUMBERVALUE(convertNumberStringPointToNumberComma(LEFT(Q1307,FIND("x",Q1307)-2)))</f>
        <v>83</v>
      </c>
      <c r="S1307" s="52">
        <f>_xlfn.NUMBERVALUE(convertNumberStringPointToNumberComma(LEFT(RIGHT(Q1307,LEN(Q1307)-FIND("x",Q1307)-1),LEN(RIGHT(Q1307,LEN(Q1307)-FIND("x",Q1307)-1))-2)))</f>
        <v>86.9</v>
      </c>
    </row>
    <row r="1308" spans="1:19" x14ac:dyDescent="0.25">
      <c r="A1308" t="s">
        <v>2404</v>
      </c>
      <c r="B1308" t="s">
        <v>441</v>
      </c>
      <c r="E1308" t="s">
        <v>2635</v>
      </c>
      <c r="H1308" t="s">
        <v>27</v>
      </c>
      <c r="M1308" t="s">
        <v>2757</v>
      </c>
      <c r="N1308" t="s">
        <v>913</v>
      </c>
      <c r="O1308" t="s">
        <v>452</v>
      </c>
      <c r="Q1308" t="s">
        <v>3938</v>
      </c>
      <c r="R1308" s="52">
        <f>_xlfn.NUMBERVALUE(convertNumberStringPointToNumberComma(LEFT(Q1308,FIND("x",Q1308)-2)))</f>
        <v>83</v>
      </c>
      <c r="S1308" s="52">
        <f>_xlfn.NUMBERVALUE(convertNumberStringPointToNumberComma(LEFT(RIGHT(Q1308,LEN(Q1308)-FIND("x",Q1308)-1),LEN(RIGHT(Q1308,LEN(Q1308)-FIND("x",Q1308)-1))-2)))</f>
        <v>87.9</v>
      </c>
    </row>
    <row r="1309" spans="1:19" x14ac:dyDescent="0.25">
      <c r="A1309" t="s">
        <v>2413</v>
      </c>
      <c r="B1309" t="s">
        <v>441</v>
      </c>
      <c r="E1309" t="s">
        <v>2654</v>
      </c>
      <c r="H1309" t="s">
        <v>27</v>
      </c>
      <c r="M1309" t="s">
        <v>2757</v>
      </c>
      <c r="N1309" t="s">
        <v>913</v>
      </c>
      <c r="O1309" t="s">
        <v>2741</v>
      </c>
      <c r="Q1309" t="s">
        <v>3938</v>
      </c>
      <c r="R1309" s="52">
        <f>_xlfn.NUMBERVALUE(convertNumberStringPointToNumberComma(LEFT(Q1309,FIND("x",Q1309)-2)))</f>
        <v>83</v>
      </c>
      <c r="S1309" s="52">
        <f>_xlfn.NUMBERVALUE(convertNumberStringPointToNumberComma(LEFT(RIGHT(Q1309,LEN(Q1309)-FIND("x",Q1309)-1),LEN(RIGHT(Q1309,LEN(Q1309)-FIND("x",Q1309)-1))-2)))</f>
        <v>87.9</v>
      </c>
    </row>
    <row r="1310" spans="1:19" x14ac:dyDescent="0.25">
      <c r="A1310" t="s">
        <v>1144</v>
      </c>
      <c r="B1310" t="s">
        <v>263</v>
      </c>
      <c r="C1310" s="5">
        <f>convertNumberStringPointToNumberComma(IFERROR(LEFT(B1310,(FIND("-",B1310)-1)),LEFT(B1310,FIND("mm",B1310)-1)))</f>
        <v>16</v>
      </c>
      <c r="D1310" s="5">
        <f>convertNumberStringPointToNumberComma(IFERROR(RIGHT(LEFT(B1310,FIND("m",B1310)-1),LEN(LEFT(B1310,FIND("m",B1310)-1))-FIND("-",LEFT(B1310,FIND("m",B1310)-1))-1),C1310))</f>
        <v>16</v>
      </c>
      <c r="E1310" t="s">
        <v>2638</v>
      </c>
      <c r="F1310" s="9">
        <f>convertNumberStringPointToNumberComma(LEFT(MID(E1310,3,9),IFERROR(FIND("-",MID(E1310,3,9))-2,3)))</f>
        <v>2</v>
      </c>
      <c r="G1310" s="9">
        <f>convertNumberStringPointToNumberComma(RIGHT(E1310,IF(ISERROR(FIND(".",RIGHT(E1310,3))),1,3)))</f>
        <v>2</v>
      </c>
      <c r="H1310" t="s">
        <v>27</v>
      </c>
      <c r="I1310" s="5" t="str">
        <f>IF(H1310="none",0,LEFT(H1310,LEN(H1310)-2))</f>
        <v>77</v>
      </c>
      <c r="J1310" s="5" t="s">
        <v>353</v>
      </c>
      <c r="K1310" s="10">
        <f>IF(J1310="",0,convertNumberStringPointToNumberComma(LEFT(J1310,LEN(J1310)-1)))</f>
        <v>0.28999999999999998</v>
      </c>
      <c r="M1310" t="s">
        <v>8</v>
      </c>
      <c r="N1310" t="s">
        <v>903</v>
      </c>
      <c r="O1310" t="s">
        <v>2807</v>
      </c>
      <c r="P1310" s="5" t="str">
        <f>LEFT(O1310,LEN(O1310)-1)</f>
        <v>571</v>
      </c>
      <c r="Q1310" t="s">
        <v>34</v>
      </c>
      <c r="R1310" s="52">
        <f>_xlfn.NUMBERVALUE(convertNumberStringPointToNumberComma(LEFT(Q1310,FIND("x",Q1310)-2)))</f>
        <v>83</v>
      </c>
      <c r="S1310" s="52">
        <f>_xlfn.NUMBERVALUE(convertNumberStringPointToNumberComma(LEFT(RIGHT(Q1310,LEN(Q1310)-FIND("x",Q1310)-1),LEN(RIGHT(Q1310,LEN(Q1310)-FIND("x",Q1310)-1))-2)))</f>
        <v>87</v>
      </c>
    </row>
    <row r="1311" spans="1:19" x14ac:dyDescent="0.25">
      <c r="A1311" t="s">
        <v>1663</v>
      </c>
      <c r="B1311" t="s">
        <v>441</v>
      </c>
      <c r="E1311" t="s">
        <v>2654</v>
      </c>
      <c r="H1311" t="s">
        <v>27</v>
      </c>
      <c r="M1311" t="s">
        <v>2682</v>
      </c>
      <c r="N1311" t="s">
        <v>913</v>
      </c>
      <c r="O1311" t="s">
        <v>2741</v>
      </c>
      <c r="Q1311" t="s">
        <v>453</v>
      </c>
      <c r="R1311" s="52">
        <f>_xlfn.NUMBERVALUE(convertNumberStringPointToNumberComma(LEFT(Q1311,FIND("x",Q1311)-2)))</f>
        <v>83</v>
      </c>
      <c r="S1311" s="52">
        <f>_xlfn.NUMBERVALUE(convertNumberStringPointToNumberComma(LEFT(RIGHT(Q1311,LEN(Q1311)-FIND("x",Q1311)-1),LEN(RIGHT(Q1311,LEN(Q1311)-FIND("x",Q1311)-1))-2)))</f>
        <v>88.4</v>
      </c>
    </row>
    <row r="1312" spans="1:19" x14ac:dyDescent="0.25">
      <c r="A1312" t="s">
        <v>2402</v>
      </c>
      <c r="B1312" t="s">
        <v>441</v>
      </c>
      <c r="E1312" t="s">
        <v>2635</v>
      </c>
      <c r="H1312" t="s">
        <v>27</v>
      </c>
      <c r="M1312" t="s">
        <v>2682</v>
      </c>
      <c r="N1312" t="s">
        <v>913</v>
      </c>
      <c r="O1312" t="s">
        <v>3131</v>
      </c>
      <c r="Q1312" t="s">
        <v>453</v>
      </c>
      <c r="R1312" s="52">
        <f>_xlfn.NUMBERVALUE(convertNumberStringPointToNumberComma(LEFT(Q1312,FIND("x",Q1312)-2)))</f>
        <v>83</v>
      </c>
      <c r="S1312" s="52">
        <f>_xlfn.NUMBERVALUE(convertNumberStringPointToNumberComma(LEFT(RIGHT(Q1312,LEN(Q1312)-FIND("x",Q1312)-1),LEN(RIGHT(Q1312,LEN(Q1312)-FIND("x",Q1312)-1))-2)))</f>
        <v>88.4</v>
      </c>
    </row>
    <row r="1313" spans="1:19" x14ac:dyDescent="0.25">
      <c r="A1313" t="s">
        <v>2590</v>
      </c>
      <c r="B1313" t="s">
        <v>505</v>
      </c>
      <c r="E1313" t="s">
        <v>2643</v>
      </c>
      <c r="H1313" t="s">
        <v>27</v>
      </c>
      <c r="L1313" t="s">
        <v>3185</v>
      </c>
      <c r="M1313" t="s">
        <v>8</v>
      </c>
      <c r="N1313" t="s">
        <v>913</v>
      </c>
      <c r="O1313" t="s">
        <v>508</v>
      </c>
      <c r="Q1313" t="s">
        <v>4058</v>
      </c>
      <c r="R1313" s="52">
        <f>_xlfn.NUMBERVALUE(convertNumberStringPointToNumberComma(LEFT(Q1313,FIND("x",Q1313)-2)))</f>
        <v>83</v>
      </c>
      <c r="S1313" s="52">
        <f>_xlfn.NUMBERVALUE(convertNumberStringPointToNumberComma(LEFT(RIGHT(Q1313,LEN(Q1313)-FIND("x",Q1313)-1),LEN(RIGHT(Q1313,LEN(Q1313)-FIND("x",Q1313)-1))-2)))</f>
        <v>88.5</v>
      </c>
    </row>
    <row r="1314" spans="1:19" x14ac:dyDescent="0.25">
      <c r="A1314" t="s">
        <v>2214</v>
      </c>
      <c r="B1314" t="s">
        <v>263</v>
      </c>
      <c r="E1314" t="s">
        <v>3014</v>
      </c>
      <c r="H1314" t="s">
        <v>27</v>
      </c>
      <c r="M1314" t="s">
        <v>2757</v>
      </c>
      <c r="N1314" t="s">
        <v>903</v>
      </c>
      <c r="O1314" t="s">
        <v>356</v>
      </c>
      <c r="Q1314" t="s">
        <v>3871</v>
      </c>
      <c r="R1314" s="52">
        <f>_xlfn.NUMBERVALUE(convertNumberStringPointToNumberComma(LEFT(Q1314,FIND("x",Q1314)-2)))</f>
        <v>83</v>
      </c>
      <c r="S1314" s="52">
        <f>_xlfn.NUMBERVALUE(convertNumberStringPointToNumberComma(LEFT(RIGHT(Q1314,LEN(Q1314)-FIND("x",Q1314)-1),LEN(RIGHT(Q1314,LEN(Q1314)-FIND("x",Q1314)-1))-2)))</f>
        <v>88.9</v>
      </c>
    </row>
    <row r="1315" spans="1:19" x14ac:dyDescent="0.25">
      <c r="B1315" t="s">
        <v>586</v>
      </c>
      <c r="E1315" t="s">
        <v>2649</v>
      </c>
      <c r="H1315" t="s">
        <v>27</v>
      </c>
      <c r="L1315" t="s">
        <v>3149</v>
      </c>
      <c r="M1315" t="s">
        <v>3147</v>
      </c>
      <c r="N1315" t="s">
        <v>2959</v>
      </c>
      <c r="O1315" t="s">
        <v>108</v>
      </c>
      <c r="Q1315" t="s">
        <v>3958</v>
      </c>
      <c r="R1315" s="52">
        <f>_xlfn.NUMBERVALUE(convertNumberStringPointToNumberComma(LEFT(Q1315,FIND("x",Q1315)-2)))</f>
        <v>83</v>
      </c>
      <c r="S1315" s="52">
        <f>_xlfn.NUMBERVALUE(convertNumberStringPointToNumberComma(LEFT(RIGHT(Q1315,LEN(Q1315)-FIND("x",Q1315)-1),LEN(RIGHT(Q1315,LEN(Q1315)-FIND("x",Q1315)-1))-2)))</f>
        <v>88</v>
      </c>
    </row>
    <row r="1316" spans="1:19" x14ac:dyDescent="0.25">
      <c r="A1316" t="s">
        <v>1826</v>
      </c>
      <c r="B1316" t="s">
        <v>263</v>
      </c>
      <c r="E1316" t="s">
        <v>2638</v>
      </c>
      <c r="H1316" t="s">
        <v>27</v>
      </c>
      <c r="M1316" t="s">
        <v>2682</v>
      </c>
      <c r="N1316" t="s">
        <v>903</v>
      </c>
      <c r="O1316" t="s">
        <v>3026</v>
      </c>
      <c r="Q1316" t="s">
        <v>3701</v>
      </c>
      <c r="R1316" s="52">
        <f>_xlfn.NUMBERVALUE(convertNumberStringPointToNumberComma(LEFT(Q1316,FIND("x",Q1316)-2)))</f>
        <v>83</v>
      </c>
      <c r="S1316" s="52">
        <f>_xlfn.NUMBERVALUE(convertNumberStringPointToNumberComma(LEFT(RIGHT(Q1316,LEN(Q1316)-FIND("x",Q1316)-1),LEN(RIGHT(Q1316,LEN(Q1316)-FIND("x",Q1316)-1))-2)))</f>
        <v>89.4</v>
      </c>
    </row>
    <row r="1317" spans="1:19" x14ac:dyDescent="0.25">
      <c r="A1317" t="s">
        <v>1827</v>
      </c>
      <c r="B1317" t="s">
        <v>263</v>
      </c>
      <c r="E1317" t="s">
        <v>2638</v>
      </c>
      <c r="H1317" t="s">
        <v>27</v>
      </c>
      <c r="M1317" t="s">
        <v>2763</v>
      </c>
      <c r="N1317" t="s">
        <v>903</v>
      </c>
      <c r="O1317" t="s">
        <v>3026</v>
      </c>
      <c r="Q1317" t="s">
        <v>3701</v>
      </c>
      <c r="R1317" s="52">
        <f>_xlfn.NUMBERVALUE(convertNumberStringPointToNumberComma(LEFT(Q1317,FIND("x",Q1317)-2)))</f>
        <v>83</v>
      </c>
      <c r="S1317" s="52">
        <f>_xlfn.NUMBERVALUE(convertNumberStringPointToNumberComma(LEFT(RIGHT(Q1317,LEN(Q1317)-FIND("x",Q1317)-1),LEN(RIGHT(Q1317,LEN(Q1317)-FIND("x",Q1317)-1))-2)))</f>
        <v>89.4</v>
      </c>
    </row>
    <row r="1318" spans="1:19" x14ac:dyDescent="0.25">
      <c r="A1318" t="s">
        <v>1828</v>
      </c>
      <c r="B1318" t="s">
        <v>263</v>
      </c>
      <c r="E1318" t="s">
        <v>2638</v>
      </c>
      <c r="H1318" t="s">
        <v>27</v>
      </c>
      <c r="M1318" t="s">
        <v>2680</v>
      </c>
      <c r="N1318" t="s">
        <v>2681</v>
      </c>
      <c r="O1318" t="s">
        <v>3026</v>
      </c>
      <c r="Q1318" t="s">
        <v>3701</v>
      </c>
      <c r="R1318" s="52">
        <f>_xlfn.NUMBERVALUE(convertNumberStringPointToNumberComma(LEFT(Q1318,FIND("x",Q1318)-2)))</f>
        <v>83</v>
      </c>
      <c r="S1318" s="52">
        <f>_xlfn.NUMBERVALUE(convertNumberStringPointToNumberComma(LEFT(RIGHT(Q1318,LEN(Q1318)-FIND("x",Q1318)-1),LEN(RIGHT(Q1318,LEN(Q1318)-FIND("x",Q1318)-1))-2)))</f>
        <v>89.4</v>
      </c>
    </row>
    <row r="1319" spans="1:19" x14ac:dyDescent="0.25">
      <c r="A1319" t="s">
        <v>1829</v>
      </c>
      <c r="B1319" t="s">
        <v>263</v>
      </c>
      <c r="E1319" t="s">
        <v>2638</v>
      </c>
      <c r="H1319" t="s">
        <v>27</v>
      </c>
      <c r="M1319" t="s">
        <v>2681</v>
      </c>
      <c r="N1319" t="s">
        <v>2681</v>
      </c>
      <c r="O1319" t="s">
        <v>3026</v>
      </c>
      <c r="Q1319" t="s">
        <v>3701</v>
      </c>
      <c r="R1319" s="52">
        <f>_xlfn.NUMBERVALUE(convertNumberStringPointToNumberComma(LEFT(Q1319,FIND("x",Q1319)-2)))</f>
        <v>83</v>
      </c>
      <c r="S1319" s="52">
        <f>_xlfn.NUMBERVALUE(convertNumberStringPointToNumberComma(LEFT(RIGHT(Q1319,LEN(Q1319)-FIND("x",Q1319)-1),LEN(RIGHT(Q1319,LEN(Q1319)-FIND("x",Q1319)-1))-2)))</f>
        <v>89.4</v>
      </c>
    </row>
    <row r="1320" spans="1:19" x14ac:dyDescent="0.25">
      <c r="A1320" t="s">
        <v>1830</v>
      </c>
      <c r="B1320" t="s">
        <v>263</v>
      </c>
      <c r="E1320" t="s">
        <v>2638</v>
      </c>
      <c r="H1320" t="s">
        <v>27</v>
      </c>
      <c r="M1320" t="s">
        <v>2802</v>
      </c>
      <c r="N1320" t="s">
        <v>903</v>
      </c>
      <c r="O1320" t="s">
        <v>3026</v>
      </c>
      <c r="Q1320" t="s">
        <v>3701</v>
      </c>
      <c r="R1320" s="52">
        <f>_xlfn.NUMBERVALUE(convertNumberStringPointToNumberComma(LEFT(Q1320,FIND("x",Q1320)-2)))</f>
        <v>83</v>
      </c>
      <c r="S1320" s="52">
        <f>_xlfn.NUMBERVALUE(convertNumberStringPointToNumberComma(LEFT(RIGHT(Q1320,LEN(Q1320)-FIND("x",Q1320)-1),LEN(RIGHT(Q1320,LEN(Q1320)-FIND("x",Q1320)-1))-2)))</f>
        <v>89.4</v>
      </c>
    </row>
    <row r="1321" spans="1:19" x14ac:dyDescent="0.25">
      <c r="A1321" t="s">
        <v>1831</v>
      </c>
      <c r="B1321" t="s">
        <v>263</v>
      </c>
      <c r="E1321" t="s">
        <v>2638</v>
      </c>
      <c r="H1321" t="s">
        <v>27</v>
      </c>
      <c r="M1321" t="s">
        <v>2804</v>
      </c>
      <c r="N1321" t="s">
        <v>903</v>
      </c>
      <c r="O1321" t="s">
        <v>3026</v>
      </c>
      <c r="Q1321" t="s">
        <v>3701</v>
      </c>
      <c r="R1321" s="52">
        <f>_xlfn.NUMBERVALUE(convertNumberStringPointToNumberComma(LEFT(Q1321,FIND("x",Q1321)-2)))</f>
        <v>83</v>
      </c>
      <c r="S1321" s="52">
        <f>_xlfn.NUMBERVALUE(convertNumberStringPointToNumberComma(LEFT(RIGHT(Q1321,LEN(Q1321)-FIND("x",Q1321)-1),LEN(RIGHT(Q1321,LEN(Q1321)-FIND("x",Q1321)-1))-2)))</f>
        <v>89.4</v>
      </c>
    </row>
    <row r="1322" spans="1:19" x14ac:dyDescent="0.25">
      <c r="A1322" t="s">
        <v>1832</v>
      </c>
      <c r="B1322" t="s">
        <v>263</v>
      </c>
      <c r="E1322" t="s">
        <v>2638</v>
      </c>
      <c r="H1322" t="s">
        <v>27</v>
      </c>
      <c r="M1322" t="s">
        <v>2748</v>
      </c>
      <c r="N1322" t="s">
        <v>903</v>
      </c>
      <c r="O1322" t="s">
        <v>3026</v>
      </c>
      <c r="Q1322" t="s">
        <v>3701</v>
      </c>
      <c r="R1322" s="52">
        <f>_xlfn.NUMBERVALUE(convertNumberStringPointToNumberComma(LEFT(Q1322,FIND("x",Q1322)-2)))</f>
        <v>83</v>
      </c>
      <c r="S1322" s="52">
        <f>_xlfn.NUMBERVALUE(convertNumberStringPointToNumberComma(LEFT(RIGHT(Q1322,LEN(Q1322)-FIND("x",Q1322)-1),LEN(RIGHT(Q1322,LEN(Q1322)-FIND("x",Q1322)-1))-2)))</f>
        <v>89.4</v>
      </c>
    </row>
    <row r="1323" spans="1:19" x14ac:dyDescent="0.25">
      <c r="A1323" t="s">
        <v>1833</v>
      </c>
      <c r="B1323" t="s">
        <v>263</v>
      </c>
      <c r="E1323" t="s">
        <v>2638</v>
      </c>
      <c r="H1323" t="s">
        <v>27</v>
      </c>
      <c r="M1323" t="s">
        <v>2674</v>
      </c>
      <c r="N1323" t="s">
        <v>903</v>
      </c>
      <c r="O1323" t="s">
        <v>3026</v>
      </c>
      <c r="Q1323" t="s">
        <v>3701</v>
      </c>
      <c r="R1323" s="52">
        <f>_xlfn.NUMBERVALUE(convertNumberStringPointToNumberComma(LEFT(Q1323,FIND("x",Q1323)-2)))</f>
        <v>83</v>
      </c>
      <c r="S1323" s="52">
        <f>_xlfn.NUMBERVALUE(convertNumberStringPointToNumberComma(LEFT(RIGHT(Q1323,LEN(Q1323)-FIND("x",Q1323)-1),LEN(RIGHT(Q1323,LEN(Q1323)-FIND("x",Q1323)-1))-2)))</f>
        <v>89.4</v>
      </c>
    </row>
    <row r="1324" spans="1:19" x14ac:dyDescent="0.25">
      <c r="A1324" t="s">
        <v>1834</v>
      </c>
      <c r="B1324" t="s">
        <v>263</v>
      </c>
      <c r="E1324" t="s">
        <v>2638</v>
      </c>
      <c r="H1324" t="s">
        <v>27</v>
      </c>
      <c r="M1324" t="s">
        <v>2757</v>
      </c>
      <c r="N1324" t="s">
        <v>903</v>
      </c>
      <c r="O1324" t="s">
        <v>3026</v>
      </c>
      <c r="Q1324" t="s">
        <v>3701</v>
      </c>
      <c r="R1324" s="52">
        <f>_xlfn.NUMBERVALUE(convertNumberStringPointToNumberComma(LEFT(Q1324,FIND("x",Q1324)-2)))</f>
        <v>83</v>
      </c>
      <c r="S1324" s="52">
        <f>_xlfn.NUMBERVALUE(convertNumberStringPointToNumberComma(LEFT(RIGHT(Q1324,LEN(Q1324)-FIND("x",Q1324)-1),LEN(RIGHT(Q1324,LEN(Q1324)-FIND("x",Q1324)-1))-2)))</f>
        <v>89.4</v>
      </c>
    </row>
    <row r="1325" spans="1:19" x14ac:dyDescent="0.25">
      <c r="A1325" t="s">
        <v>1835</v>
      </c>
      <c r="B1325" t="s">
        <v>263</v>
      </c>
      <c r="E1325" t="s">
        <v>2638</v>
      </c>
      <c r="H1325" t="s">
        <v>27</v>
      </c>
      <c r="M1325" t="s">
        <v>8</v>
      </c>
      <c r="N1325" t="s">
        <v>903</v>
      </c>
      <c r="O1325" t="s">
        <v>3026</v>
      </c>
      <c r="Q1325" t="s">
        <v>3701</v>
      </c>
      <c r="R1325" s="52">
        <f>_xlfn.NUMBERVALUE(convertNumberStringPointToNumberComma(LEFT(Q1325,FIND("x",Q1325)-2)))</f>
        <v>83</v>
      </c>
      <c r="S1325" s="52">
        <f>_xlfn.NUMBERVALUE(convertNumberStringPointToNumberComma(LEFT(RIGHT(Q1325,LEN(Q1325)-FIND("x",Q1325)-1),LEN(RIGHT(Q1325,LEN(Q1325)-FIND("x",Q1325)-1))-2)))</f>
        <v>89.4</v>
      </c>
    </row>
    <row r="1326" spans="1:19" x14ac:dyDescent="0.25">
      <c r="A1326" t="s">
        <v>2206</v>
      </c>
      <c r="B1326" t="s">
        <v>263</v>
      </c>
      <c r="E1326" t="s">
        <v>3014</v>
      </c>
      <c r="H1326" t="s">
        <v>27</v>
      </c>
      <c r="M1326" t="s">
        <v>2682</v>
      </c>
      <c r="N1326" t="s">
        <v>903</v>
      </c>
      <c r="O1326" t="s">
        <v>2945</v>
      </c>
      <c r="Q1326" t="s">
        <v>3701</v>
      </c>
      <c r="R1326" s="52">
        <f>_xlfn.NUMBERVALUE(convertNumberStringPointToNumberComma(LEFT(Q1326,FIND("x",Q1326)-2)))</f>
        <v>83</v>
      </c>
      <c r="S1326" s="52">
        <f>_xlfn.NUMBERVALUE(convertNumberStringPointToNumberComma(LEFT(RIGHT(Q1326,LEN(Q1326)-FIND("x",Q1326)-1),LEN(RIGHT(Q1326,LEN(Q1326)-FIND("x",Q1326)-1))-2)))</f>
        <v>89.4</v>
      </c>
    </row>
    <row r="1327" spans="1:19" x14ac:dyDescent="0.25">
      <c r="A1327" t="s">
        <v>1397</v>
      </c>
      <c r="B1327" t="s">
        <v>592</v>
      </c>
      <c r="E1327" t="s">
        <v>2643</v>
      </c>
      <c r="H1327" t="s">
        <v>56</v>
      </c>
      <c r="L1327" t="s">
        <v>2698</v>
      </c>
      <c r="M1327" t="s">
        <v>8</v>
      </c>
      <c r="N1327" t="s">
        <v>913</v>
      </c>
      <c r="O1327" t="s">
        <v>123</v>
      </c>
      <c r="Q1327" t="s">
        <v>3472</v>
      </c>
      <c r="R1327" s="52">
        <f>_xlfn.NUMBERVALUE(convertNumberStringPointToNumberComma(LEFT(Q1327,FIND("x",Q1327)-2)))</f>
        <v>83</v>
      </c>
      <c r="S1327" s="52">
        <f>_xlfn.NUMBERVALUE(convertNumberStringPointToNumberComma(LEFT(RIGHT(Q1327,LEN(Q1327)-FIND("x",Q1327)-1),LEN(RIGHT(Q1327,LEN(Q1327)-FIND("x",Q1327)-1))-2)))</f>
        <v>89.5</v>
      </c>
    </row>
    <row r="1328" spans="1:19" x14ac:dyDescent="0.25">
      <c r="A1328" t="s">
        <v>1727</v>
      </c>
      <c r="B1328" t="s">
        <v>263</v>
      </c>
      <c r="E1328" t="s">
        <v>2638</v>
      </c>
      <c r="H1328" t="s">
        <v>27</v>
      </c>
      <c r="M1328" t="s">
        <v>2674</v>
      </c>
      <c r="N1328" t="s">
        <v>903</v>
      </c>
      <c r="O1328" t="s">
        <v>472</v>
      </c>
      <c r="Q1328" t="s">
        <v>509</v>
      </c>
      <c r="R1328" s="52">
        <f>_xlfn.NUMBERVALUE(convertNumberStringPointToNumberComma(LEFT(Q1328,FIND("x",Q1328)-2)))</f>
        <v>83</v>
      </c>
      <c r="S1328" s="52">
        <f>_xlfn.NUMBERVALUE(convertNumberStringPointToNumberComma(LEFT(RIGHT(Q1328,LEN(Q1328)-FIND("x",Q1328)-1),LEN(RIGHT(Q1328,LEN(Q1328)-FIND("x",Q1328)-1))-2)))</f>
        <v>89</v>
      </c>
    </row>
    <row r="1329" spans="1:19" x14ac:dyDescent="0.25">
      <c r="A1329" t="s">
        <v>1667</v>
      </c>
      <c r="B1329" t="s">
        <v>441</v>
      </c>
      <c r="E1329" t="s">
        <v>2654</v>
      </c>
      <c r="H1329" t="s">
        <v>27</v>
      </c>
      <c r="M1329" t="s">
        <v>2681</v>
      </c>
      <c r="N1329" t="s">
        <v>2681</v>
      </c>
      <c r="O1329" t="s">
        <v>2976</v>
      </c>
      <c r="Q1329" t="s">
        <v>3616</v>
      </c>
      <c r="R1329" s="52">
        <f>_xlfn.NUMBERVALUE(convertNumberStringPointToNumberComma(LEFT(Q1329,FIND("x",Q1329)-2)))</f>
        <v>83</v>
      </c>
      <c r="S1329" s="52">
        <f>_xlfn.NUMBERVALUE(convertNumberStringPointToNumberComma(LEFT(RIGHT(Q1329,LEN(Q1329)-FIND("x",Q1329)-1),LEN(RIGHT(Q1329,LEN(Q1329)-FIND("x",Q1329)-1))-2)))</f>
        <v>93.7</v>
      </c>
    </row>
    <row r="1330" spans="1:19" x14ac:dyDescent="0.25">
      <c r="A1330" t="s">
        <v>2411</v>
      </c>
      <c r="B1330" t="s">
        <v>441</v>
      </c>
      <c r="E1330" t="s">
        <v>2635</v>
      </c>
      <c r="H1330" t="s">
        <v>27</v>
      </c>
      <c r="M1330" t="s">
        <v>2681</v>
      </c>
      <c r="N1330" t="s">
        <v>2681</v>
      </c>
      <c r="O1330" t="s">
        <v>612</v>
      </c>
      <c r="Q1330" t="s">
        <v>3616</v>
      </c>
      <c r="R1330" s="52">
        <f>_xlfn.NUMBERVALUE(convertNumberStringPointToNumberComma(LEFT(Q1330,FIND("x",Q1330)-2)))</f>
        <v>83</v>
      </c>
      <c r="S1330" s="52">
        <f>_xlfn.NUMBERVALUE(convertNumberStringPointToNumberComma(LEFT(RIGHT(Q1330,LEN(Q1330)-FIND("x",Q1330)-1),LEN(RIGHT(Q1330,LEN(Q1330)-FIND("x",Q1330)-1))-2)))</f>
        <v>93.7</v>
      </c>
    </row>
    <row r="1331" spans="1:19" x14ac:dyDescent="0.25">
      <c r="A1331" t="s">
        <v>2208</v>
      </c>
      <c r="B1331" t="s">
        <v>263</v>
      </c>
      <c r="E1331" t="s">
        <v>3014</v>
      </c>
      <c r="H1331" t="s">
        <v>27</v>
      </c>
      <c r="M1331" t="s">
        <v>2681</v>
      </c>
      <c r="N1331" t="s">
        <v>2681</v>
      </c>
      <c r="O1331" t="s">
        <v>246</v>
      </c>
      <c r="Q1331" t="s">
        <v>3866</v>
      </c>
      <c r="R1331" s="52">
        <f>_xlfn.NUMBERVALUE(convertNumberStringPointToNumberComma(LEFT(Q1331,FIND("x",Q1331)-2)))</f>
        <v>83</v>
      </c>
      <c r="S1331" s="52">
        <f>_xlfn.NUMBERVALUE(convertNumberStringPointToNumberComma(LEFT(RIGHT(Q1331,LEN(Q1331)-FIND("x",Q1331)-1),LEN(RIGHT(Q1331,LEN(Q1331)-FIND("x",Q1331)-1))-2)))</f>
        <v>94.7</v>
      </c>
    </row>
    <row r="1332" spans="1:19" x14ac:dyDescent="0.25">
      <c r="A1332" t="s">
        <v>1864</v>
      </c>
      <c r="B1332" t="s">
        <v>505</v>
      </c>
      <c r="E1332" t="s">
        <v>2643</v>
      </c>
      <c r="H1332" t="s">
        <v>27</v>
      </c>
      <c r="M1332" t="s">
        <v>2682</v>
      </c>
      <c r="N1332" t="s">
        <v>913</v>
      </c>
      <c r="O1332" t="s">
        <v>726</v>
      </c>
      <c r="Q1332" t="s">
        <v>364</v>
      </c>
      <c r="R1332" s="52">
        <f>_xlfn.NUMBERVALUE(convertNumberStringPointToNumberComma(LEFT(Q1332,FIND("x",Q1332)-2)))</f>
        <v>83</v>
      </c>
      <c r="S1332" s="52">
        <f>_xlfn.NUMBERVALUE(convertNumberStringPointToNumberComma(LEFT(RIGHT(Q1332,LEN(Q1332)-FIND("x",Q1332)-1),LEN(RIGHT(Q1332,LEN(Q1332)-FIND("x",Q1332)-1))-2)))</f>
        <v>95</v>
      </c>
    </row>
    <row r="1333" spans="1:19" x14ac:dyDescent="0.25">
      <c r="A1333" t="s">
        <v>1883</v>
      </c>
      <c r="B1333" t="s">
        <v>505</v>
      </c>
      <c r="E1333" t="s">
        <v>2643</v>
      </c>
      <c r="H1333" t="s">
        <v>27</v>
      </c>
      <c r="M1333" t="s">
        <v>8</v>
      </c>
      <c r="N1333" t="s">
        <v>913</v>
      </c>
      <c r="O1333" t="s">
        <v>726</v>
      </c>
      <c r="Q1333" t="s">
        <v>364</v>
      </c>
      <c r="R1333" s="52">
        <f>_xlfn.NUMBERVALUE(convertNumberStringPointToNumberComma(LEFT(Q1333,FIND("x",Q1333)-2)))</f>
        <v>83</v>
      </c>
      <c r="S1333" s="52">
        <f>_xlfn.NUMBERVALUE(convertNumberStringPointToNumberComma(LEFT(RIGHT(Q1333,LEN(Q1333)-FIND("x",Q1333)-1),LEN(RIGHT(Q1333,LEN(Q1333)-FIND("x",Q1333)-1))-2)))</f>
        <v>95</v>
      </c>
    </row>
    <row r="1334" spans="1:19" x14ac:dyDescent="0.25">
      <c r="A1334" t="s">
        <v>1884</v>
      </c>
      <c r="B1334" t="s">
        <v>505</v>
      </c>
      <c r="E1334" t="s">
        <v>2643</v>
      </c>
      <c r="H1334" t="s">
        <v>27</v>
      </c>
      <c r="M1334" t="s">
        <v>2757</v>
      </c>
      <c r="N1334" t="s">
        <v>913</v>
      </c>
      <c r="O1334" t="s">
        <v>726</v>
      </c>
      <c r="Q1334" t="s">
        <v>364</v>
      </c>
      <c r="R1334" s="52">
        <f>_xlfn.NUMBERVALUE(convertNumberStringPointToNumberComma(LEFT(Q1334,FIND("x",Q1334)-2)))</f>
        <v>83</v>
      </c>
      <c r="S1334" s="52">
        <f>_xlfn.NUMBERVALUE(convertNumberStringPointToNumberComma(LEFT(RIGHT(Q1334,LEN(Q1334)-FIND("x",Q1334)-1),LEN(RIGHT(Q1334,LEN(Q1334)-FIND("x",Q1334)-1))-2)))</f>
        <v>95</v>
      </c>
    </row>
    <row r="1335" spans="1:19" x14ac:dyDescent="0.25">
      <c r="A1335" t="s">
        <v>1885</v>
      </c>
      <c r="B1335" t="s">
        <v>505</v>
      </c>
      <c r="E1335" t="s">
        <v>2643</v>
      </c>
      <c r="H1335" t="s">
        <v>27</v>
      </c>
      <c r="M1335" t="s">
        <v>2802</v>
      </c>
      <c r="N1335" t="s">
        <v>913</v>
      </c>
      <c r="O1335" t="s">
        <v>726</v>
      </c>
      <c r="Q1335" t="s">
        <v>364</v>
      </c>
      <c r="R1335" s="52">
        <f>_xlfn.NUMBERVALUE(convertNumberStringPointToNumberComma(LEFT(Q1335,FIND("x",Q1335)-2)))</f>
        <v>83</v>
      </c>
      <c r="S1335" s="52">
        <f>_xlfn.NUMBERVALUE(convertNumberStringPointToNumberComma(LEFT(RIGHT(Q1335,LEN(Q1335)-FIND("x",Q1335)-1),LEN(RIGHT(Q1335,LEN(Q1335)-FIND("x",Q1335)-1))-2)))</f>
        <v>95</v>
      </c>
    </row>
    <row r="1336" spans="1:19" x14ac:dyDescent="0.25">
      <c r="A1336" t="s">
        <v>1886</v>
      </c>
      <c r="B1336" t="s">
        <v>505</v>
      </c>
      <c r="E1336" t="s">
        <v>2643</v>
      </c>
      <c r="H1336" t="s">
        <v>27</v>
      </c>
      <c r="M1336" t="s">
        <v>2804</v>
      </c>
      <c r="N1336" t="s">
        <v>903</v>
      </c>
      <c r="O1336" t="s">
        <v>726</v>
      </c>
      <c r="Q1336" t="s">
        <v>364</v>
      </c>
      <c r="R1336" s="52">
        <f>_xlfn.NUMBERVALUE(convertNumberStringPointToNumberComma(LEFT(Q1336,FIND("x",Q1336)-2)))</f>
        <v>83</v>
      </c>
      <c r="S1336" s="52">
        <f>_xlfn.NUMBERVALUE(convertNumberStringPointToNumberComma(LEFT(RIGHT(Q1336,LEN(Q1336)-FIND("x",Q1336)-1),LEN(RIGHT(Q1336,LEN(Q1336)-FIND("x",Q1336)-1))-2)))</f>
        <v>95</v>
      </c>
    </row>
    <row r="1337" spans="1:19" x14ac:dyDescent="0.25">
      <c r="A1337" t="s">
        <v>1887</v>
      </c>
      <c r="B1337" t="s">
        <v>505</v>
      </c>
      <c r="E1337" t="s">
        <v>2643</v>
      </c>
      <c r="H1337" t="s">
        <v>27</v>
      </c>
      <c r="M1337" t="s">
        <v>2681</v>
      </c>
      <c r="N1337" t="s">
        <v>2681</v>
      </c>
      <c r="O1337" t="s">
        <v>726</v>
      </c>
      <c r="Q1337" t="s">
        <v>364</v>
      </c>
      <c r="R1337" s="52">
        <f>_xlfn.NUMBERVALUE(convertNumberStringPointToNumberComma(LEFT(Q1337,FIND("x",Q1337)-2)))</f>
        <v>83</v>
      </c>
      <c r="S1337" s="52">
        <f>_xlfn.NUMBERVALUE(convertNumberStringPointToNumberComma(LEFT(RIGHT(Q1337,LEN(Q1337)-FIND("x",Q1337)-1),LEN(RIGHT(Q1337,LEN(Q1337)-FIND("x",Q1337)-1))-2)))</f>
        <v>95</v>
      </c>
    </row>
    <row r="1338" spans="1:19" x14ac:dyDescent="0.25">
      <c r="A1338" t="s">
        <v>2088</v>
      </c>
      <c r="B1338" t="s">
        <v>505</v>
      </c>
      <c r="E1338" t="s">
        <v>2980</v>
      </c>
      <c r="H1338" t="s">
        <v>27</v>
      </c>
      <c r="M1338" t="s">
        <v>8</v>
      </c>
      <c r="N1338" t="s">
        <v>913</v>
      </c>
      <c r="O1338" t="s">
        <v>123</v>
      </c>
      <c r="Q1338" t="s">
        <v>364</v>
      </c>
      <c r="R1338" s="52">
        <f>_xlfn.NUMBERVALUE(convertNumberStringPointToNumberComma(LEFT(Q1338,FIND("x",Q1338)-2)))</f>
        <v>83</v>
      </c>
      <c r="S1338" s="52">
        <f>_xlfn.NUMBERVALUE(convertNumberStringPointToNumberComma(LEFT(RIGHT(Q1338,LEN(Q1338)-FIND("x",Q1338)-1),LEN(RIGHT(Q1338,LEN(Q1338)-FIND("x",Q1338)-1))-2)))</f>
        <v>95</v>
      </c>
    </row>
    <row r="1339" spans="1:19" x14ac:dyDescent="0.25">
      <c r="A1339" t="s">
        <v>2185</v>
      </c>
      <c r="B1339" t="s">
        <v>505</v>
      </c>
      <c r="E1339" t="s">
        <v>2643</v>
      </c>
      <c r="H1339" t="s">
        <v>27</v>
      </c>
      <c r="M1339" t="s">
        <v>8</v>
      </c>
      <c r="N1339" t="s">
        <v>913</v>
      </c>
      <c r="O1339" t="s">
        <v>246</v>
      </c>
      <c r="Q1339" t="s">
        <v>364</v>
      </c>
      <c r="R1339" s="52">
        <f>_xlfn.NUMBERVALUE(convertNumberStringPointToNumberComma(LEFT(Q1339,FIND("x",Q1339)-2)))</f>
        <v>83</v>
      </c>
      <c r="S1339" s="52">
        <f>_xlfn.NUMBERVALUE(convertNumberStringPointToNumberComma(LEFT(RIGHT(Q1339,LEN(Q1339)-FIND("x",Q1339)-1),LEN(RIGHT(Q1339,LEN(Q1339)-FIND("x",Q1339)-1))-2)))</f>
        <v>95</v>
      </c>
    </row>
    <row r="1340" spans="1:19" x14ac:dyDescent="0.25">
      <c r="A1340" t="s">
        <v>2351</v>
      </c>
      <c r="B1340" t="s">
        <v>505</v>
      </c>
      <c r="E1340" t="s">
        <v>2643</v>
      </c>
      <c r="H1340" t="s">
        <v>27</v>
      </c>
      <c r="M1340" t="s">
        <v>2674</v>
      </c>
      <c r="N1340" t="s">
        <v>903</v>
      </c>
      <c r="O1340" t="s">
        <v>726</v>
      </c>
      <c r="Q1340" t="s">
        <v>364</v>
      </c>
      <c r="R1340" s="52">
        <f>_xlfn.NUMBERVALUE(convertNumberStringPointToNumberComma(LEFT(Q1340,FIND("x",Q1340)-2)))</f>
        <v>83</v>
      </c>
      <c r="S1340" s="52">
        <f>_xlfn.NUMBERVALUE(convertNumberStringPointToNumberComma(LEFT(RIGHT(Q1340,LEN(Q1340)-FIND("x",Q1340)-1),LEN(RIGHT(Q1340,LEN(Q1340)-FIND("x",Q1340)-1))-2)))</f>
        <v>95</v>
      </c>
    </row>
    <row r="1341" spans="1:19" x14ac:dyDescent="0.25">
      <c r="A1341" t="s">
        <v>2378</v>
      </c>
      <c r="B1341" t="s">
        <v>505</v>
      </c>
      <c r="E1341" t="s">
        <v>2980</v>
      </c>
      <c r="H1341" t="s">
        <v>27</v>
      </c>
      <c r="M1341" t="s">
        <v>8</v>
      </c>
      <c r="N1341" t="s">
        <v>913</v>
      </c>
      <c r="O1341" t="s">
        <v>123</v>
      </c>
      <c r="Q1341" t="s">
        <v>364</v>
      </c>
      <c r="R1341" s="52">
        <f>_xlfn.NUMBERVALUE(convertNumberStringPointToNumberComma(LEFT(Q1341,FIND("x",Q1341)-2)))</f>
        <v>83</v>
      </c>
      <c r="S1341" s="52">
        <f>_xlfn.NUMBERVALUE(convertNumberStringPointToNumberComma(LEFT(RIGHT(Q1341,LEN(Q1341)-FIND("x",Q1341)-1),LEN(RIGHT(Q1341,LEN(Q1341)-FIND("x",Q1341)-1))-2)))</f>
        <v>95</v>
      </c>
    </row>
    <row r="1342" spans="1:19" x14ac:dyDescent="0.25">
      <c r="A1342" t="s">
        <v>2087</v>
      </c>
      <c r="B1342" t="s">
        <v>505</v>
      </c>
      <c r="E1342" t="s">
        <v>2980</v>
      </c>
      <c r="H1342" t="s">
        <v>27</v>
      </c>
      <c r="M1342" t="s">
        <v>2802</v>
      </c>
      <c r="N1342" t="s">
        <v>913</v>
      </c>
      <c r="O1342" t="s">
        <v>123</v>
      </c>
      <c r="Q1342" t="s">
        <v>3829</v>
      </c>
      <c r="R1342" s="52">
        <f>_xlfn.NUMBERVALUE(convertNumberStringPointToNumberComma(LEFT(Q1342,FIND("x",Q1342)-2)))</f>
        <v>83</v>
      </c>
      <c r="S1342" s="52">
        <f>_xlfn.NUMBERVALUE(convertNumberStringPointToNumberComma(LEFT(RIGHT(Q1342,LEN(Q1342)-FIND("x",Q1342)-1),LEN(RIGHT(Q1342,LEN(Q1342)-FIND("x",Q1342)-1))-2)))</f>
        <v>96</v>
      </c>
    </row>
    <row r="1343" spans="1:19" x14ac:dyDescent="0.25">
      <c r="A1343" t="s">
        <v>2186</v>
      </c>
      <c r="B1343" t="s">
        <v>505</v>
      </c>
      <c r="E1343" t="s">
        <v>2643</v>
      </c>
      <c r="H1343" t="s">
        <v>27</v>
      </c>
      <c r="M1343" t="s">
        <v>2802</v>
      </c>
      <c r="N1343" t="s">
        <v>913</v>
      </c>
      <c r="O1343" t="s">
        <v>3060</v>
      </c>
      <c r="Q1343" t="s">
        <v>3829</v>
      </c>
      <c r="R1343" s="52">
        <f>_xlfn.NUMBERVALUE(convertNumberStringPointToNumberComma(LEFT(Q1343,FIND("x",Q1343)-2)))</f>
        <v>83</v>
      </c>
      <c r="S1343" s="52">
        <f>_xlfn.NUMBERVALUE(convertNumberStringPointToNumberComma(LEFT(RIGHT(Q1343,LEN(Q1343)-FIND("x",Q1343)-1),LEN(RIGHT(Q1343,LEN(Q1343)-FIND("x",Q1343)-1))-2)))</f>
        <v>96</v>
      </c>
    </row>
    <row r="1344" spans="1:19" x14ac:dyDescent="0.25">
      <c r="A1344" t="s">
        <v>1748</v>
      </c>
      <c r="B1344" t="s">
        <v>505</v>
      </c>
      <c r="E1344" t="s">
        <v>2643</v>
      </c>
      <c r="H1344" t="s">
        <v>27</v>
      </c>
      <c r="M1344" t="s">
        <v>2674</v>
      </c>
      <c r="N1344" t="s">
        <v>903</v>
      </c>
      <c r="O1344" t="s">
        <v>246</v>
      </c>
      <c r="Q1344" t="s">
        <v>3659</v>
      </c>
      <c r="R1344" s="52">
        <f>_xlfn.NUMBERVALUE(convertNumberStringPointToNumberComma(LEFT(Q1344,FIND("x",Q1344)-2)))</f>
        <v>83</v>
      </c>
      <c r="S1344" s="52">
        <f>_xlfn.NUMBERVALUE(convertNumberStringPointToNumberComma(LEFT(RIGHT(Q1344,LEN(Q1344)-FIND("x",Q1344)-1),LEN(RIGHT(Q1344,LEN(Q1344)-FIND("x",Q1344)-1))-2)))</f>
        <v>97.5</v>
      </c>
    </row>
    <row r="1345" spans="1:19" x14ac:dyDescent="0.25">
      <c r="A1345" t="s">
        <v>2081</v>
      </c>
      <c r="B1345" t="s">
        <v>505</v>
      </c>
      <c r="E1345" t="s">
        <v>2980</v>
      </c>
      <c r="H1345" t="s">
        <v>27</v>
      </c>
      <c r="M1345" t="s">
        <v>2682</v>
      </c>
      <c r="N1345" t="s">
        <v>913</v>
      </c>
      <c r="O1345" t="s">
        <v>268</v>
      </c>
      <c r="Q1345" t="s">
        <v>3659</v>
      </c>
      <c r="R1345" s="52">
        <f>_xlfn.NUMBERVALUE(convertNumberStringPointToNumberComma(LEFT(Q1345,FIND("x",Q1345)-2)))</f>
        <v>83</v>
      </c>
      <c r="S1345" s="52">
        <f>_xlfn.NUMBERVALUE(convertNumberStringPointToNumberComma(LEFT(RIGHT(Q1345,LEN(Q1345)-FIND("x",Q1345)-1),LEN(RIGHT(Q1345,LEN(Q1345)-FIND("x",Q1345)-1))-2)))</f>
        <v>97.5</v>
      </c>
    </row>
    <row r="1346" spans="1:19" x14ac:dyDescent="0.25">
      <c r="A1346" t="s">
        <v>2062</v>
      </c>
      <c r="B1346" t="s">
        <v>505</v>
      </c>
      <c r="E1346" t="s">
        <v>2980</v>
      </c>
      <c r="H1346" t="s">
        <v>27</v>
      </c>
      <c r="M1346" t="s">
        <v>8</v>
      </c>
      <c r="N1346" t="s">
        <v>913</v>
      </c>
      <c r="O1346" t="s">
        <v>242</v>
      </c>
      <c r="Q1346" t="s">
        <v>519</v>
      </c>
      <c r="R1346" s="52">
        <f>_xlfn.NUMBERVALUE(convertNumberStringPointToNumberComma(LEFT(Q1346,FIND("x",Q1346)-2)))</f>
        <v>83</v>
      </c>
      <c r="S1346" s="52">
        <f>_xlfn.NUMBERVALUE(convertNumberStringPointToNumberComma(LEFT(RIGHT(Q1346,LEN(Q1346)-FIND("x",Q1346)-1),LEN(RIGHT(Q1346,LEN(Q1346)-FIND("x",Q1346)-1))-2)))</f>
        <v>97</v>
      </c>
    </row>
    <row r="1347" spans="1:19" x14ac:dyDescent="0.25">
      <c r="A1347" t="s">
        <v>2064</v>
      </c>
      <c r="B1347" t="s">
        <v>505</v>
      </c>
      <c r="E1347" t="s">
        <v>2980</v>
      </c>
      <c r="H1347" t="s">
        <v>27</v>
      </c>
      <c r="M1347" t="s">
        <v>2682</v>
      </c>
      <c r="N1347" t="s">
        <v>913</v>
      </c>
      <c r="O1347" t="s">
        <v>242</v>
      </c>
      <c r="Q1347" t="s">
        <v>519</v>
      </c>
      <c r="R1347" s="52">
        <f>_xlfn.NUMBERVALUE(convertNumberStringPointToNumberComma(LEFT(Q1347,FIND("x",Q1347)-2)))</f>
        <v>83</v>
      </c>
      <c r="S1347" s="52">
        <f>_xlfn.NUMBERVALUE(convertNumberStringPointToNumberComma(LEFT(RIGHT(Q1347,LEN(Q1347)-FIND("x",Q1347)-1),LEN(RIGHT(Q1347,LEN(Q1347)-FIND("x",Q1347)-1))-2)))</f>
        <v>97</v>
      </c>
    </row>
    <row r="1348" spans="1:19" x14ac:dyDescent="0.25">
      <c r="A1348" t="s">
        <v>2083</v>
      </c>
      <c r="B1348" t="s">
        <v>505</v>
      </c>
      <c r="E1348" t="s">
        <v>2980</v>
      </c>
      <c r="H1348" t="s">
        <v>27</v>
      </c>
      <c r="M1348" t="s">
        <v>2757</v>
      </c>
      <c r="N1348" t="s">
        <v>913</v>
      </c>
      <c r="O1348" t="s">
        <v>2971</v>
      </c>
      <c r="Q1348" t="s">
        <v>519</v>
      </c>
      <c r="R1348" s="52">
        <f>_xlfn.NUMBERVALUE(convertNumberStringPointToNumberComma(LEFT(Q1348,FIND("x",Q1348)-2)))</f>
        <v>83</v>
      </c>
      <c r="S1348" s="52">
        <f>_xlfn.NUMBERVALUE(convertNumberStringPointToNumberComma(LEFT(RIGHT(Q1348,LEN(Q1348)-FIND("x",Q1348)-1),LEN(RIGHT(Q1348,LEN(Q1348)-FIND("x",Q1348)-1))-2)))</f>
        <v>97</v>
      </c>
    </row>
    <row r="1349" spans="1:19" x14ac:dyDescent="0.25">
      <c r="A1349" t="s">
        <v>1243</v>
      </c>
      <c r="B1349" t="s">
        <v>432</v>
      </c>
      <c r="C1349" s="5">
        <f>convertNumberStringPointToNumberComma(IFERROR(LEFT(B1349,(FIND("-",B1349)-1)),LEFT(B1349,FIND("mm",B1349)-1)))</f>
        <v>200</v>
      </c>
      <c r="D1349" s="5">
        <f>convertNumberStringPointToNumberComma(IFERROR(RIGHT(LEFT(B1349,FIND("m",B1349)-1),LEN(LEFT(B1349,FIND("m",B1349)-1))-FIND("-",LEFT(B1349,FIND("m",B1349)-1))-1),C1349))</f>
        <v>200</v>
      </c>
      <c r="E1349" t="s">
        <v>2632</v>
      </c>
      <c r="F1349" s="9">
        <f>convertNumberStringPointToNumberComma(LEFT(MID(E1349,3,9),IFERROR(FIND("-",MID(E1349,3,9))-2,3)))</f>
        <v>2.8</v>
      </c>
      <c r="G1349" s="9">
        <f>convertNumberStringPointToNumberComma(RIGHT(E1349,IF(ISERROR(FIND(".",RIGHT(E1349,3))),1,3)))</f>
        <v>2.8</v>
      </c>
      <c r="H1349" t="s">
        <v>15</v>
      </c>
      <c r="I1349" s="5" t="str">
        <f>IF(H1349="none",0,LEFT(H1349,LEN(H1349)-2))</f>
        <v>72</v>
      </c>
      <c r="J1349" s="5" t="s">
        <v>76</v>
      </c>
      <c r="K1349" s="10">
        <f>IF(J1349="",0,convertNumberStringPointToNumberComma(LEFT(J1349,LEN(J1349)-1)))</f>
        <v>0.13</v>
      </c>
      <c r="L1349" t="s">
        <v>2704</v>
      </c>
      <c r="M1349" t="s">
        <v>2682</v>
      </c>
      <c r="N1349" t="s">
        <v>913</v>
      </c>
      <c r="O1349" t="s">
        <v>790</v>
      </c>
      <c r="P1349" s="5" t="str">
        <f>LEFT(O1349,LEN(O1349)-1)</f>
        <v>765</v>
      </c>
      <c r="Q1349" t="s">
        <v>3387</v>
      </c>
      <c r="R1349" s="52">
        <f>_xlfn.NUMBERVALUE(convertNumberStringPointToNumberComma(LEFT(Q1349,FIND("x",Q1349)-2)))</f>
        <v>83.2</v>
      </c>
      <c r="S1349" s="52">
        <f>_xlfn.NUMBERVALUE(convertNumberStringPointToNumberComma(LEFT(RIGHT(Q1349,LEN(Q1349)-FIND("x",Q1349)-1),LEN(RIGHT(Q1349,LEN(Q1349)-FIND("x",Q1349)-1))-2)))</f>
        <v>136</v>
      </c>
    </row>
    <row r="1350" spans="1:19" x14ac:dyDescent="0.25">
      <c r="A1350" t="s">
        <v>1402</v>
      </c>
      <c r="B1350" t="s">
        <v>1403</v>
      </c>
      <c r="E1350" t="s">
        <v>2636</v>
      </c>
      <c r="H1350" t="s">
        <v>27</v>
      </c>
      <c r="M1350" t="s">
        <v>8</v>
      </c>
      <c r="N1350" t="s">
        <v>903</v>
      </c>
      <c r="O1350" t="s">
        <v>2719</v>
      </c>
      <c r="Q1350" t="s">
        <v>3477</v>
      </c>
      <c r="R1350" s="52">
        <f>_xlfn.NUMBERVALUE(convertNumberStringPointToNumberComma(LEFT(Q1350,FIND("x",Q1350)-2)))</f>
        <v>83.2</v>
      </c>
      <c r="S1350" s="52">
        <f>_xlfn.NUMBERVALUE(convertNumberStringPointToNumberComma(LEFT(RIGHT(Q1350,LEN(Q1350)-FIND("x",Q1350)-1),LEN(RIGHT(Q1350,LEN(Q1350)-FIND("x",Q1350)-1))-2)))</f>
        <v>78.599999999999994</v>
      </c>
    </row>
    <row r="1351" spans="1:19" x14ac:dyDescent="0.25">
      <c r="A1351" t="s">
        <v>1170</v>
      </c>
      <c r="B1351" t="s">
        <v>987</v>
      </c>
      <c r="C1351" s="5">
        <f>convertNumberStringPointToNumberComma(IFERROR(LEFT(B1351,(FIND("-",B1351)-1)),LEFT(B1351,FIND("mm",B1351)-1)))</f>
        <v>10</v>
      </c>
      <c r="D1351" s="5">
        <f>convertNumberStringPointToNumberComma(IFERROR(RIGHT(LEFT(B1351,FIND("m",B1351)-1),LEN(LEFT(B1351,FIND("m",B1351)-1))-FIND("-",LEFT(B1351,FIND("m",B1351)-1))-1),C1351))</f>
        <v>4</v>
      </c>
      <c r="E1351" t="s">
        <v>2645</v>
      </c>
      <c r="F1351" s="9">
        <f>convertNumberStringPointToNumberComma(LEFT(MID(E1351,3,9),IFERROR(FIND("-",MID(E1351,3,9))-2,3)))</f>
        <v>3</v>
      </c>
      <c r="G1351" s="9">
        <f>convertNumberStringPointToNumberComma(RIGHT(E1351,IF(ISERROR(FIND(".",RIGHT(E1351,3))),1,3)))</f>
        <v>4.5</v>
      </c>
      <c r="H1351" t="s">
        <v>27</v>
      </c>
      <c r="I1351" s="5" t="str">
        <f>IF(H1351="none",0,LEFT(H1351,LEN(H1351)-2))</f>
        <v>77</v>
      </c>
      <c r="J1351" s="5" t="s">
        <v>162</v>
      </c>
      <c r="K1351" s="10">
        <f>IF(J1351="",0,convertNumberStringPointToNumberComma(LEFT(J1351,LEN(J1351)-1)))</f>
        <v>0.25</v>
      </c>
      <c r="L1351" t="s">
        <v>2827</v>
      </c>
      <c r="M1351" t="s">
        <v>2708</v>
      </c>
      <c r="N1351" t="s">
        <v>903</v>
      </c>
      <c r="O1351" t="s">
        <v>360</v>
      </c>
      <c r="P1351" s="5" t="str">
        <f>LEFT(O1351,LEN(O1351)-1)</f>
        <v>370</v>
      </c>
      <c r="Q1351" t="s">
        <v>3344</v>
      </c>
      <c r="R1351" s="52">
        <f>_xlfn.NUMBERVALUE(convertNumberStringPointToNumberComma(LEFT(Q1351,FIND("x",Q1351)-2)))</f>
        <v>83.2</v>
      </c>
      <c r="S1351" s="52">
        <f>_xlfn.NUMBERVALUE(convertNumberStringPointToNumberComma(LEFT(RIGHT(Q1351,LEN(Q1351)-FIND("x",Q1351)-1),LEN(RIGHT(Q1351,LEN(Q1351)-FIND("x",Q1351)-1))-2)))</f>
        <v>86.5</v>
      </c>
    </row>
    <row r="1352" spans="1:19" x14ac:dyDescent="0.25">
      <c r="A1352" t="s">
        <v>1171</v>
      </c>
      <c r="B1352" t="s">
        <v>987</v>
      </c>
      <c r="C1352" s="5">
        <f>convertNumberStringPointToNumberComma(IFERROR(LEFT(B1352,(FIND("-",B1352)-1)),LEFT(B1352,FIND("mm",B1352)-1)))</f>
        <v>10</v>
      </c>
      <c r="D1352" s="5">
        <f>convertNumberStringPointToNumberComma(IFERROR(RIGHT(LEFT(B1352,FIND("m",B1352)-1),LEN(LEFT(B1352,FIND("m",B1352)-1))-FIND("-",LEFT(B1352,FIND("m",B1352)-1))-1),C1352))</f>
        <v>4</v>
      </c>
      <c r="E1352" t="s">
        <v>2645</v>
      </c>
      <c r="F1352" s="9">
        <f>convertNumberStringPointToNumberComma(LEFT(MID(E1352,3,9),IFERROR(FIND("-",MID(E1352,3,9))-2,3)))</f>
        <v>3</v>
      </c>
      <c r="G1352" s="9">
        <f>convertNumberStringPointToNumberComma(RIGHT(E1352,IF(ISERROR(FIND(".",RIGHT(E1352,3))),1,3)))</f>
        <v>4.5</v>
      </c>
      <c r="H1352" t="s">
        <v>27</v>
      </c>
      <c r="I1352" s="5" t="str">
        <f>IF(H1352="none",0,LEFT(H1352,LEN(H1352)-2))</f>
        <v>77</v>
      </c>
      <c r="J1352" s="5" t="s">
        <v>63</v>
      </c>
      <c r="K1352" s="10">
        <f>IF(J1352="",0,convertNumberStringPointToNumberComma(LEFT(J1352,LEN(J1352)-1)))</f>
        <v>1</v>
      </c>
      <c r="L1352" t="s">
        <v>2827</v>
      </c>
      <c r="M1352" t="s">
        <v>2757</v>
      </c>
      <c r="N1352" t="s">
        <v>903</v>
      </c>
      <c r="O1352" t="s">
        <v>360</v>
      </c>
      <c r="P1352" s="5" t="str">
        <f>LEFT(O1352,LEN(O1352)-1)</f>
        <v>370</v>
      </c>
      <c r="Q1352" t="s">
        <v>3344</v>
      </c>
      <c r="R1352" s="52">
        <f>_xlfn.NUMBERVALUE(convertNumberStringPointToNumberComma(LEFT(Q1352,FIND("x",Q1352)-2)))</f>
        <v>83.2</v>
      </c>
      <c r="S1352" s="52">
        <f>_xlfn.NUMBERVALUE(convertNumberStringPointToNumberComma(LEFT(RIGHT(Q1352,LEN(Q1352)-FIND("x",Q1352)-1),LEN(RIGHT(Q1352,LEN(Q1352)-FIND("x",Q1352)-1))-2)))</f>
        <v>86.5</v>
      </c>
    </row>
    <row r="1353" spans="1:19" x14ac:dyDescent="0.25">
      <c r="A1353" t="s">
        <v>1471</v>
      </c>
      <c r="B1353" t="s">
        <v>987</v>
      </c>
      <c r="E1353" t="s">
        <v>2645</v>
      </c>
      <c r="H1353" t="s">
        <v>27</v>
      </c>
      <c r="L1353" t="s">
        <v>2827</v>
      </c>
      <c r="M1353" t="s">
        <v>8</v>
      </c>
      <c r="N1353" t="s">
        <v>903</v>
      </c>
      <c r="O1353" t="s">
        <v>360</v>
      </c>
      <c r="Q1353" t="s">
        <v>3344</v>
      </c>
      <c r="R1353" s="52">
        <f>_xlfn.NUMBERVALUE(convertNumberStringPointToNumberComma(LEFT(Q1353,FIND("x",Q1353)-2)))</f>
        <v>83.2</v>
      </c>
      <c r="S1353" s="52">
        <f>_xlfn.NUMBERVALUE(convertNumberStringPointToNumberComma(LEFT(RIGHT(Q1353,LEN(Q1353)-FIND("x",Q1353)-1),LEN(RIGHT(Q1353,LEN(Q1353)-FIND("x",Q1353)-1))-2)))</f>
        <v>86.5</v>
      </c>
    </row>
    <row r="1354" spans="1:19" x14ac:dyDescent="0.25">
      <c r="A1354" t="s">
        <v>1472</v>
      </c>
      <c r="B1354" t="s">
        <v>987</v>
      </c>
      <c r="E1354" t="s">
        <v>2645</v>
      </c>
      <c r="H1354" t="s">
        <v>27</v>
      </c>
      <c r="L1354" t="s">
        <v>2827</v>
      </c>
      <c r="M1354" t="s">
        <v>2802</v>
      </c>
      <c r="N1354" t="s">
        <v>903</v>
      </c>
      <c r="O1354" t="s">
        <v>360</v>
      </c>
      <c r="Q1354" t="s">
        <v>3344</v>
      </c>
      <c r="R1354" s="52">
        <f>_xlfn.NUMBERVALUE(convertNumberStringPointToNumberComma(LEFT(Q1354,FIND("x",Q1354)-2)))</f>
        <v>83.2</v>
      </c>
      <c r="S1354" s="52">
        <f>_xlfn.NUMBERVALUE(convertNumberStringPointToNumberComma(LEFT(RIGHT(Q1354,LEN(Q1354)-FIND("x",Q1354)-1),LEN(RIGHT(Q1354,LEN(Q1354)-FIND("x",Q1354)-1))-2)))</f>
        <v>86.5</v>
      </c>
    </row>
    <row r="1355" spans="1:19" x14ac:dyDescent="0.25">
      <c r="A1355" t="s">
        <v>2465</v>
      </c>
      <c r="B1355" t="s">
        <v>2466</v>
      </c>
      <c r="E1355" t="s">
        <v>2632</v>
      </c>
      <c r="H1355" t="s">
        <v>27</v>
      </c>
      <c r="L1355" t="s">
        <v>2704</v>
      </c>
      <c r="M1355" t="s">
        <v>2748</v>
      </c>
      <c r="N1355" t="s">
        <v>903</v>
      </c>
      <c r="O1355" t="s">
        <v>3173</v>
      </c>
      <c r="Q1355" t="s">
        <v>4009</v>
      </c>
      <c r="R1355" s="52">
        <f>_xlfn.NUMBERVALUE(convertNumberStringPointToNumberComma(LEFT(Q1355,FIND("x",Q1355)-2)))</f>
        <v>83.3</v>
      </c>
      <c r="S1355" s="52">
        <f>_xlfn.NUMBERVALUE(convertNumberStringPointToNumberComma(LEFT(RIGHT(Q1355,LEN(Q1355)-FIND("x",Q1355)-1),LEN(RIGHT(Q1355,LEN(Q1355)-FIND("x",Q1355)-1))-2)))</f>
        <v>106</v>
      </c>
    </row>
    <row r="1356" spans="1:19" x14ac:dyDescent="0.25">
      <c r="A1356" t="s">
        <v>973</v>
      </c>
      <c r="B1356" t="s">
        <v>957</v>
      </c>
      <c r="C1356" s="5">
        <f>convertNumberStringPointToNumberComma(IFERROR(LEFT(B1356,(FIND("-",B1356)-1)),LEFT(B1356,FIND("mm",B1356)-1)))</f>
        <v>24</v>
      </c>
      <c r="D1356" s="5">
        <f>convertNumberStringPointToNumberComma(IFERROR(RIGHT(LEFT(B1356,FIND("m",B1356)-1),LEN(LEFT(B1356,FIND("m",B1356)-1))-FIND("-",LEFT(B1356,FIND("m",B1356)-1))-1),C1356))</f>
        <v>5</v>
      </c>
      <c r="E1356" t="s">
        <v>2639</v>
      </c>
      <c r="F1356" s="9">
        <f>convertNumberStringPointToNumberComma(LEFT(MID(E1356,3,9),IFERROR(FIND("-",MID(E1356,3,9))-2,3)))</f>
        <v>3</v>
      </c>
      <c r="G1356" s="9">
        <f>convertNumberStringPointToNumberComma(RIGHT(E1356,IF(ISERROR(FIND(".",RIGHT(E1356,3))),1,3)))</f>
        <v>5.6</v>
      </c>
      <c r="H1356" t="s">
        <v>27</v>
      </c>
      <c r="I1356" s="5" t="str">
        <f>IF(H1356="none",0,LEFT(H1356,LEN(H1356)-2))</f>
        <v>77</v>
      </c>
      <c r="J1356" s="5" t="s">
        <v>40</v>
      </c>
      <c r="K1356" s="10">
        <f>IF(J1356="",0,convertNumberStringPointToNumberComma(LEFT(J1356,LEN(J1356)-1)))</f>
        <v>0.2</v>
      </c>
      <c r="L1356" t="s">
        <v>2701</v>
      </c>
      <c r="M1356" t="s">
        <v>2682</v>
      </c>
      <c r="N1356" t="s">
        <v>913</v>
      </c>
      <c r="O1356" t="s">
        <v>794</v>
      </c>
      <c r="P1356" s="5" t="str">
        <f>LEFT(O1356,LEN(O1356)-1)</f>
        <v>525</v>
      </c>
      <c r="Q1356" t="s">
        <v>3233</v>
      </c>
      <c r="R1356" s="52">
        <f>_xlfn.NUMBERVALUE(convertNumberStringPointToNumberComma(LEFT(Q1356,FIND("x",Q1356)-2)))</f>
        <v>83.4</v>
      </c>
      <c r="S1356" s="52">
        <f>_xlfn.NUMBERVALUE(convertNumberStringPointToNumberComma(LEFT(RIGHT(Q1356,LEN(Q1356)-FIND("x",Q1356)-1),LEN(RIGHT(Q1356,LEN(Q1356)-FIND("x",Q1356)-1))-2)))</f>
        <v>104</v>
      </c>
    </row>
    <row r="1357" spans="1:19" x14ac:dyDescent="0.25">
      <c r="A1357" t="s">
        <v>989</v>
      </c>
      <c r="B1357" t="s">
        <v>919</v>
      </c>
      <c r="C1357" s="5">
        <f>convertNumberStringPointToNumberComma(IFERROR(LEFT(B1357,(FIND("-",B1357)-1)),LEFT(B1357,FIND("mm",B1357)-1)))</f>
        <v>24</v>
      </c>
      <c r="D1357" s="5">
        <f>convertNumberStringPointToNumberComma(IFERROR(RIGHT(LEFT(B1357,FIND("m",B1357)-1),LEN(LEFT(B1357,FIND("m",B1357)-1))-FIND("-",LEFT(B1357,FIND("m",B1357)-1))-1),C1357))</f>
        <v>0</v>
      </c>
      <c r="E1357" t="s">
        <v>2633</v>
      </c>
      <c r="F1357" s="9">
        <f>convertNumberStringPointToNumberComma(LEFT(MID(E1357,3,9),IFERROR(FIND("-",MID(E1357,3,9))-2,3)))</f>
        <v>4</v>
      </c>
      <c r="G1357" s="9">
        <f>convertNumberStringPointToNumberComma(RIGHT(E1357,IF(ISERROR(FIND(".",RIGHT(E1357,3))),1,3)))</f>
        <v>4</v>
      </c>
      <c r="H1357" t="s">
        <v>27</v>
      </c>
      <c r="I1357" s="5" t="str">
        <f>IF(H1357="none",0,LEFT(H1357,LEN(H1357)-2))</f>
        <v>77</v>
      </c>
      <c r="J1357" s="5" t="s">
        <v>40</v>
      </c>
      <c r="K1357" s="10">
        <f>IF(J1357="",0,convertNumberStringPointToNumberComma(LEFT(J1357,LEN(J1357)-1)))</f>
        <v>0.2</v>
      </c>
      <c r="L1357" t="s">
        <v>2733</v>
      </c>
      <c r="M1357" t="s">
        <v>2682</v>
      </c>
      <c r="N1357" t="s">
        <v>913</v>
      </c>
      <c r="O1357" t="s">
        <v>123</v>
      </c>
      <c r="P1357" s="5" t="str">
        <f>LEFT(O1357,LEN(O1357)-1)</f>
        <v>600</v>
      </c>
      <c r="Q1357" t="s">
        <v>3243</v>
      </c>
      <c r="R1357" s="52">
        <f>_xlfn.NUMBERVALUE(convertNumberStringPointToNumberComma(LEFT(Q1357,FIND("x",Q1357)-2)))</f>
        <v>83.4</v>
      </c>
      <c r="S1357" s="52">
        <f>_xlfn.NUMBERVALUE(convertNumberStringPointToNumberComma(LEFT(RIGHT(Q1357,LEN(Q1357)-FIND("x",Q1357)-1),LEN(RIGHT(Q1357,LEN(Q1357)-FIND("x",Q1357)-1))-2)))</f>
        <v>93</v>
      </c>
    </row>
    <row r="1358" spans="1:19" x14ac:dyDescent="0.25">
      <c r="A1358" t="s">
        <v>988</v>
      </c>
      <c r="B1358" t="s">
        <v>957</v>
      </c>
      <c r="C1358" s="5">
        <f>convertNumberStringPointToNumberComma(IFERROR(LEFT(B1358,(FIND("-",B1358)-1)),LEFT(B1358,FIND("mm",B1358)-1)))</f>
        <v>24</v>
      </c>
      <c r="D1358" s="5">
        <f>convertNumberStringPointToNumberComma(IFERROR(RIGHT(LEFT(B1358,FIND("m",B1358)-1),LEN(LEFT(B1358,FIND("m",B1358)-1))-FIND("-",LEFT(B1358,FIND("m",B1358)-1))-1),C1358))</f>
        <v>5</v>
      </c>
      <c r="E1358" t="s">
        <v>2633</v>
      </c>
      <c r="F1358" s="9">
        <f>convertNumberStringPointToNumberComma(LEFT(MID(E1358,3,9),IFERROR(FIND("-",MID(E1358,3,9))-2,3)))</f>
        <v>4</v>
      </c>
      <c r="G1358" s="9">
        <f>convertNumberStringPointToNumberComma(RIGHT(E1358,IF(ISERROR(FIND(".",RIGHT(E1358,3))),1,3)))</f>
        <v>4</v>
      </c>
      <c r="H1358" t="s">
        <v>27</v>
      </c>
      <c r="I1358" s="5" t="str">
        <f>IF(H1358="none",0,LEFT(H1358,LEN(H1358)-2))</f>
        <v>77</v>
      </c>
      <c r="J1358" s="5" t="s">
        <v>40</v>
      </c>
      <c r="K1358" s="10">
        <f>IF(J1358="",0,convertNumberStringPointToNumberComma(LEFT(J1358,LEN(J1358)-1)))</f>
        <v>0.2</v>
      </c>
      <c r="L1358" t="s">
        <v>2721</v>
      </c>
      <c r="M1358" t="s">
        <v>2682</v>
      </c>
      <c r="N1358" t="s">
        <v>913</v>
      </c>
      <c r="O1358" t="s">
        <v>119</v>
      </c>
      <c r="P1358" s="5" t="str">
        <f>LEFT(O1358,LEN(O1358)-1)</f>
        <v>670</v>
      </c>
      <c r="Q1358" t="s">
        <v>3242</v>
      </c>
      <c r="R1358" s="52">
        <f>_xlfn.NUMBERVALUE(convertNumberStringPointToNumberComma(LEFT(Q1358,FIND("x",Q1358)-2)))</f>
        <v>83.5</v>
      </c>
      <c r="S1358" s="52">
        <f>_xlfn.NUMBERVALUE(convertNumberStringPointToNumberComma(LEFT(RIGHT(Q1358,LEN(Q1358)-FIND("x",Q1358)-1),LEN(RIGHT(Q1358,LEN(Q1358)-FIND("x",Q1358)-1))-2)))</f>
        <v>107</v>
      </c>
    </row>
    <row r="1359" spans="1:19" x14ac:dyDescent="0.25">
      <c r="A1359" t="s">
        <v>1085</v>
      </c>
      <c r="B1359" t="s">
        <v>678</v>
      </c>
      <c r="C1359" s="5">
        <f>convertNumberStringPointToNumberComma(IFERROR(LEFT(B1359,(FIND("-",B1359)-1)),LEFT(B1359,FIND("mm",B1359)-1)))</f>
        <v>50</v>
      </c>
      <c r="D1359" s="5">
        <f>convertNumberStringPointToNumberComma(IFERROR(RIGHT(LEFT(B1359,FIND("m",B1359)-1),LEN(LEFT(B1359,FIND("m",B1359)-1))-FIND("-",LEFT(B1359,FIND("m",B1359)-1))-1),C1359))</f>
        <v>50</v>
      </c>
      <c r="E1359" t="s">
        <v>2643</v>
      </c>
      <c r="F1359" s="9">
        <f>convertNumberStringPointToNumberComma(LEFT(MID(E1359,3,9),IFERROR(FIND("-",MID(E1359,3,9))-2,3)))</f>
        <v>1.4</v>
      </c>
      <c r="G1359" s="9">
        <f>convertNumberStringPointToNumberComma(RIGHT(E1359,IF(ISERROR(FIND(".",RIGHT(E1359,3))),1,3)))</f>
        <v>1.4</v>
      </c>
      <c r="H1359" t="s">
        <v>15</v>
      </c>
      <c r="I1359" s="5" t="str">
        <f>IF(H1359="none",0,LEFT(H1359,LEN(H1359)-2))</f>
        <v>72</v>
      </c>
      <c r="J1359" s="5" t="s">
        <v>238</v>
      </c>
      <c r="K1359" s="10">
        <f>IF(J1359="",0,convertNumberStringPointToNumberComma(LEFT(J1359,LEN(J1359)-1)))</f>
        <v>0.34</v>
      </c>
      <c r="L1359" t="s">
        <v>2686</v>
      </c>
      <c r="M1359" t="s">
        <v>2674</v>
      </c>
      <c r="N1359" t="s">
        <v>913</v>
      </c>
      <c r="O1359" t="s">
        <v>2781</v>
      </c>
      <c r="P1359" s="5" t="str">
        <f>LEFT(O1359,LEN(O1359)-1)</f>
        <v>778</v>
      </c>
      <c r="Q1359" t="s">
        <v>3304</v>
      </c>
      <c r="R1359" s="52">
        <f>_xlfn.NUMBERVALUE(convertNumberStringPointToNumberComma(LEFT(Q1359,FIND("x",Q1359)-2)))</f>
        <v>83.5</v>
      </c>
      <c r="S1359" s="52">
        <f>_xlfn.NUMBERVALUE(convertNumberStringPointToNumberComma(LEFT(RIGHT(Q1359,LEN(Q1359)-FIND("x",Q1359)-1),LEN(RIGHT(Q1359,LEN(Q1359)-FIND("x",Q1359)-1))-2)))</f>
        <v>108</v>
      </c>
    </row>
    <row r="1360" spans="1:19" x14ac:dyDescent="0.25">
      <c r="A1360" t="s">
        <v>1085</v>
      </c>
      <c r="B1360" t="s">
        <v>678</v>
      </c>
      <c r="E1360" t="s">
        <v>2643</v>
      </c>
      <c r="H1360" t="s">
        <v>15</v>
      </c>
      <c r="L1360" t="s">
        <v>2686</v>
      </c>
      <c r="M1360" t="s">
        <v>2674</v>
      </c>
      <c r="N1360" t="s">
        <v>913</v>
      </c>
      <c r="O1360" t="s">
        <v>2781</v>
      </c>
      <c r="Q1360" t="s">
        <v>3304</v>
      </c>
      <c r="R1360" s="52">
        <f>_xlfn.NUMBERVALUE(convertNumberStringPointToNumberComma(LEFT(Q1360,FIND("x",Q1360)-2)))</f>
        <v>83.5</v>
      </c>
      <c r="S1360" s="52">
        <f>_xlfn.NUMBERVALUE(convertNumberStringPointToNumberComma(LEFT(RIGHT(Q1360,LEN(Q1360)-FIND("x",Q1360)-1),LEN(RIGHT(Q1360,LEN(Q1360)-FIND("x",Q1360)-1))-2)))</f>
        <v>108</v>
      </c>
    </row>
    <row r="1361" spans="1:19" x14ac:dyDescent="0.25">
      <c r="A1361" t="s">
        <v>1072</v>
      </c>
      <c r="B1361" t="s">
        <v>1073</v>
      </c>
      <c r="C1361" s="5">
        <f>convertNumberStringPointToNumberComma(IFERROR(LEFT(B1361,(FIND("-",B1361)-1)),LEFT(B1361,FIND("mm",B1361)-1)))</f>
        <v>17</v>
      </c>
      <c r="D1361" s="5">
        <f>convertNumberStringPointToNumberComma(IFERROR(RIGHT(LEFT(B1361,FIND("m",B1361)-1),LEN(LEFT(B1361,FIND("m",B1361)-1))-FIND("-",LEFT(B1361,FIND("m",B1361)-1))-1),C1361))</f>
        <v>5</v>
      </c>
      <c r="E1361" t="s">
        <v>2632</v>
      </c>
      <c r="F1361" s="9">
        <f>convertNumberStringPointToNumberComma(LEFT(MID(E1361,3,9),IFERROR(FIND("-",MID(E1361,3,9))-2,3)))</f>
        <v>2.8</v>
      </c>
      <c r="G1361" s="9">
        <f>convertNumberStringPointToNumberComma(RIGHT(E1361,IF(ISERROR(FIND(".",RIGHT(E1361,3))),1,3)))</f>
        <v>2.8</v>
      </c>
      <c r="H1361" t="s">
        <v>27</v>
      </c>
      <c r="I1361" s="5" t="str">
        <f>IF(H1361="none",0,LEFT(H1361,LEN(H1361)-2))</f>
        <v>77</v>
      </c>
      <c r="J1361" s="5" t="s">
        <v>291</v>
      </c>
      <c r="K1361" s="10">
        <f>IF(J1361="",0,convertNumberStringPointToNumberComma(LEFT(J1361,LEN(J1361)-1)))</f>
        <v>0.37</v>
      </c>
      <c r="L1361" t="s">
        <v>2706</v>
      </c>
      <c r="M1361" t="s">
        <v>2708</v>
      </c>
      <c r="N1361" t="s">
        <v>903</v>
      </c>
      <c r="O1361" t="s">
        <v>555</v>
      </c>
      <c r="P1361" s="5" t="str">
        <f>LEFT(O1361,LEN(O1361)-1)</f>
        <v>645</v>
      </c>
      <c r="Q1361" t="s">
        <v>3296</v>
      </c>
      <c r="R1361" s="52">
        <f>_xlfn.NUMBERVALUE(convertNumberStringPointToNumberComma(LEFT(Q1361,FIND("x",Q1361)-2)))</f>
        <v>83.5</v>
      </c>
      <c r="S1361" s="52">
        <f>_xlfn.NUMBERVALUE(convertNumberStringPointToNumberComma(LEFT(RIGHT(Q1361,LEN(Q1361)-FIND("x",Q1361)-1),LEN(RIGHT(Q1361,LEN(Q1361)-FIND("x",Q1361)-1))-2)))</f>
        <v>110.6</v>
      </c>
    </row>
    <row r="1362" spans="1:19" x14ac:dyDescent="0.25">
      <c r="A1362" t="s">
        <v>1630</v>
      </c>
      <c r="B1362" t="s">
        <v>635</v>
      </c>
      <c r="E1362" t="s">
        <v>2632</v>
      </c>
      <c r="H1362" t="s">
        <v>27</v>
      </c>
      <c r="L1362" t="s">
        <v>2703</v>
      </c>
      <c r="M1362" t="s">
        <v>8</v>
      </c>
      <c r="N1362" t="s">
        <v>913</v>
      </c>
      <c r="O1362" t="s">
        <v>650</v>
      </c>
      <c r="Q1362" t="s">
        <v>3585</v>
      </c>
      <c r="R1362" s="52">
        <f>_xlfn.NUMBERVALUE(convertNumberStringPointToNumberComma(LEFT(Q1362,FIND("x",Q1362)-2)))</f>
        <v>83.5</v>
      </c>
      <c r="S1362" s="52">
        <f>_xlfn.NUMBERVALUE(convertNumberStringPointToNumberComma(LEFT(RIGHT(Q1362,LEN(Q1362)-FIND("x",Q1362)-1),LEN(RIGHT(Q1362,LEN(Q1362)-FIND("x",Q1362)-1))-2)))</f>
        <v>112</v>
      </c>
    </row>
    <row r="1363" spans="1:19" x14ac:dyDescent="0.25">
      <c r="A1363" t="s">
        <v>956</v>
      </c>
      <c r="B1363" t="s">
        <v>957</v>
      </c>
      <c r="C1363" s="5">
        <f>convertNumberStringPointToNumberComma(IFERROR(LEFT(B1363,(FIND("-",B1363)-1)),LEFT(B1363,FIND("mm",B1363)-1)))</f>
        <v>24</v>
      </c>
      <c r="D1363" s="5">
        <f>convertNumberStringPointToNumberComma(IFERROR(RIGHT(LEFT(B1363,FIND("m",B1363)-1),LEN(LEFT(B1363,FIND("m",B1363)-1))-FIND("-",LEFT(B1363,FIND("m",B1363)-1))-1),C1363))</f>
        <v>5</v>
      </c>
      <c r="E1363" t="s">
        <v>2633</v>
      </c>
      <c r="F1363" s="9">
        <f>convertNumberStringPointToNumberComma(LEFT(MID(E1363,3,9),IFERROR(FIND("-",MID(E1363,3,9))-2,3)))</f>
        <v>4</v>
      </c>
      <c r="G1363" s="9">
        <f>convertNumberStringPointToNumberComma(RIGHT(E1363,IF(ISERROR(FIND(".",RIGHT(E1363,3))),1,3)))</f>
        <v>4</v>
      </c>
      <c r="H1363" t="s">
        <v>27</v>
      </c>
      <c r="I1363" s="5" t="str">
        <f>IF(H1363="none",0,LEFT(H1363,LEN(H1363)-2))</f>
        <v>77</v>
      </c>
      <c r="J1363" s="5" t="s">
        <v>104</v>
      </c>
      <c r="K1363" s="10">
        <f>IF(J1363="",0,convertNumberStringPointToNumberComma(LEFT(J1363,LEN(J1363)-1)))</f>
        <v>0.08</v>
      </c>
      <c r="L1363" t="s">
        <v>2677</v>
      </c>
      <c r="M1363" t="s">
        <v>2682</v>
      </c>
      <c r="N1363" t="s">
        <v>913</v>
      </c>
      <c r="O1363" t="s">
        <v>2713</v>
      </c>
      <c r="P1363" s="5" t="str">
        <f>LEFT(O1363,LEN(O1363)-1)</f>
        <v>795</v>
      </c>
      <c r="Q1363" t="s">
        <v>3223</v>
      </c>
      <c r="R1363" s="52">
        <f>_xlfn.NUMBERVALUE(convertNumberStringPointToNumberComma(LEFT(Q1363,FIND("x",Q1363)-2)))</f>
        <v>83.5</v>
      </c>
      <c r="S1363" s="52">
        <f>_xlfn.NUMBERVALUE(convertNumberStringPointToNumberComma(LEFT(RIGHT(Q1363,LEN(Q1363)-FIND("x",Q1363)-1),LEN(RIGHT(Q1363,LEN(Q1363)-FIND("x",Q1363)-1))-2)))</f>
        <v>118</v>
      </c>
    </row>
    <row r="1364" spans="1:19" x14ac:dyDescent="0.25">
      <c r="A1364" t="s">
        <v>1169</v>
      </c>
      <c r="B1364" t="s">
        <v>176</v>
      </c>
      <c r="C1364" s="5">
        <f>convertNumberStringPointToNumberComma(IFERROR(LEFT(B1364,(FIND("-",B1364)-1)),LEFT(B1364,FIND("mm",B1364)-1)))</f>
        <v>14</v>
      </c>
      <c r="D1364" s="5">
        <f>convertNumberStringPointToNumberComma(IFERROR(RIGHT(LEFT(B1364,FIND("m",B1364)-1),LEN(LEFT(B1364,FIND("m",B1364)-1))-FIND("-",LEFT(B1364,FIND("m",B1364)-1))-1),C1364))</f>
        <v>14</v>
      </c>
      <c r="E1364" t="s">
        <v>2632</v>
      </c>
      <c r="F1364" s="9">
        <f>convertNumberStringPointToNumberComma(LEFT(MID(E1364,3,9),IFERROR(FIND("-",MID(E1364,3,9))-2,3)))</f>
        <v>2.8</v>
      </c>
      <c r="G1364" s="9">
        <f>convertNumberStringPointToNumberComma(RIGHT(E1364,IF(ISERROR(FIND(".",RIGHT(E1364,3))),1,3)))</f>
        <v>2.8</v>
      </c>
      <c r="H1364" t="s">
        <v>27</v>
      </c>
      <c r="I1364" s="5" t="str">
        <f>IF(H1364="none",0,LEFT(H1364,LEN(H1364)-2))</f>
        <v>77</v>
      </c>
      <c r="J1364" s="5" t="s">
        <v>68</v>
      </c>
      <c r="K1364" s="10">
        <f>IF(J1364="",0,convertNumberStringPointToNumberComma(LEFT(J1364,LEN(J1364)-1)))</f>
        <v>0.5</v>
      </c>
      <c r="L1364" t="s">
        <v>2750</v>
      </c>
      <c r="M1364" t="s">
        <v>2802</v>
      </c>
      <c r="N1364" t="s">
        <v>903</v>
      </c>
      <c r="O1364" t="s">
        <v>303</v>
      </c>
      <c r="P1364" s="5" t="str">
        <f>LEFT(O1364,LEN(O1364)-1)</f>
        <v>420</v>
      </c>
      <c r="Q1364" t="s">
        <v>3343</v>
      </c>
      <c r="R1364" s="52">
        <f>_xlfn.NUMBERVALUE(convertNumberStringPointToNumberComma(LEFT(Q1364,FIND("x",Q1364)-2)))</f>
        <v>83.5</v>
      </c>
      <c r="S1364" s="52">
        <f>_xlfn.NUMBERVALUE(convertNumberStringPointToNumberComma(LEFT(RIGHT(Q1364,LEN(Q1364)-FIND("x",Q1364)-1),LEN(RIGHT(Q1364,LEN(Q1364)-FIND("x",Q1364)-1))-2)))</f>
        <v>69</v>
      </c>
    </row>
    <row r="1365" spans="1:19" x14ac:dyDescent="0.25">
      <c r="A1365" t="s">
        <v>1351</v>
      </c>
      <c r="B1365" t="s">
        <v>945</v>
      </c>
      <c r="E1365" t="s">
        <v>2634</v>
      </c>
      <c r="H1365" t="s">
        <v>27</v>
      </c>
      <c r="L1365" t="s">
        <v>2687</v>
      </c>
      <c r="M1365" t="s">
        <v>2757</v>
      </c>
      <c r="N1365" t="s">
        <v>903</v>
      </c>
      <c r="O1365" t="s">
        <v>28</v>
      </c>
      <c r="Q1365" t="s">
        <v>3446</v>
      </c>
      <c r="R1365" s="52">
        <f>_xlfn.NUMBERVALUE(convertNumberStringPointToNumberComma(LEFT(Q1365,FIND("x",Q1365)-2)))</f>
        <v>83.5</v>
      </c>
      <c r="S1365" s="52">
        <f>_xlfn.NUMBERVALUE(convertNumberStringPointToNumberComma(LEFT(RIGHT(Q1365,LEN(Q1365)-FIND("x",Q1365)-1),LEN(RIGHT(Q1365,LEN(Q1365)-FIND("x",Q1365)-1))-2)))</f>
        <v>81</v>
      </c>
    </row>
    <row r="1366" spans="1:19" x14ac:dyDescent="0.25">
      <c r="A1366" t="s">
        <v>1362</v>
      </c>
      <c r="B1366" t="s">
        <v>945</v>
      </c>
      <c r="E1366" t="s">
        <v>2634</v>
      </c>
      <c r="H1366" t="s">
        <v>27</v>
      </c>
      <c r="L1366" t="s">
        <v>2687</v>
      </c>
      <c r="M1366" t="s">
        <v>2708</v>
      </c>
      <c r="N1366" t="s">
        <v>903</v>
      </c>
      <c r="O1366" t="s">
        <v>28</v>
      </c>
      <c r="Q1366" t="s">
        <v>3446</v>
      </c>
      <c r="R1366" s="52">
        <f>_xlfn.NUMBERVALUE(convertNumberStringPointToNumberComma(LEFT(Q1366,FIND("x",Q1366)-2)))</f>
        <v>83.5</v>
      </c>
      <c r="S1366" s="52">
        <f>_xlfn.NUMBERVALUE(convertNumberStringPointToNumberComma(LEFT(RIGHT(Q1366,LEN(Q1366)-FIND("x",Q1366)-1),LEN(RIGHT(Q1366,LEN(Q1366)-FIND("x",Q1366)-1))-2)))</f>
        <v>81</v>
      </c>
    </row>
    <row r="1367" spans="1:19" x14ac:dyDescent="0.25">
      <c r="A1367" t="s">
        <v>1363</v>
      </c>
      <c r="B1367" t="s">
        <v>945</v>
      </c>
      <c r="E1367" t="s">
        <v>2634</v>
      </c>
      <c r="H1367" t="s">
        <v>27</v>
      </c>
      <c r="L1367" t="s">
        <v>2687</v>
      </c>
      <c r="M1367" t="s">
        <v>8</v>
      </c>
      <c r="N1367" t="s">
        <v>903</v>
      </c>
      <c r="O1367" t="s">
        <v>28</v>
      </c>
      <c r="Q1367" t="s">
        <v>3446</v>
      </c>
      <c r="R1367" s="52">
        <f>_xlfn.NUMBERVALUE(convertNumberStringPointToNumberComma(LEFT(Q1367,FIND("x",Q1367)-2)))</f>
        <v>83.5</v>
      </c>
      <c r="S1367" s="52">
        <f>_xlfn.NUMBERVALUE(convertNumberStringPointToNumberComma(LEFT(RIGHT(Q1367,LEN(Q1367)-FIND("x",Q1367)-1),LEN(RIGHT(Q1367,LEN(Q1367)-FIND("x",Q1367)-1))-2)))</f>
        <v>81</v>
      </c>
    </row>
    <row r="1368" spans="1:19" x14ac:dyDescent="0.25">
      <c r="A1368" t="s">
        <v>1629</v>
      </c>
      <c r="B1368" t="s">
        <v>945</v>
      </c>
      <c r="E1368" t="s">
        <v>2634</v>
      </c>
      <c r="H1368" t="s">
        <v>27</v>
      </c>
      <c r="L1368" t="s">
        <v>2687</v>
      </c>
      <c r="M1368" t="s">
        <v>2793</v>
      </c>
      <c r="N1368" t="s">
        <v>903</v>
      </c>
      <c r="O1368" t="s">
        <v>28</v>
      </c>
      <c r="Q1368" t="s">
        <v>3446</v>
      </c>
      <c r="R1368" s="52">
        <f>_xlfn.NUMBERVALUE(convertNumberStringPointToNumberComma(LEFT(Q1368,FIND("x",Q1368)-2)))</f>
        <v>83.5</v>
      </c>
      <c r="S1368" s="52">
        <f>_xlfn.NUMBERVALUE(convertNumberStringPointToNumberComma(LEFT(RIGHT(Q1368,LEN(Q1368)-FIND("x",Q1368)-1),LEN(RIGHT(Q1368,LEN(Q1368)-FIND("x",Q1368)-1))-2)))</f>
        <v>81</v>
      </c>
    </row>
    <row r="1369" spans="1:19" x14ac:dyDescent="0.25">
      <c r="A1369" t="s">
        <v>1303</v>
      </c>
      <c r="B1369" t="s">
        <v>1304</v>
      </c>
      <c r="E1369" t="s">
        <v>2645</v>
      </c>
      <c r="H1369" t="s">
        <v>27</v>
      </c>
      <c r="L1369" t="s">
        <v>2706</v>
      </c>
      <c r="M1369" t="s">
        <v>2708</v>
      </c>
      <c r="N1369" t="s">
        <v>903</v>
      </c>
      <c r="O1369" t="s">
        <v>363</v>
      </c>
      <c r="Q1369" t="s">
        <v>3420</v>
      </c>
      <c r="R1369" s="52">
        <f>_xlfn.NUMBERVALUE(convertNumberStringPointToNumberComma(LEFT(Q1369,FIND("x",Q1369)-2)))</f>
        <v>83.5</v>
      </c>
      <c r="S1369" s="52">
        <f>_xlfn.NUMBERVALUE(convertNumberStringPointToNumberComma(LEFT(RIGHT(Q1369,LEN(Q1369)-FIND("x",Q1369)-1),LEN(RIGHT(Q1369,LEN(Q1369)-FIND("x",Q1369)-1))-2)))</f>
        <v>89.8</v>
      </c>
    </row>
    <row r="1370" spans="1:19" x14ac:dyDescent="0.25">
      <c r="A1370" t="s">
        <v>1078</v>
      </c>
      <c r="B1370" t="s">
        <v>1079</v>
      </c>
      <c r="C1370" s="5">
        <f>convertNumberStringPointToNumberComma(IFERROR(LEFT(B1370,(FIND("-",B1370)-1)),LEFT(B1370,FIND("mm",B1370)-1)))</f>
        <v>17</v>
      </c>
      <c r="D1370" s="5">
        <f>convertNumberStringPointToNumberComma(IFERROR(RIGHT(LEFT(B1370,FIND("m",B1370)-1),LEN(LEFT(B1370,FIND("m",B1370)-1))-FIND("-",LEFT(B1370,FIND("m",B1370)-1))-1),C1370))</f>
        <v>0</v>
      </c>
      <c r="E1370" t="s">
        <v>2632</v>
      </c>
      <c r="F1370" s="9">
        <f>convertNumberStringPointToNumberComma(LEFT(MID(E1370,3,9),IFERROR(FIND("-",MID(E1370,3,9))-2,3)))</f>
        <v>2.8</v>
      </c>
      <c r="G1370" s="9">
        <f>convertNumberStringPointToNumberComma(RIGHT(E1370,IF(ISERROR(FIND(".",RIGHT(E1370,3))),1,3)))</f>
        <v>2.8</v>
      </c>
      <c r="H1370" t="s">
        <v>27</v>
      </c>
      <c r="I1370" s="5" t="str">
        <f>IF(H1370="none",0,LEFT(H1370,LEN(H1370)-2))</f>
        <v>77</v>
      </c>
      <c r="J1370" s="12" t="s">
        <v>16</v>
      </c>
      <c r="K1370" s="10">
        <f>IF(J1370="",0,convertNumberStringPointToNumberComma(LEFT(J1370,LEN(J1370)-1)))</f>
        <v>0.17</v>
      </c>
      <c r="L1370" t="s">
        <v>2698</v>
      </c>
      <c r="M1370" t="s">
        <v>8</v>
      </c>
      <c r="N1370" t="s">
        <v>903</v>
      </c>
      <c r="O1370" t="s">
        <v>278</v>
      </c>
      <c r="P1370" s="5" t="str">
        <f>LEFT(O1370,LEN(O1370)-1)</f>
        <v>565</v>
      </c>
      <c r="Q1370" t="s">
        <v>3300</v>
      </c>
      <c r="R1370" s="52">
        <f>_xlfn.NUMBERVALUE(convertNumberStringPointToNumberComma(LEFT(Q1370,FIND("x",Q1370)-2)))</f>
        <v>83.5</v>
      </c>
      <c r="S1370" s="52">
        <f>_xlfn.NUMBERVALUE(convertNumberStringPointToNumberComma(LEFT(RIGHT(Q1370,LEN(Q1370)-FIND("x",Q1370)-1),LEN(RIGHT(Q1370,LEN(Q1370)-FIND("x",Q1370)-1))-2)))</f>
        <v>91.8</v>
      </c>
    </row>
    <row r="1371" spans="1:19" x14ac:dyDescent="0.25">
      <c r="A1371" t="s">
        <v>1151</v>
      </c>
      <c r="B1371" t="s">
        <v>1079</v>
      </c>
      <c r="C1371" s="5">
        <f>convertNumberStringPointToNumberComma(IFERROR(LEFT(B1371,(FIND("-",B1371)-1)),LEFT(B1371,FIND("mm",B1371)-1)))</f>
        <v>17</v>
      </c>
      <c r="D1371" s="5">
        <f>convertNumberStringPointToNumberComma(IFERROR(RIGHT(LEFT(B1371,FIND("m",B1371)-1),LEN(LEFT(B1371,FIND("m",B1371)-1))-FIND("-",LEFT(B1371,FIND("m",B1371)-1))-1),C1371))</f>
        <v>0</v>
      </c>
      <c r="E1371" t="s">
        <v>2632</v>
      </c>
      <c r="F1371" s="9">
        <f>convertNumberStringPointToNumberComma(LEFT(MID(E1371,3,9),IFERROR(FIND("-",MID(E1371,3,9))-2,3)))</f>
        <v>2.8</v>
      </c>
      <c r="G1371" s="9">
        <f>convertNumberStringPointToNumberComma(RIGHT(E1371,IF(ISERROR(FIND(".",RIGHT(E1371,3))),1,3)))</f>
        <v>2.8</v>
      </c>
      <c r="H1371" t="s">
        <v>27</v>
      </c>
      <c r="I1371" s="5" t="str">
        <f>IF(H1371="none",0,LEFT(H1371,LEN(H1371)-2))</f>
        <v>77</v>
      </c>
      <c r="J1371" s="5" t="s">
        <v>63</v>
      </c>
      <c r="K1371" s="10">
        <f>IF(J1371="",0,convertNumberStringPointToNumberComma(LEFT(J1371,LEN(J1371)-1)))</f>
        <v>1</v>
      </c>
      <c r="L1371" t="s">
        <v>2698</v>
      </c>
      <c r="M1371" t="s">
        <v>2757</v>
      </c>
      <c r="N1371" t="s">
        <v>903</v>
      </c>
      <c r="O1371" t="s">
        <v>278</v>
      </c>
      <c r="P1371" s="5" t="str">
        <f>LEFT(O1371,LEN(O1371)-1)</f>
        <v>565</v>
      </c>
      <c r="Q1371" t="s">
        <v>3300</v>
      </c>
      <c r="R1371" s="52">
        <f>_xlfn.NUMBERVALUE(convertNumberStringPointToNumberComma(LEFT(Q1371,FIND("x",Q1371)-2)))</f>
        <v>83.5</v>
      </c>
      <c r="S1371" s="52">
        <f>_xlfn.NUMBERVALUE(convertNumberStringPointToNumberComma(LEFT(RIGHT(Q1371,LEN(Q1371)-FIND("x",Q1371)-1),LEN(RIGHT(Q1371,LEN(Q1371)-FIND("x",Q1371)-1))-2)))</f>
        <v>91.8</v>
      </c>
    </row>
    <row r="1372" spans="1:19" x14ac:dyDescent="0.25">
      <c r="A1372" t="s">
        <v>1436</v>
      </c>
      <c r="B1372" t="s">
        <v>1079</v>
      </c>
      <c r="E1372" t="s">
        <v>2632</v>
      </c>
      <c r="H1372" t="s">
        <v>27</v>
      </c>
      <c r="L1372" t="s">
        <v>2698</v>
      </c>
      <c r="M1372" t="s">
        <v>2802</v>
      </c>
      <c r="N1372" t="s">
        <v>903</v>
      </c>
      <c r="O1372" t="s">
        <v>278</v>
      </c>
      <c r="Q1372" t="s">
        <v>3300</v>
      </c>
      <c r="R1372" s="52">
        <f>_xlfn.NUMBERVALUE(convertNumberStringPointToNumberComma(LEFT(Q1372,FIND("x",Q1372)-2)))</f>
        <v>83.5</v>
      </c>
      <c r="S1372" s="52">
        <f>_xlfn.NUMBERVALUE(convertNumberStringPointToNumberComma(LEFT(RIGHT(Q1372,LEN(Q1372)-FIND("x",Q1372)-1),LEN(RIGHT(Q1372,LEN(Q1372)-FIND("x",Q1372)-1))-2)))</f>
        <v>91.8</v>
      </c>
    </row>
    <row r="1373" spans="1:19" x14ac:dyDescent="0.25">
      <c r="A1373" t="s">
        <v>1740</v>
      </c>
      <c r="B1373" t="s">
        <v>1079</v>
      </c>
      <c r="E1373" t="s">
        <v>2632</v>
      </c>
      <c r="H1373" t="s">
        <v>27</v>
      </c>
      <c r="L1373" t="s">
        <v>2698</v>
      </c>
      <c r="M1373" t="s">
        <v>2793</v>
      </c>
      <c r="N1373" t="s">
        <v>903</v>
      </c>
      <c r="O1373" t="s">
        <v>278</v>
      </c>
      <c r="Q1373" t="s">
        <v>3300</v>
      </c>
      <c r="R1373" s="52">
        <f>_xlfn.NUMBERVALUE(convertNumberStringPointToNumberComma(LEFT(Q1373,FIND("x",Q1373)-2)))</f>
        <v>83.5</v>
      </c>
      <c r="S1373" s="52">
        <f>_xlfn.NUMBERVALUE(convertNumberStringPointToNumberComma(LEFT(RIGHT(Q1373,LEN(Q1373)-FIND("x",Q1373)-1),LEN(RIGHT(Q1373,LEN(Q1373)-FIND("x",Q1373)-1))-2)))</f>
        <v>91.8</v>
      </c>
    </row>
    <row r="1374" spans="1:19" x14ac:dyDescent="0.25">
      <c r="A1374" t="s">
        <v>2434</v>
      </c>
      <c r="B1374" t="s">
        <v>1079</v>
      </c>
      <c r="E1374" t="s">
        <v>2632</v>
      </c>
      <c r="H1374" t="s">
        <v>27</v>
      </c>
      <c r="L1374" t="s">
        <v>2698</v>
      </c>
      <c r="M1374" t="s">
        <v>2708</v>
      </c>
      <c r="N1374" t="s">
        <v>903</v>
      </c>
      <c r="O1374" t="s">
        <v>278</v>
      </c>
      <c r="Q1374" t="s">
        <v>3300</v>
      </c>
      <c r="R1374" s="52">
        <f>_xlfn.NUMBERVALUE(convertNumberStringPointToNumberComma(LEFT(Q1374,FIND("x",Q1374)-2)))</f>
        <v>83.5</v>
      </c>
      <c r="S1374" s="52">
        <f>_xlfn.NUMBERVALUE(convertNumberStringPointToNumberComma(LEFT(RIGHT(Q1374,LEN(Q1374)-FIND("x",Q1374)-1),LEN(RIGHT(Q1374,LEN(Q1374)-FIND("x",Q1374)-1))-2)))</f>
        <v>91.8</v>
      </c>
    </row>
    <row r="1375" spans="1:19" x14ac:dyDescent="0.25">
      <c r="A1375" t="s">
        <v>2478</v>
      </c>
      <c r="B1375" t="s">
        <v>2479</v>
      </c>
      <c r="E1375" t="s">
        <v>2633</v>
      </c>
      <c r="H1375" t="s">
        <v>27</v>
      </c>
      <c r="L1375" t="s">
        <v>2677</v>
      </c>
      <c r="M1375" t="s">
        <v>2682</v>
      </c>
      <c r="N1375" t="s">
        <v>913</v>
      </c>
      <c r="O1375" t="s">
        <v>562</v>
      </c>
      <c r="Q1375" t="s">
        <v>4017</v>
      </c>
      <c r="R1375" s="52">
        <f>_xlfn.NUMBERVALUE(convertNumberStringPointToNumberComma(LEFT(Q1375,FIND("x",Q1375)-2)))</f>
        <v>83.5</v>
      </c>
      <c r="S1375" s="52">
        <f>_xlfn.NUMBERVALUE(convertNumberStringPointToNumberComma(LEFT(RIGHT(Q1375,LEN(Q1375)-FIND("x",Q1375)-1),LEN(RIGHT(Q1375,LEN(Q1375)-FIND("x",Q1375)-1))-2)))</f>
        <v>96.8</v>
      </c>
    </row>
    <row r="1376" spans="1:19" x14ac:dyDescent="0.25">
      <c r="A1376" t="s">
        <v>1289</v>
      </c>
      <c r="B1376" t="s">
        <v>552</v>
      </c>
      <c r="E1376" t="s">
        <v>2635</v>
      </c>
      <c r="H1376" t="s">
        <v>27</v>
      </c>
      <c r="L1376" t="s">
        <v>2816</v>
      </c>
      <c r="M1376" t="s">
        <v>8</v>
      </c>
      <c r="N1376" t="s">
        <v>913</v>
      </c>
      <c r="O1376" t="s">
        <v>257</v>
      </c>
      <c r="Q1376" t="s">
        <v>3412</v>
      </c>
      <c r="R1376" s="52">
        <f>_xlfn.NUMBERVALUE(convertNumberStringPointToNumberComma(LEFT(Q1376,FIND("x",Q1376)-2)))</f>
        <v>83.6</v>
      </c>
      <c r="S1376" s="52">
        <f>_xlfn.NUMBERVALUE(convertNumberStringPointToNumberComma(LEFT(RIGHT(Q1376,LEN(Q1376)-FIND("x",Q1376)-1),LEN(RIGHT(Q1376,LEN(Q1376)-FIND("x",Q1376)-1))-2)))</f>
        <v>80</v>
      </c>
    </row>
    <row r="1377" spans="1:19" x14ac:dyDescent="0.25">
      <c r="A1377" t="s">
        <v>1578</v>
      </c>
      <c r="B1377" t="s">
        <v>552</v>
      </c>
      <c r="E1377" t="s">
        <v>2635</v>
      </c>
      <c r="H1377" t="s">
        <v>27</v>
      </c>
      <c r="L1377" t="s">
        <v>2816</v>
      </c>
      <c r="M1377" t="s">
        <v>2757</v>
      </c>
      <c r="N1377" t="s">
        <v>913</v>
      </c>
      <c r="O1377" t="s">
        <v>257</v>
      </c>
      <c r="Q1377" t="s">
        <v>3412</v>
      </c>
      <c r="R1377" s="52">
        <f>_xlfn.NUMBERVALUE(convertNumberStringPointToNumberComma(LEFT(Q1377,FIND("x",Q1377)-2)))</f>
        <v>83.6</v>
      </c>
      <c r="S1377" s="52">
        <f>_xlfn.NUMBERVALUE(convertNumberStringPointToNumberComma(LEFT(RIGHT(Q1377,LEN(Q1377)-FIND("x",Q1377)-1),LEN(RIGHT(Q1377,LEN(Q1377)-FIND("x",Q1377)-1))-2)))</f>
        <v>80</v>
      </c>
    </row>
    <row r="1378" spans="1:19" x14ac:dyDescent="0.25">
      <c r="A1378" t="s">
        <v>2122</v>
      </c>
      <c r="B1378" t="s">
        <v>505</v>
      </c>
      <c r="E1378" t="s">
        <v>2635</v>
      </c>
      <c r="H1378" t="s">
        <v>27</v>
      </c>
      <c r="L1378" t="s">
        <v>2888</v>
      </c>
      <c r="M1378" t="s">
        <v>2793</v>
      </c>
      <c r="N1378" t="s">
        <v>903</v>
      </c>
      <c r="O1378" t="s">
        <v>257</v>
      </c>
      <c r="Q1378" t="s">
        <v>3412</v>
      </c>
      <c r="R1378" s="52">
        <f>_xlfn.NUMBERVALUE(convertNumberStringPointToNumberComma(LEFT(Q1378,FIND("x",Q1378)-2)))</f>
        <v>83.6</v>
      </c>
      <c r="S1378" s="52">
        <f>_xlfn.NUMBERVALUE(convertNumberStringPointToNumberComma(LEFT(RIGHT(Q1378,LEN(Q1378)-FIND("x",Q1378)-1),LEN(RIGHT(Q1378,LEN(Q1378)-FIND("x",Q1378)-1))-2)))</f>
        <v>80</v>
      </c>
    </row>
    <row r="1379" spans="1:19" x14ac:dyDescent="0.25">
      <c r="A1379" t="s">
        <v>2123</v>
      </c>
      <c r="B1379" t="s">
        <v>552</v>
      </c>
      <c r="E1379" t="s">
        <v>2635</v>
      </c>
      <c r="H1379" t="s">
        <v>27</v>
      </c>
      <c r="L1379" t="s">
        <v>2816</v>
      </c>
      <c r="M1379" t="s">
        <v>2793</v>
      </c>
      <c r="N1379" t="s">
        <v>903</v>
      </c>
      <c r="O1379" t="s">
        <v>257</v>
      </c>
      <c r="Q1379" t="s">
        <v>3412</v>
      </c>
      <c r="R1379" s="52">
        <f>_xlfn.NUMBERVALUE(convertNumberStringPointToNumberComma(LEFT(Q1379,FIND("x",Q1379)-2)))</f>
        <v>83.6</v>
      </c>
      <c r="S1379" s="52">
        <f>_xlfn.NUMBERVALUE(convertNumberStringPointToNumberComma(LEFT(RIGHT(Q1379,LEN(Q1379)-FIND("x",Q1379)-1),LEN(RIGHT(Q1379,LEN(Q1379)-FIND("x",Q1379)-1))-2)))</f>
        <v>80</v>
      </c>
    </row>
    <row r="1380" spans="1:19" x14ac:dyDescent="0.25">
      <c r="A1380" t="s">
        <v>2331</v>
      </c>
      <c r="B1380" t="s">
        <v>505</v>
      </c>
      <c r="E1380" t="s">
        <v>2635</v>
      </c>
      <c r="H1380" t="s">
        <v>27</v>
      </c>
      <c r="L1380" t="s">
        <v>2888</v>
      </c>
      <c r="M1380" t="s">
        <v>2802</v>
      </c>
      <c r="N1380" t="s">
        <v>913</v>
      </c>
      <c r="O1380" t="s">
        <v>257</v>
      </c>
      <c r="Q1380" t="s">
        <v>3412</v>
      </c>
      <c r="R1380" s="52">
        <f>_xlfn.NUMBERVALUE(convertNumberStringPointToNumberComma(LEFT(Q1380,FIND("x",Q1380)-2)))</f>
        <v>83.6</v>
      </c>
      <c r="S1380" s="52">
        <f>_xlfn.NUMBERVALUE(convertNumberStringPointToNumberComma(LEFT(RIGHT(Q1380,LEN(Q1380)-FIND("x",Q1380)-1),LEN(RIGHT(Q1380,LEN(Q1380)-FIND("x",Q1380)-1))-2)))</f>
        <v>80</v>
      </c>
    </row>
    <row r="1381" spans="1:19" x14ac:dyDescent="0.25">
      <c r="A1381" t="s">
        <v>986</v>
      </c>
      <c r="B1381" t="s">
        <v>987</v>
      </c>
      <c r="C1381" s="5">
        <f>convertNumberStringPointToNumberComma(IFERROR(LEFT(B1381,(FIND("-",B1381)-1)),LEFT(B1381,FIND("mm",B1381)-1)))</f>
        <v>10</v>
      </c>
      <c r="D1381" s="5">
        <f>convertNumberStringPointToNumberComma(IFERROR(RIGHT(LEFT(B1381,FIND("m",B1381)-1),LEN(LEFT(B1381,FIND("m",B1381)-1))-FIND("-",LEFT(B1381,FIND("m",B1381)-1))-1),C1381))</f>
        <v>4</v>
      </c>
      <c r="E1381" t="s">
        <v>2645</v>
      </c>
      <c r="F1381" s="9">
        <f>convertNumberStringPointToNumberComma(LEFT(MID(E1381,3,9),IFERROR(FIND("-",MID(E1381,3,9))-2,3)))</f>
        <v>3</v>
      </c>
      <c r="G1381" s="9">
        <f>convertNumberStringPointToNumberComma(RIGHT(E1381,IF(ISERROR(FIND(".",RIGHT(E1381,3))),1,3)))</f>
        <v>4.5</v>
      </c>
      <c r="H1381" t="s">
        <v>27</v>
      </c>
      <c r="I1381" s="5" t="str">
        <f>IF(H1381="none",0,LEFT(H1381,LEN(H1381)-2))</f>
        <v>77</v>
      </c>
      <c r="J1381" s="5" t="s">
        <v>251</v>
      </c>
      <c r="K1381" s="10">
        <f>IF(J1381="",0,convertNumberStringPointToNumberComma(LEFT(J1381,LEN(J1381)-1)))</f>
        <v>0.22</v>
      </c>
      <c r="L1381" t="s">
        <v>2732</v>
      </c>
      <c r="M1381" t="s">
        <v>8</v>
      </c>
      <c r="N1381" t="s">
        <v>903</v>
      </c>
      <c r="O1381" t="s">
        <v>37</v>
      </c>
      <c r="P1381" s="5" t="str">
        <f>LEFT(O1381,LEN(O1381)-1)</f>
        <v>440</v>
      </c>
      <c r="Q1381" t="s">
        <v>3241</v>
      </c>
      <c r="R1381" s="52">
        <f>_xlfn.NUMBERVALUE(convertNumberStringPointToNumberComma(LEFT(Q1381,FIND("x",Q1381)-2)))</f>
        <v>83.6</v>
      </c>
      <c r="S1381" s="52">
        <f>_xlfn.NUMBERVALUE(convertNumberStringPointToNumberComma(LEFT(RIGHT(Q1381,LEN(Q1381)-FIND("x",Q1381)-1),LEN(RIGHT(Q1381,LEN(Q1381)-FIND("x",Q1381)-1))-2)))</f>
        <v>82.1</v>
      </c>
    </row>
    <row r="1382" spans="1:19" x14ac:dyDescent="0.25">
      <c r="A1382" t="s">
        <v>1892</v>
      </c>
      <c r="B1382" t="s">
        <v>987</v>
      </c>
      <c r="E1382" t="s">
        <v>2645</v>
      </c>
      <c r="H1382" t="s">
        <v>27</v>
      </c>
      <c r="L1382" t="s">
        <v>2732</v>
      </c>
      <c r="M1382" t="s">
        <v>2708</v>
      </c>
      <c r="N1382" t="s">
        <v>903</v>
      </c>
      <c r="O1382" t="s">
        <v>37</v>
      </c>
      <c r="Q1382" t="s">
        <v>3738</v>
      </c>
      <c r="R1382" s="52">
        <f>_xlfn.NUMBERVALUE(convertNumberStringPointToNumberComma(LEFT(Q1382,FIND("x",Q1382)-2)))</f>
        <v>83.6</v>
      </c>
      <c r="S1382" s="52">
        <f>_xlfn.NUMBERVALUE(convertNumberStringPointToNumberComma(LEFT(RIGHT(Q1382,LEN(Q1382)-FIND("x",Q1382)-1),LEN(RIGHT(Q1382,LEN(Q1382)-FIND("x",Q1382)-1))-2)))</f>
        <v>84.6</v>
      </c>
    </row>
    <row r="1383" spans="1:19" x14ac:dyDescent="0.25">
      <c r="A1383" t="s">
        <v>1905</v>
      </c>
      <c r="B1383" t="s">
        <v>222</v>
      </c>
      <c r="E1383" t="s">
        <v>2633</v>
      </c>
      <c r="H1383" t="s">
        <v>27</v>
      </c>
      <c r="L1383" t="s">
        <v>2707</v>
      </c>
      <c r="M1383" t="s">
        <v>2682</v>
      </c>
      <c r="N1383" t="s">
        <v>913</v>
      </c>
      <c r="O1383" t="s">
        <v>2749</v>
      </c>
      <c r="Q1383" t="s">
        <v>3744</v>
      </c>
      <c r="R1383" s="52">
        <f>_xlfn.NUMBERVALUE(convertNumberStringPointToNumberComma(LEFT(Q1383,FIND("x",Q1383)-2)))</f>
        <v>83.8</v>
      </c>
      <c r="S1383" s="52">
        <f>_xlfn.NUMBERVALUE(convertNumberStringPointToNumberComma(LEFT(RIGHT(Q1383,LEN(Q1383)-FIND("x",Q1383)-1),LEN(RIGHT(Q1383,LEN(Q1383)-FIND("x",Q1383)-1))-2)))</f>
        <v>64.7</v>
      </c>
    </row>
    <row r="1384" spans="1:19" x14ac:dyDescent="0.25">
      <c r="A1384" t="s">
        <v>1907</v>
      </c>
      <c r="B1384" t="s">
        <v>222</v>
      </c>
      <c r="E1384" t="s">
        <v>2633</v>
      </c>
      <c r="H1384" t="s">
        <v>27</v>
      </c>
      <c r="L1384" t="s">
        <v>2707</v>
      </c>
      <c r="M1384" t="s">
        <v>8</v>
      </c>
      <c r="N1384" t="s">
        <v>913</v>
      </c>
      <c r="O1384" t="s">
        <v>2749</v>
      </c>
      <c r="Q1384" t="s">
        <v>3744</v>
      </c>
      <c r="R1384" s="52">
        <f>_xlfn.NUMBERVALUE(convertNumberStringPointToNumberComma(LEFT(Q1384,FIND("x",Q1384)-2)))</f>
        <v>83.8</v>
      </c>
      <c r="S1384" s="52">
        <f>_xlfn.NUMBERVALUE(convertNumberStringPointToNumberComma(LEFT(RIGHT(Q1384,LEN(Q1384)-FIND("x",Q1384)-1),LEN(RIGHT(Q1384,LEN(Q1384)-FIND("x",Q1384)-1))-2)))</f>
        <v>64.7</v>
      </c>
    </row>
    <row r="1385" spans="1:19" x14ac:dyDescent="0.25">
      <c r="A1385" t="s">
        <v>1908</v>
      </c>
      <c r="B1385" t="s">
        <v>222</v>
      </c>
      <c r="E1385" t="s">
        <v>2633</v>
      </c>
      <c r="H1385" t="s">
        <v>27</v>
      </c>
      <c r="L1385" t="s">
        <v>2707</v>
      </c>
      <c r="M1385" t="s">
        <v>2674</v>
      </c>
      <c r="N1385" t="s">
        <v>913</v>
      </c>
      <c r="O1385" t="s">
        <v>2749</v>
      </c>
      <c r="Q1385" t="s">
        <v>3744</v>
      </c>
      <c r="R1385" s="52">
        <f>_xlfn.NUMBERVALUE(convertNumberStringPointToNumberComma(LEFT(Q1385,FIND("x",Q1385)-2)))</f>
        <v>83.8</v>
      </c>
      <c r="S1385" s="52">
        <f>_xlfn.NUMBERVALUE(convertNumberStringPointToNumberComma(LEFT(RIGHT(Q1385,LEN(Q1385)-FIND("x",Q1385)-1),LEN(RIGHT(Q1385,LEN(Q1385)-FIND("x",Q1385)-1))-2)))</f>
        <v>64.7</v>
      </c>
    </row>
    <row r="1386" spans="1:19" x14ac:dyDescent="0.25">
      <c r="A1386" t="s">
        <v>1909</v>
      </c>
      <c r="B1386" t="s">
        <v>222</v>
      </c>
      <c r="E1386" t="s">
        <v>2633</v>
      </c>
      <c r="H1386" t="s">
        <v>27</v>
      </c>
      <c r="L1386" t="s">
        <v>2707</v>
      </c>
      <c r="M1386" t="s">
        <v>2757</v>
      </c>
      <c r="N1386" t="s">
        <v>913</v>
      </c>
      <c r="O1386" t="s">
        <v>2749</v>
      </c>
      <c r="Q1386" t="s">
        <v>3744</v>
      </c>
      <c r="R1386" s="52">
        <f>_xlfn.NUMBERVALUE(convertNumberStringPointToNumberComma(LEFT(Q1386,FIND("x",Q1386)-2)))</f>
        <v>83.8</v>
      </c>
      <c r="S1386" s="52">
        <f>_xlfn.NUMBERVALUE(convertNumberStringPointToNumberComma(LEFT(RIGHT(Q1386,LEN(Q1386)-FIND("x",Q1386)-1),LEN(RIGHT(Q1386,LEN(Q1386)-FIND("x",Q1386)-1))-2)))</f>
        <v>64.7</v>
      </c>
    </row>
    <row r="1387" spans="1:19" x14ac:dyDescent="0.25">
      <c r="A1387" t="s">
        <v>953</v>
      </c>
      <c r="B1387" t="s">
        <v>954</v>
      </c>
      <c r="C1387" s="5">
        <f>convertNumberStringPointToNumberComma(IFERROR(LEFT(B1387,(FIND("-",B1387)-1)),LEFT(B1387,FIND("mm",B1387)-1)))</f>
        <v>24</v>
      </c>
      <c r="D1387" s="5">
        <f>convertNumberStringPointToNumberComma(IFERROR(RIGHT(LEFT(B1387,FIND("m",B1387)-1),LEN(LEFT(B1387,FIND("m",B1387)-1))-FIND("-",LEFT(B1387,FIND("m",B1387)-1))-1),C1387))</f>
        <v>20</v>
      </c>
      <c r="E1387" t="s">
        <v>2633</v>
      </c>
      <c r="F1387" s="9">
        <f>convertNumberStringPointToNumberComma(LEFT(MID(E1387,3,9),IFERROR(FIND("-",MID(E1387,3,9))-2,3)))</f>
        <v>4</v>
      </c>
      <c r="G1387" s="9">
        <f>convertNumberStringPointToNumberComma(RIGHT(E1387,IF(ISERROR(FIND(".",RIGHT(E1387,3))),1,3)))</f>
        <v>4</v>
      </c>
      <c r="H1387" t="s">
        <v>27</v>
      </c>
      <c r="I1387" s="5" t="str">
        <f>IF(H1387="none",0,LEFT(H1387,LEN(H1387)-2))</f>
        <v>77</v>
      </c>
      <c r="J1387" s="5" t="s">
        <v>22</v>
      </c>
      <c r="K1387" s="10">
        <f>IF(J1387="",0,convertNumberStringPointToNumberComma(LEFT(J1387,LEN(J1387)-1)))</f>
        <v>0.15</v>
      </c>
      <c r="L1387" t="s">
        <v>2677</v>
      </c>
      <c r="M1387" t="s">
        <v>8</v>
      </c>
      <c r="N1387" t="s">
        <v>913</v>
      </c>
      <c r="O1387" t="s">
        <v>370</v>
      </c>
      <c r="P1387" s="5" t="str">
        <f>LEFT(O1387,LEN(O1387)-1)</f>
        <v>710</v>
      </c>
      <c r="Q1387" t="s">
        <v>3221</v>
      </c>
      <c r="R1387" s="52">
        <f>_xlfn.NUMBERVALUE(convertNumberStringPointToNumberComma(LEFT(Q1387,FIND("x",Q1387)-2)))</f>
        <v>84</v>
      </c>
      <c r="S1387" s="52">
        <f>_xlfn.NUMBERVALUE(convertNumberStringPointToNumberComma(LEFT(RIGHT(Q1387,LEN(Q1387)-FIND("x",Q1387)-1),LEN(RIGHT(Q1387,LEN(Q1387)-FIND("x",Q1387)-1))-2)))</f>
        <v>103.5</v>
      </c>
    </row>
    <row r="1388" spans="1:19" x14ac:dyDescent="0.25">
      <c r="A1388" t="s">
        <v>926</v>
      </c>
      <c r="B1388" t="s">
        <v>927</v>
      </c>
      <c r="C1388" s="5">
        <f>convertNumberStringPointToNumberComma(IFERROR(LEFT(B1388,(FIND("-",B1388)-1)),LEFT(B1388,FIND("mm",B1388)-1)))</f>
        <v>70</v>
      </c>
      <c r="D1388" s="5">
        <f>convertNumberStringPointToNumberComma(IFERROR(RIGHT(LEFT(B1388,FIND("m",B1388)-1),LEN(LEFT(B1388,FIND("m",B1388)-1))-FIND("-",LEFT(B1388,FIND("m",B1388)-1))-1),C1388))</f>
        <v>0</v>
      </c>
      <c r="E1388" t="s">
        <v>2634</v>
      </c>
      <c r="F1388" s="9">
        <f>convertNumberStringPointToNumberComma(LEFT(MID(E1388,3,9),IFERROR(FIND("-",MID(E1388,3,9))-2,3)))</f>
        <v>4</v>
      </c>
      <c r="G1388" s="9">
        <f>convertNumberStringPointToNumberComma(RIGHT(E1388,IF(ISERROR(FIND(".",RIGHT(E1388,3))),1,3)))</f>
        <v>5.6</v>
      </c>
      <c r="H1388" t="s">
        <v>15</v>
      </c>
      <c r="I1388" s="5" t="str">
        <f>IF(H1388="none",0,LEFT(H1388,LEN(H1388)-2))</f>
        <v>72</v>
      </c>
      <c r="J1388" s="5" t="s">
        <v>22</v>
      </c>
      <c r="K1388" s="10">
        <f>IF(J1388="",0,convertNumberStringPointToNumberComma(LEFT(J1388,LEN(J1388)-1)))</f>
        <v>0.15</v>
      </c>
      <c r="L1388" t="s">
        <v>2688</v>
      </c>
      <c r="M1388" t="s">
        <v>2674</v>
      </c>
      <c r="N1388" t="s">
        <v>913</v>
      </c>
      <c r="O1388" t="s">
        <v>2689</v>
      </c>
      <c r="P1388" s="5" t="str">
        <f>LEFT(O1388,LEN(O1388)-1)</f>
        <v>854</v>
      </c>
      <c r="Q1388" t="s">
        <v>3204</v>
      </c>
      <c r="R1388" s="52">
        <f>_xlfn.NUMBERVALUE(convertNumberStringPointToNumberComma(LEFT(Q1388,FIND("x",Q1388)-2)))</f>
        <v>84</v>
      </c>
      <c r="S1388" s="52">
        <f>_xlfn.NUMBERVALUE(convertNumberStringPointToNumberComma(LEFT(RIGHT(Q1388,LEN(Q1388)-FIND("x",Q1388)-1),LEN(RIGHT(Q1388,LEN(Q1388)-FIND("x",Q1388)-1))-2)))</f>
        <v>143.5</v>
      </c>
    </row>
    <row r="1389" spans="1:19" x14ac:dyDescent="0.25">
      <c r="B1389" t="s">
        <v>2419</v>
      </c>
      <c r="E1389" t="s">
        <v>2632</v>
      </c>
      <c r="H1389" t="s">
        <v>56</v>
      </c>
      <c r="L1389" t="s">
        <v>2992</v>
      </c>
      <c r="M1389" t="s">
        <v>3134</v>
      </c>
      <c r="N1389" t="s">
        <v>2959</v>
      </c>
      <c r="O1389" t="s">
        <v>100</v>
      </c>
      <c r="Q1389" t="s">
        <v>3959</v>
      </c>
      <c r="R1389" s="52">
        <f>_xlfn.NUMBERVALUE(convertNumberStringPointToNumberComma(LEFT(Q1389,FIND("x",Q1389)-2)))</f>
        <v>84</v>
      </c>
      <c r="S1389" s="52">
        <f>_xlfn.NUMBERVALUE(convertNumberStringPointToNumberComma(LEFT(RIGHT(Q1389,LEN(Q1389)-FIND("x",Q1389)-1),LEN(RIGHT(Q1389,LEN(Q1389)-FIND("x",Q1389)-1))-2)))</f>
        <v>70</v>
      </c>
    </row>
    <row r="1390" spans="1:19" x14ac:dyDescent="0.25">
      <c r="A1390" t="s">
        <v>2197</v>
      </c>
      <c r="B1390" t="s">
        <v>2198</v>
      </c>
      <c r="E1390" t="s">
        <v>2639</v>
      </c>
      <c r="H1390" t="s">
        <v>27</v>
      </c>
      <c r="L1390" t="s">
        <v>3095</v>
      </c>
      <c r="M1390" t="s">
        <v>8</v>
      </c>
      <c r="N1390" t="s">
        <v>903</v>
      </c>
      <c r="O1390" t="s">
        <v>246</v>
      </c>
      <c r="Q1390" t="s">
        <v>261</v>
      </c>
      <c r="R1390" s="52">
        <f>_xlfn.NUMBERVALUE(convertNumberStringPointToNumberComma(LEFT(Q1390,FIND("x",Q1390)-2)))</f>
        <v>84</v>
      </c>
      <c r="S1390" s="52">
        <f>_xlfn.NUMBERVALUE(convertNumberStringPointToNumberComma(LEFT(RIGHT(Q1390,LEN(Q1390)-FIND("x",Q1390)-1),LEN(RIGHT(Q1390,LEN(Q1390)-FIND("x",Q1390)-1))-2)))</f>
        <v>78</v>
      </c>
    </row>
    <row r="1391" spans="1:19" x14ac:dyDescent="0.25">
      <c r="A1391" t="s">
        <v>1218</v>
      </c>
      <c r="B1391" t="s">
        <v>948</v>
      </c>
      <c r="C1391" s="5">
        <f>convertNumberStringPointToNumberComma(IFERROR(LEFT(B1391,(FIND("-",B1391)-1)),LEFT(B1391,FIND("mm",B1391)-1)))</f>
        <v>12</v>
      </c>
      <c r="D1391" s="5">
        <f>convertNumberStringPointToNumberComma(IFERROR(RIGHT(LEFT(B1391,FIND("m",B1391)-1),LEN(LEFT(B1391,FIND("m",B1391)-1))-FIND("-",LEFT(B1391,FIND("m",B1391)-1))-1),C1391))</f>
        <v>4</v>
      </c>
      <c r="E1391" t="s">
        <v>2633</v>
      </c>
      <c r="F1391" s="9">
        <f>convertNumberStringPointToNumberComma(LEFT(MID(E1391,3,9),IFERROR(FIND("-",MID(E1391,3,9))-2,3)))</f>
        <v>4</v>
      </c>
      <c r="G1391" s="9">
        <f>convertNumberStringPointToNumberComma(RIGHT(E1391,IF(ISERROR(FIND(".",RIGHT(E1391,3))),1,3)))</f>
        <v>4</v>
      </c>
      <c r="H1391" t="s">
        <v>27</v>
      </c>
      <c r="I1391" s="5" t="str">
        <f>IF(H1391="none",0,LEFT(H1391,LEN(H1391)-2))</f>
        <v>77</v>
      </c>
      <c r="J1391" s="5"/>
      <c r="K1391" s="10">
        <f>IF(J1391="",0,convertNumberStringPointToNumberComma(LEFT(J1391,LEN(J1391)-1)))</f>
        <v>0</v>
      </c>
      <c r="L1391" t="s">
        <v>2753</v>
      </c>
      <c r="M1391" t="s">
        <v>2802</v>
      </c>
      <c r="N1391" t="s">
        <v>903</v>
      </c>
      <c r="O1391" t="s">
        <v>327</v>
      </c>
      <c r="P1391" s="5" t="str">
        <f>LEFT(O1391,LEN(O1391)-1)</f>
        <v>430</v>
      </c>
      <c r="Q1391" t="s">
        <v>3371</v>
      </c>
      <c r="R1391" s="52">
        <f>_xlfn.NUMBERVALUE(convertNumberStringPointToNumberComma(LEFT(Q1391,FIND("x",Q1391)-2)))</f>
        <v>84</v>
      </c>
      <c r="S1391" s="52">
        <f>_xlfn.NUMBERVALUE(convertNumberStringPointToNumberComma(LEFT(RIGHT(Q1391,LEN(Q1391)-FIND("x",Q1391)-1),LEN(RIGHT(Q1391,LEN(Q1391)-FIND("x",Q1391)-1))-2)))</f>
        <v>87.5</v>
      </c>
    </row>
    <row r="1392" spans="1:19" x14ac:dyDescent="0.25">
      <c r="A1392" t="s">
        <v>1229</v>
      </c>
      <c r="B1392" t="s">
        <v>1230</v>
      </c>
      <c r="C1392" s="5">
        <f>convertNumberStringPointToNumberComma(IFERROR(LEFT(B1392,(FIND("-",B1392)-1)),LEFT(B1392,FIND("mm",B1392)-1)))</f>
        <v>11</v>
      </c>
      <c r="D1392" s="5">
        <f>convertNumberStringPointToNumberComma(IFERROR(RIGHT(LEFT(B1392,FIND("m",B1392)-1),LEN(LEFT(B1392,FIND("m",B1392)-1))-FIND("-",LEFT(B1392,FIND("m",B1392)-1))-1),C1392))</f>
        <v>6</v>
      </c>
      <c r="E1392" t="s">
        <v>2632</v>
      </c>
      <c r="F1392" s="9">
        <f>convertNumberStringPointToNumberComma(LEFT(MID(E1392,3,9),IFERROR(FIND("-",MID(E1392,3,9))-2,3)))</f>
        <v>2.8</v>
      </c>
      <c r="G1392" s="9">
        <f>convertNumberStringPointToNumberComma(RIGHT(E1392,IF(ISERROR(FIND(".",RIGHT(E1392,3))),1,3)))</f>
        <v>2.8</v>
      </c>
      <c r="H1392" t="s">
        <v>27</v>
      </c>
      <c r="I1392" s="5" t="str">
        <f>IF(H1392="none",0,LEFT(H1392,LEN(H1392)-2))</f>
        <v>77</v>
      </c>
      <c r="J1392" s="5" t="s">
        <v>333</v>
      </c>
      <c r="K1392" s="10">
        <f>IF(J1392="",0,convertNumberStringPointToNumberComma(LEFT(J1392,LEN(J1392)-1)))</f>
        <v>0.27</v>
      </c>
      <c r="L1392" t="s">
        <v>2850</v>
      </c>
      <c r="M1392" t="s">
        <v>2708</v>
      </c>
      <c r="N1392" t="s">
        <v>903</v>
      </c>
      <c r="O1392" t="s">
        <v>108</v>
      </c>
      <c r="P1392" s="5" t="str">
        <f>LEFT(O1392,LEN(O1392)-1)</f>
        <v>550</v>
      </c>
      <c r="Q1392" t="s">
        <v>3377</v>
      </c>
      <c r="R1392" s="52">
        <f>_xlfn.NUMBERVALUE(convertNumberStringPointToNumberComma(LEFT(Q1392,FIND("x",Q1392)-2)))</f>
        <v>84</v>
      </c>
      <c r="S1392" s="52">
        <f>_xlfn.NUMBERVALUE(convertNumberStringPointToNumberComma(LEFT(RIGHT(Q1392,LEN(Q1392)-FIND("x",Q1392)-1),LEN(RIGHT(Q1392,LEN(Q1392)-FIND("x",Q1392)-1))-2)))</f>
        <v>89</v>
      </c>
    </row>
    <row r="1393" spans="1:19" x14ac:dyDescent="0.25">
      <c r="A1393" t="s">
        <v>2459</v>
      </c>
      <c r="B1393" t="s">
        <v>1230</v>
      </c>
      <c r="E1393" t="s">
        <v>2632</v>
      </c>
      <c r="H1393" t="s">
        <v>27</v>
      </c>
      <c r="L1393" t="s">
        <v>2850</v>
      </c>
      <c r="M1393" t="s">
        <v>8</v>
      </c>
      <c r="N1393" t="s">
        <v>903</v>
      </c>
      <c r="O1393" t="s">
        <v>108</v>
      </c>
      <c r="Q1393" t="s">
        <v>3377</v>
      </c>
      <c r="R1393" s="52">
        <f>_xlfn.NUMBERVALUE(convertNumberStringPointToNumberComma(LEFT(Q1393,FIND("x",Q1393)-2)))</f>
        <v>84</v>
      </c>
      <c r="S1393" s="52">
        <f>_xlfn.NUMBERVALUE(convertNumberStringPointToNumberComma(LEFT(RIGHT(Q1393,LEN(Q1393)-FIND("x",Q1393)-1),LEN(RIGHT(Q1393,LEN(Q1393)-FIND("x",Q1393)-1))-2)))</f>
        <v>89</v>
      </c>
    </row>
    <row r="1394" spans="1:19" x14ac:dyDescent="0.25">
      <c r="A1394" t="s">
        <v>2592</v>
      </c>
      <c r="B1394" t="s">
        <v>2593</v>
      </c>
      <c r="E1394" t="s">
        <v>2633</v>
      </c>
      <c r="H1394" t="s">
        <v>27</v>
      </c>
      <c r="L1394" t="s">
        <v>3186</v>
      </c>
      <c r="M1394" t="s">
        <v>8</v>
      </c>
      <c r="N1394" t="s">
        <v>903</v>
      </c>
      <c r="O1394" t="s">
        <v>123</v>
      </c>
      <c r="Q1394" t="s">
        <v>4060</v>
      </c>
      <c r="R1394" s="52">
        <f>_xlfn.NUMBERVALUE(convertNumberStringPointToNumberComma(LEFT(Q1394,FIND("x",Q1394)-2)))</f>
        <v>84</v>
      </c>
      <c r="S1394" s="52">
        <f>_xlfn.NUMBERVALUE(convertNumberStringPointToNumberComma(LEFT(RIGHT(Q1394,LEN(Q1394)-FIND("x",Q1394)-1),LEN(RIGHT(Q1394,LEN(Q1394)-FIND("x",Q1394)-1))-2)))</f>
        <v>90.2</v>
      </c>
    </row>
    <row r="1395" spans="1:19" x14ac:dyDescent="0.25">
      <c r="A1395" t="s">
        <v>1281</v>
      </c>
      <c r="B1395" t="s">
        <v>1230</v>
      </c>
      <c r="E1395" t="s">
        <v>2632</v>
      </c>
      <c r="H1395" t="s">
        <v>27</v>
      </c>
      <c r="L1395" t="s">
        <v>2850</v>
      </c>
      <c r="M1395" t="s">
        <v>2708</v>
      </c>
      <c r="N1395" t="s">
        <v>903</v>
      </c>
      <c r="O1395" t="s">
        <v>111</v>
      </c>
      <c r="Q1395" t="s">
        <v>3409</v>
      </c>
      <c r="R1395" s="52">
        <f>_xlfn.NUMBERVALUE(convertNumberStringPointToNumberComma(LEFT(Q1395,FIND("x",Q1395)-2)))</f>
        <v>84</v>
      </c>
      <c r="S1395" s="52">
        <f>_xlfn.NUMBERVALUE(convertNumberStringPointToNumberComma(LEFT(RIGHT(Q1395,LEN(Q1395)-FIND("x",Q1395)-1),LEN(RIGHT(Q1395,LEN(Q1395)-FIND("x",Q1395)-1))-2)))</f>
        <v>96</v>
      </c>
    </row>
    <row r="1396" spans="1:19" x14ac:dyDescent="0.25">
      <c r="A1396" t="s">
        <v>1282</v>
      </c>
      <c r="B1396" t="s">
        <v>1230</v>
      </c>
      <c r="E1396" t="s">
        <v>2632</v>
      </c>
      <c r="H1396" t="s">
        <v>27</v>
      </c>
      <c r="L1396" t="s">
        <v>2850</v>
      </c>
      <c r="M1396" t="s">
        <v>8</v>
      </c>
      <c r="N1396" t="s">
        <v>903</v>
      </c>
      <c r="O1396" t="s">
        <v>111</v>
      </c>
      <c r="Q1396" t="s">
        <v>3409</v>
      </c>
      <c r="R1396" s="52">
        <f>_xlfn.NUMBERVALUE(convertNumberStringPointToNumberComma(LEFT(Q1396,FIND("x",Q1396)-2)))</f>
        <v>84</v>
      </c>
      <c r="S1396" s="52">
        <f>_xlfn.NUMBERVALUE(convertNumberStringPointToNumberComma(LEFT(RIGHT(Q1396,LEN(Q1396)-FIND("x",Q1396)-1),LEN(RIGHT(Q1396,LEN(Q1396)-FIND("x",Q1396)-1))-2)))</f>
        <v>96</v>
      </c>
    </row>
    <row r="1397" spans="1:19" x14ac:dyDescent="0.25">
      <c r="A1397" t="s">
        <v>2069</v>
      </c>
      <c r="B1397" t="s">
        <v>1230</v>
      </c>
      <c r="E1397" t="s">
        <v>2632</v>
      </c>
      <c r="H1397" t="s">
        <v>27</v>
      </c>
      <c r="L1397" t="s">
        <v>2850</v>
      </c>
      <c r="M1397" t="s">
        <v>2757</v>
      </c>
      <c r="N1397" t="s">
        <v>903</v>
      </c>
      <c r="O1397" t="s">
        <v>111</v>
      </c>
      <c r="Q1397" t="s">
        <v>3409</v>
      </c>
      <c r="R1397" s="52">
        <f>_xlfn.NUMBERVALUE(convertNumberStringPointToNumberComma(LEFT(Q1397,FIND("x",Q1397)-2)))</f>
        <v>84</v>
      </c>
      <c r="S1397" s="52">
        <f>_xlfn.NUMBERVALUE(convertNumberStringPointToNumberComma(LEFT(RIGHT(Q1397,LEN(Q1397)-FIND("x",Q1397)-1),LEN(RIGHT(Q1397,LEN(Q1397)-FIND("x",Q1397)-1))-2)))</f>
        <v>96</v>
      </c>
    </row>
    <row r="1398" spans="1:19" x14ac:dyDescent="0.25">
      <c r="A1398" t="s">
        <v>1542</v>
      </c>
      <c r="B1398" t="s">
        <v>984</v>
      </c>
      <c r="E1398" t="s">
        <v>2632</v>
      </c>
      <c r="H1398" t="s">
        <v>27</v>
      </c>
      <c r="L1398" t="s">
        <v>2679</v>
      </c>
      <c r="M1398" t="s">
        <v>2802</v>
      </c>
      <c r="N1398" t="s">
        <v>903</v>
      </c>
      <c r="O1398" t="s">
        <v>278</v>
      </c>
      <c r="Q1398" t="s">
        <v>3544</v>
      </c>
      <c r="R1398" s="52">
        <f>_xlfn.NUMBERVALUE(convertNumberStringPointToNumberComma(LEFT(Q1398,FIND("x",Q1398)-2)))</f>
        <v>84</v>
      </c>
      <c r="S1398" s="52">
        <f>_xlfn.NUMBERVALUE(convertNumberStringPointToNumberComma(LEFT(RIGHT(Q1398,LEN(Q1398)-FIND("x",Q1398)-1),LEN(RIGHT(Q1398,LEN(Q1398)-FIND("x",Q1398)-1))-2)))</f>
        <v>98.5</v>
      </c>
    </row>
    <row r="1399" spans="1:19" x14ac:dyDescent="0.25">
      <c r="A1399" t="s">
        <v>1276</v>
      </c>
      <c r="B1399" t="s">
        <v>678</v>
      </c>
      <c r="E1399" t="s">
        <v>2643</v>
      </c>
      <c r="H1399" t="s">
        <v>27</v>
      </c>
      <c r="L1399" t="s">
        <v>2864</v>
      </c>
      <c r="M1399" t="s">
        <v>2682</v>
      </c>
      <c r="N1399" t="s">
        <v>913</v>
      </c>
      <c r="O1399" t="s">
        <v>308</v>
      </c>
      <c r="Q1399" t="s">
        <v>3406</v>
      </c>
      <c r="R1399" s="52">
        <f>_xlfn.NUMBERVALUE(convertNumberStringPointToNumberComma(LEFT(Q1399,FIND("x",Q1399)-2)))</f>
        <v>84.5</v>
      </c>
      <c r="S1399" s="52">
        <f>_xlfn.NUMBERVALUE(convertNumberStringPointToNumberComma(LEFT(RIGHT(Q1399,LEN(Q1399)-FIND("x",Q1399)-1),LEN(RIGHT(Q1399,LEN(Q1399)-FIND("x",Q1399)-1))-2)))</f>
        <v>68.2</v>
      </c>
    </row>
    <row r="1400" spans="1:19" x14ac:dyDescent="0.25">
      <c r="A1400" t="s">
        <v>1277</v>
      </c>
      <c r="B1400" t="s">
        <v>678</v>
      </c>
      <c r="E1400" t="s">
        <v>2643</v>
      </c>
      <c r="H1400" t="s">
        <v>27</v>
      </c>
      <c r="L1400" t="s">
        <v>2864</v>
      </c>
      <c r="M1400" t="s">
        <v>8</v>
      </c>
      <c r="N1400" t="s">
        <v>913</v>
      </c>
      <c r="O1400" t="s">
        <v>308</v>
      </c>
      <c r="Q1400" t="s">
        <v>3406</v>
      </c>
      <c r="R1400" s="52">
        <f>_xlfn.NUMBERVALUE(convertNumberStringPointToNumberComma(LEFT(Q1400,FIND("x",Q1400)-2)))</f>
        <v>84.5</v>
      </c>
      <c r="S1400" s="52">
        <f>_xlfn.NUMBERVALUE(convertNumberStringPointToNumberComma(LEFT(RIGHT(Q1400,LEN(Q1400)-FIND("x",Q1400)-1),LEN(RIGHT(Q1400,LEN(Q1400)-FIND("x",Q1400)-1))-2)))</f>
        <v>68.2</v>
      </c>
    </row>
    <row r="1401" spans="1:19" x14ac:dyDescent="0.25">
      <c r="A1401" t="s">
        <v>1278</v>
      </c>
      <c r="B1401" t="s">
        <v>678</v>
      </c>
      <c r="E1401" t="s">
        <v>2643</v>
      </c>
      <c r="H1401" t="s">
        <v>27</v>
      </c>
      <c r="L1401" t="s">
        <v>2864</v>
      </c>
      <c r="M1401" t="s">
        <v>2802</v>
      </c>
      <c r="N1401" t="s">
        <v>913</v>
      </c>
      <c r="O1401" t="s">
        <v>308</v>
      </c>
      <c r="Q1401" t="s">
        <v>3406</v>
      </c>
      <c r="R1401" s="52">
        <f>_xlfn.NUMBERVALUE(convertNumberStringPointToNumberComma(LEFT(Q1401,FIND("x",Q1401)-2)))</f>
        <v>84.5</v>
      </c>
      <c r="S1401" s="52">
        <f>_xlfn.NUMBERVALUE(convertNumberStringPointToNumberComma(LEFT(RIGHT(Q1401,LEN(Q1401)-FIND("x",Q1401)-1),LEN(RIGHT(Q1401,LEN(Q1401)-FIND("x",Q1401)-1))-2)))</f>
        <v>68.2</v>
      </c>
    </row>
    <row r="1402" spans="1:19" x14ac:dyDescent="0.25">
      <c r="A1402" t="s">
        <v>2074</v>
      </c>
      <c r="B1402" t="s">
        <v>678</v>
      </c>
      <c r="E1402" t="s">
        <v>2643</v>
      </c>
      <c r="H1402" t="s">
        <v>27</v>
      </c>
      <c r="L1402" t="s">
        <v>2864</v>
      </c>
      <c r="M1402" t="s">
        <v>2793</v>
      </c>
      <c r="N1402" t="s">
        <v>903</v>
      </c>
      <c r="O1402" t="s">
        <v>308</v>
      </c>
      <c r="Q1402" t="s">
        <v>3406</v>
      </c>
      <c r="R1402" s="52">
        <f>_xlfn.NUMBERVALUE(convertNumberStringPointToNumberComma(LEFT(Q1402,FIND("x",Q1402)-2)))</f>
        <v>84.5</v>
      </c>
      <c r="S1402" s="52">
        <f>_xlfn.NUMBERVALUE(convertNumberStringPointToNumberComma(LEFT(RIGHT(Q1402,LEN(Q1402)-FIND("x",Q1402)-1),LEN(RIGHT(Q1402,LEN(Q1402)-FIND("x",Q1402)-1))-2)))</f>
        <v>68.2</v>
      </c>
    </row>
    <row r="1403" spans="1:19" x14ac:dyDescent="0.25">
      <c r="A1403" t="s">
        <v>2075</v>
      </c>
      <c r="B1403" t="s">
        <v>678</v>
      </c>
      <c r="E1403" t="s">
        <v>2643</v>
      </c>
      <c r="H1403" t="s">
        <v>27</v>
      </c>
      <c r="L1403" t="s">
        <v>2864</v>
      </c>
      <c r="M1403" t="s">
        <v>2757</v>
      </c>
      <c r="N1403" t="s">
        <v>913</v>
      </c>
      <c r="O1403" t="s">
        <v>308</v>
      </c>
      <c r="Q1403" t="s">
        <v>3406</v>
      </c>
      <c r="R1403" s="52">
        <f>_xlfn.NUMBERVALUE(convertNumberStringPointToNumberComma(LEFT(Q1403,FIND("x",Q1403)-2)))</f>
        <v>84.5</v>
      </c>
      <c r="S1403" s="52">
        <f>_xlfn.NUMBERVALUE(convertNumberStringPointToNumberComma(LEFT(RIGHT(Q1403,LEN(Q1403)-FIND("x",Q1403)-1),LEN(RIGHT(Q1403,LEN(Q1403)-FIND("x",Q1403)-1))-2)))</f>
        <v>68.2</v>
      </c>
    </row>
    <row r="1404" spans="1:19" x14ac:dyDescent="0.25">
      <c r="A1404" t="s">
        <v>1255</v>
      </c>
      <c r="B1404" t="s">
        <v>933</v>
      </c>
      <c r="C1404" s="5">
        <f>convertNumberStringPointToNumberComma(IFERROR(LEFT(B1404,(FIND("-",B1404)-1)),LEFT(B1404,FIND("mm",B1404)-1)))</f>
        <v>70</v>
      </c>
      <c r="D1404" s="5">
        <f>convertNumberStringPointToNumberComma(IFERROR(RIGHT(LEFT(B1404,FIND("m",B1404)-1),LEN(LEFT(B1404,FIND("m",B1404)-1))-FIND("-",LEFT(B1404,FIND("m",B1404)-1))-1),C1404))</f>
        <v>0</v>
      </c>
      <c r="E1404" t="s">
        <v>2632</v>
      </c>
      <c r="F1404" s="9">
        <f>convertNumberStringPointToNumberComma(LEFT(MID(E1404,3,9),IFERROR(FIND("-",MID(E1404,3,9))-2,3)))</f>
        <v>2.8</v>
      </c>
      <c r="G1404" s="9">
        <f>convertNumberStringPointToNumberComma(RIGHT(E1404,IF(ISERROR(FIND(".",RIGHT(E1404,3))),1,3)))</f>
        <v>2.8</v>
      </c>
      <c r="H1404" t="s">
        <v>27</v>
      </c>
      <c r="I1404" s="5" t="str">
        <f>IF(H1404="none",0,LEFT(H1404,LEN(H1404)-2))</f>
        <v>77</v>
      </c>
      <c r="J1404" s="5" t="s">
        <v>122</v>
      </c>
      <c r="K1404" s="10">
        <f>IF(J1404="",0,convertNumberStringPointToNumberComma(LEFT(J1404,LEN(J1404)-1)))</f>
        <v>0.14000000000000001</v>
      </c>
      <c r="L1404" t="s">
        <v>2704</v>
      </c>
      <c r="M1404" t="s">
        <v>2682</v>
      </c>
      <c r="N1404" t="s">
        <v>913</v>
      </c>
      <c r="O1404" t="s">
        <v>2857</v>
      </c>
      <c r="P1404" s="5" t="str">
        <f>LEFT(O1404,LEN(O1404)-1)</f>
        <v>1.31k</v>
      </c>
      <c r="Q1404" t="s">
        <v>3395</v>
      </c>
      <c r="R1404" s="52">
        <f>_xlfn.NUMBERVALUE(convertNumberStringPointToNumberComma(LEFT(Q1404,FIND("x",Q1404)-2)))</f>
        <v>84.6</v>
      </c>
      <c r="S1404" s="52">
        <f>_xlfn.NUMBERVALUE(convertNumberStringPointToNumberComma(LEFT(RIGHT(Q1404,LEN(Q1404)-FIND("x",Q1404)-1),LEN(RIGHT(Q1404,LEN(Q1404)-FIND("x",Q1404)-1))-2)))</f>
        <v>193.6</v>
      </c>
    </row>
    <row r="1405" spans="1:19" x14ac:dyDescent="0.25">
      <c r="A1405" t="s">
        <v>1145</v>
      </c>
      <c r="B1405" t="s">
        <v>822</v>
      </c>
      <c r="C1405" s="5">
        <f>convertNumberStringPointToNumberComma(IFERROR(LEFT(B1405,(FIND("-",B1405)-1)),LEFT(B1405,FIND("mm",B1405)-1)))</f>
        <v>85</v>
      </c>
      <c r="D1405" s="5">
        <f>convertNumberStringPointToNumberComma(IFERROR(RIGHT(LEFT(B1405,FIND("m",B1405)-1),LEN(LEFT(B1405,FIND("m",B1405)-1))-FIND("-",LEFT(B1405,FIND("m",B1405)-1))-1),C1405))</f>
        <v>85</v>
      </c>
      <c r="E1405" t="s">
        <v>2643</v>
      </c>
      <c r="F1405" s="9">
        <f>convertNumberStringPointToNumberComma(LEFT(MID(E1405,3,9),IFERROR(FIND("-",MID(E1405,3,9))-2,3)))</f>
        <v>1.4</v>
      </c>
      <c r="G1405" s="9">
        <f>convertNumberStringPointToNumberComma(RIGHT(E1405,IF(ISERROR(FIND(".",RIGHT(E1405,3))),1,3)))</f>
        <v>1.4</v>
      </c>
      <c r="H1405" t="s">
        <v>27</v>
      </c>
      <c r="I1405" s="5" t="str">
        <f>IF(H1405="none",0,LEFT(H1405,LEN(H1405)-2))</f>
        <v>77</v>
      </c>
      <c r="J1405" s="5" t="s">
        <v>343</v>
      </c>
      <c r="K1405" s="10">
        <f>IF(J1405="",0,convertNumberStringPointToNumberComma(LEFT(J1405,LEN(J1405)-1)))</f>
        <v>0.28000000000000003</v>
      </c>
      <c r="L1405" t="s">
        <v>2808</v>
      </c>
      <c r="M1405" t="s">
        <v>8</v>
      </c>
      <c r="N1405" t="s">
        <v>913</v>
      </c>
      <c r="O1405" t="s">
        <v>2809</v>
      </c>
      <c r="P1405" s="5" t="str">
        <f>LEFT(O1405,LEN(O1405)-1)</f>
        <v>719</v>
      </c>
      <c r="Q1405" t="s">
        <v>3330</v>
      </c>
      <c r="R1405" s="52">
        <f>_xlfn.NUMBERVALUE(convertNumberStringPointToNumberComma(LEFT(Q1405,FIND("x",Q1405)-2)))</f>
        <v>84.7</v>
      </c>
      <c r="S1405" s="52">
        <f>_xlfn.NUMBERVALUE(convertNumberStringPointToNumberComma(LEFT(RIGHT(Q1405,LEN(Q1405)-FIND("x",Q1405)-1),LEN(RIGHT(Q1405,LEN(Q1405)-FIND("x",Q1405)-1))-2)))</f>
        <v>87.6</v>
      </c>
    </row>
    <row r="1406" spans="1:19" x14ac:dyDescent="0.25">
      <c r="A1406" t="s">
        <v>1432</v>
      </c>
      <c r="B1406" t="s">
        <v>822</v>
      </c>
      <c r="E1406" t="s">
        <v>2643</v>
      </c>
      <c r="H1406" t="s">
        <v>27</v>
      </c>
      <c r="L1406" t="s">
        <v>2808</v>
      </c>
      <c r="M1406" t="s">
        <v>2682</v>
      </c>
      <c r="N1406" t="s">
        <v>913</v>
      </c>
      <c r="O1406" t="s">
        <v>2809</v>
      </c>
      <c r="Q1406" t="s">
        <v>3330</v>
      </c>
      <c r="R1406" s="52">
        <f>_xlfn.NUMBERVALUE(convertNumberStringPointToNumberComma(LEFT(Q1406,FIND("x",Q1406)-2)))</f>
        <v>84.7</v>
      </c>
      <c r="S1406" s="52">
        <f>_xlfn.NUMBERVALUE(convertNumberStringPointToNumberComma(LEFT(RIGHT(Q1406,LEN(Q1406)-FIND("x",Q1406)-1),LEN(RIGHT(Q1406,LEN(Q1406)-FIND("x",Q1406)-1))-2)))</f>
        <v>87.6</v>
      </c>
    </row>
    <row r="1407" spans="1:19" x14ac:dyDescent="0.25">
      <c r="A1407" t="s">
        <v>1433</v>
      </c>
      <c r="B1407" t="s">
        <v>822</v>
      </c>
      <c r="E1407" t="s">
        <v>2643</v>
      </c>
      <c r="H1407" t="s">
        <v>27</v>
      </c>
      <c r="L1407" t="s">
        <v>2808</v>
      </c>
      <c r="M1407" t="s">
        <v>2802</v>
      </c>
      <c r="N1407" t="s">
        <v>913</v>
      </c>
      <c r="O1407" t="s">
        <v>2809</v>
      </c>
      <c r="Q1407" t="s">
        <v>3330</v>
      </c>
      <c r="R1407" s="52">
        <f>_xlfn.NUMBERVALUE(convertNumberStringPointToNumberComma(LEFT(Q1407,FIND("x",Q1407)-2)))</f>
        <v>84.7</v>
      </c>
      <c r="S1407" s="52">
        <f>_xlfn.NUMBERVALUE(convertNumberStringPointToNumberComma(LEFT(RIGHT(Q1407,LEN(Q1407)-FIND("x",Q1407)-1),LEN(RIGHT(Q1407,LEN(Q1407)-FIND("x",Q1407)-1))-2)))</f>
        <v>87.6</v>
      </c>
    </row>
    <row r="1408" spans="1:19" x14ac:dyDescent="0.25">
      <c r="A1408" t="s">
        <v>1731</v>
      </c>
      <c r="B1408" t="s">
        <v>822</v>
      </c>
      <c r="E1408" t="s">
        <v>2643</v>
      </c>
      <c r="H1408" t="s">
        <v>27</v>
      </c>
      <c r="L1408" t="s">
        <v>2808</v>
      </c>
      <c r="M1408" t="s">
        <v>2793</v>
      </c>
      <c r="N1408" t="s">
        <v>903</v>
      </c>
      <c r="O1408" t="s">
        <v>2809</v>
      </c>
      <c r="Q1408" t="s">
        <v>3330</v>
      </c>
      <c r="R1408" s="52">
        <f>_xlfn.NUMBERVALUE(convertNumberStringPointToNumberComma(LEFT(Q1408,FIND("x",Q1408)-2)))</f>
        <v>84.7</v>
      </c>
      <c r="S1408" s="52">
        <f>_xlfn.NUMBERVALUE(convertNumberStringPointToNumberComma(LEFT(RIGHT(Q1408,LEN(Q1408)-FIND("x",Q1408)-1),LEN(RIGHT(Q1408,LEN(Q1408)-FIND("x",Q1408)-1))-2)))</f>
        <v>87.6</v>
      </c>
    </row>
    <row r="1409" spans="1:19" x14ac:dyDescent="0.25">
      <c r="A1409" t="s">
        <v>1733</v>
      </c>
      <c r="B1409" t="s">
        <v>822</v>
      </c>
      <c r="E1409" t="s">
        <v>2643</v>
      </c>
      <c r="H1409" t="s">
        <v>27</v>
      </c>
      <c r="L1409" t="s">
        <v>2808</v>
      </c>
      <c r="M1409" t="s">
        <v>2757</v>
      </c>
      <c r="N1409" t="s">
        <v>913</v>
      </c>
      <c r="O1409" t="s">
        <v>2809</v>
      </c>
      <c r="Q1409" t="s">
        <v>3330</v>
      </c>
      <c r="R1409" s="52">
        <f>_xlfn.NUMBERVALUE(convertNumberStringPointToNumberComma(LEFT(Q1409,FIND("x",Q1409)-2)))</f>
        <v>84.7</v>
      </c>
      <c r="S1409" s="52">
        <f>_xlfn.NUMBERVALUE(convertNumberStringPointToNumberComma(LEFT(RIGHT(Q1409,LEN(Q1409)-FIND("x",Q1409)-1),LEN(RIGHT(Q1409,LEN(Q1409)-FIND("x",Q1409)-1))-2)))</f>
        <v>87.6</v>
      </c>
    </row>
    <row r="1410" spans="1:19" x14ac:dyDescent="0.25">
      <c r="A1410" t="s">
        <v>1847</v>
      </c>
      <c r="B1410" t="s">
        <v>592</v>
      </c>
      <c r="E1410" t="s">
        <v>2643</v>
      </c>
      <c r="H1410" t="s">
        <v>15</v>
      </c>
      <c r="L1410" t="s">
        <v>2868</v>
      </c>
      <c r="M1410" t="s">
        <v>8</v>
      </c>
      <c r="N1410" t="s">
        <v>913</v>
      </c>
      <c r="O1410" t="s">
        <v>2774</v>
      </c>
      <c r="Q1410" t="s">
        <v>3706</v>
      </c>
      <c r="R1410" s="52">
        <f>_xlfn.NUMBERVALUE(convertNumberStringPointToNumberComma(LEFT(Q1410,FIND("x",Q1410)-2)))</f>
        <v>84.8</v>
      </c>
      <c r="S1410" s="52">
        <f>_xlfn.NUMBERVALUE(convertNumberStringPointToNumberComma(LEFT(RIGHT(Q1410,LEN(Q1410)-FIND("x",Q1410)-1),LEN(RIGHT(Q1410,LEN(Q1410)-FIND("x",Q1410)-1))-2)))</f>
        <v>124.8</v>
      </c>
    </row>
    <row r="1411" spans="1:19" x14ac:dyDescent="0.25">
      <c r="A1411" t="s">
        <v>1140</v>
      </c>
      <c r="B1411" t="s">
        <v>398</v>
      </c>
      <c r="C1411" s="5">
        <f>convertNumberStringPointToNumberComma(IFERROR(LEFT(B1411,(FIND("-",B1411)-1)),LEFT(B1411,FIND("mm",B1411)-1)))</f>
        <v>180</v>
      </c>
      <c r="D1411" s="5">
        <f>convertNumberStringPointToNumberComma(IFERROR(RIGHT(LEFT(B1411,FIND("m",B1411)-1),LEN(LEFT(B1411,FIND("m",B1411)-1))-FIND("-",LEFT(B1411,FIND("m",B1411)-1))-1),C1411))</f>
        <v>180</v>
      </c>
      <c r="E1411" t="s">
        <v>2649</v>
      </c>
      <c r="F1411" s="9">
        <f>convertNumberStringPointToNumberComma(LEFT(MID(E1411,3,9),IFERROR(FIND("-",MID(E1411,3,9))-2,3)))</f>
        <v>3.5</v>
      </c>
      <c r="G1411" s="9">
        <f>convertNumberStringPointToNumberComma(RIGHT(E1411,IF(ISERROR(FIND(".",RIGHT(E1411,3))),1,3)))</f>
        <v>3.5</v>
      </c>
      <c r="H1411" t="s">
        <v>15</v>
      </c>
      <c r="I1411" s="5" t="str">
        <f>IF(H1411="none",0,LEFT(H1411,LEN(H1411)-2))</f>
        <v>72</v>
      </c>
      <c r="J1411" s="12"/>
      <c r="K1411" s="10">
        <f>IF(J1411="",0,convertNumberStringPointToNumberComma(LEFT(J1411,LEN(J1411)-1)))</f>
        <v>0</v>
      </c>
      <c r="L1411" t="s">
        <v>2707</v>
      </c>
      <c r="M1411" t="s">
        <v>2757</v>
      </c>
      <c r="N1411" t="s">
        <v>913</v>
      </c>
      <c r="O1411" t="s">
        <v>163</v>
      </c>
      <c r="P1411" s="5" t="str">
        <f>LEFT(O1411,LEN(O1411)-1)</f>
        <v>920</v>
      </c>
      <c r="Q1411" t="s">
        <v>3328</v>
      </c>
      <c r="R1411" s="52">
        <f>_xlfn.NUMBERVALUE(convertNumberStringPointToNumberComma(LEFT(Q1411,FIND("x",Q1411)-2)))</f>
        <v>84.8</v>
      </c>
      <c r="S1411" s="52">
        <f>_xlfn.NUMBERVALUE(convertNumberStringPointToNumberComma(LEFT(RIGHT(Q1411,LEN(Q1411)-FIND("x",Q1411)-1),LEN(RIGHT(Q1411,LEN(Q1411)-FIND("x",Q1411)-1))-2)))</f>
        <v>165.7</v>
      </c>
    </row>
    <row r="1412" spans="1:19" x14ac:dyDescent="0.25">
      <c r="A1412" t="s">
        <v>1423</v>
      </c>
      <c r="B1412" t="s">
        <v>398</v>
      </c>
      <c r="E1412" t="s">
        <v>2649</v>
      </c>
      <c r="H1412" t="s">
        <v>15</v>
      </c>
      <c r="L1412" t="s">
        <v>2707</v>
      </c>
      <c r="M1412" t="s">
        <v>2682</v>
      </c>
      <c r="N1412" t="s">
        <v>913</v>
      </c>
      <c r="O1412" t="s">
        <v>163</v>
      </c>
      <c r="Q1412" t="s">
        <v>3328</v>
      </c>
      <c r="R1412" s="52">
        <f>_xlfn.NUMBERVALUE(convertNumberStringPointToNumberComma(LEFT(Q1412,FIND("x",Q1412)-2)))</f>
        <v>84.8</v>
      </c>
      <c r="S1412" s="52">
        <f>_xlfn.NUMBERVALUE(convertNumberStringPointToNumberComma(LEFT(RIGHT(Q1412,LEN(Q1412)-FIND("x",Q1412)-1),LEN(RIGHT(Q1412,LEN(Q1412)-FIND("x",Q1412)-1))-2)))</f>
        <v>165.7</v>
      </c>
    </row>
    <row r="1413" spans="1:19" x14ac:dyDescent="0.25">
      <c r="A1413" t="s">
        <v>1424</v>
      </c>
      <c r="B1413" t="s">
        <v>398</v>
      </c>
      <c r="E1413" t="s">
        <v>2649</v>
      </c>
      <c r="H1413" t="s">
        <v>15</v>
      </c>
      <c r="L1413" t="s">
        <v>2707</v>
      </c>
      <c r="M1413" t="s">
        <v>8</v>
      </c>
      <c r="N1413" t="s">
        <v>913</v>
      </c>
      <c r="O1413" t="s">
        <v>163</v>
      </c>
      <c r="Q1413" t="s">
        <v>3328</v>
      </c>
      <c r="R1413" s="52">
        <f>_xlfn.NUMBERVALUE(convertNumberStringPointToNumberComma(LEFT(Q1413,FIND("x",Q1413)-2)))</f>
        <v>84.8</v>
      </c>
      <c r="S1413" s="52">
        <f>_xlfn.NUMBERVALUE(convertNumberStringPointToNumberComma(LEFT(RIGHT(Q1413,LEN(Q1413)-FIND("x",Q1413)-1),LEN(RIGHT(Q1413,LEN(Q1413)-FIND("x",Q1413)-1))-2)))</f>
        <v>165.7</v>
      </c>
    </row>
    <row r="1414" spans="1:19" x14ac:dyDescent="0.25">
      <c r="A1414" t="s">
        <v>1319</v>
      </c>
      <c r="B1414" t="s">
        <v>822</v>
      </c>
      <c r="E1414" t="s">
        <v>2635</v>
      </c>
      <c r="H1414" t="s">
        <v>56</v>
      </c>
      <c r="L1414" t="s">
        <v>2873</v>
      </c>
      <c r="M1414" t="s">
        <v>2682</v>
      </c>
      <c r="N1414" t="s">
        <v>913</v>
      </c>
      <c r="O1414" t="s">
        <v>486</v>
      </c>
      <c r="Q1414" t="s">
        <v>3430</v>
      </c>
      <c r="R1414" s="52">
        <f>_xlfn.NUMBERVALUE(convertNumberStringPointToNumberComma(LEFT(Q1414,FIND("x",Q1414)-2)))</f>
        <v>84.8</v>
      </c>
      <c r="S1414" s="52">
        <f>_xlfn.NUMBERVALUE(convertNumberStringPointToNumberComma(LEFT(RIGHT(Q1414,LEN(Q1414)-FIND("x",Q1414)-1),LEN(RIGHT(Q1414,LEN(Q1414)-FIND("x",Q1414)-1))-2)))</f>
        <v>91.3</v>
      </c>
    </row>
    <row r="1415" spans="1:19" x14ac:dyDescent="0.25">
      <c r="A1415" t="s">
        <v>2273</v>
      </c>
      <c r="B1415" t="s">
        <v>822</v>
      </c>
      <c r="E1415" t="s">
        <v>2635</v>
      </c>
      <c r="H1415" t="s">
        <v>56</v>
      </c>
      <c r="L1415" t="s">
        <v>2873</v>
      </c>
      <c r="M1415" t="s">
        <v>2757</v>
      </c>
      <c r="N1415" t="s">
        <v>913</v>
      </c>
      <c r="O1415" t="s">
        <v>486</v>
      </c>
      <c r="Q1415" t="s">
        <v>3430</v>
      </c>
      <c r="R1415" s="52">
        <f>_xlfn.NUMBERVALUE(convertNumberStringPointToNumberComma(LEFT(Q1415,FIND("x",Q1415)-2)))</f>
        <v>84.8</v>
      </c>
      <c r="S1415" s="52">
        <f>_xlfn.NUMBERVALUE(convertNumberStringPointToNumberComma(LEFT(RIGHT(Q1415,LEN(Q1415)-FIND("x",Q1415)-1),LEN(RIGHT(Q1415,LEN(Q1415)-FIND("x",Q1415)-1))-2)))</f>
        <v>91.3</v>
      </c>
    </row>
    <row r="1416" spans="1:19" x14ac:dyDescent="0.25">
      <c r="A1416" t="s">
        <v>2626</v>
      </c>
      <c r="B1416" t="s">
        <v>822</v>
      </c>
      <c r="E1416" t="s">
        <v>2635</v>
      </c>
      <c r="H1416" t="s">
        <v>56</v>
      </c>
      <c r="L1416" t="s">
        <v>2873</v>
      </c>
      <c r="M1416" t="s">
        <v>8</v>
      </c>
      <c r="N1416" t="s">
        <v>913</v>
      </c>
      <c r="O1416" t="s">
        <v>486</v>
      </c>
      <c r="Q1416" t="s">
        <v>3430</v>
      </c>
      <c r="R1416" s="52">
        <f>_xlfn.NUMBERVALUE(convertNumberStringPointToNumberComma(LEFT(Q1416,FIND("x",Q1416)-2)))</f>
        <v>84.8</v>
      </c>
      <c r="S1416" s="52">
        <f>_xlfn.NUMBERVALUE(convertNumberStringPointToNumberComma(LEFT(RIGHT(Q1416,LEN(Q1416)-FIND("x",Q1416)-1),LEN(RIGHT(Q1416,LEN(Q1416)-FIND("x",Q1416)-1))-2)))</f>
        <v>91.3</v>
      </c>
    </row>
    <row r="1417" spans="1:19" x14ac:dyDescent="0.25">
      <c r="A1417" t="s">
        <v>1179</v>
      </c>
      <c r="B1417" t="s">
        <v>678</v>
      </c>
      <c r="C1417" s="5">
        <f>convertNumberStringPointToNumberComma(IFERROR(LEFT(B1417,(FIND("-",B1417)-1)),LEFT(B1417,FIND("mm",B1417)-1)))</f>
        <v>50</v>
      </c>
      <c r="D1417" s="5">
        <f>convertNumberStringPointToNumberComma(IFERROR(RIGHT(LEFT(B1417,FIND("m",B1417)-1),LEN(LEFT(B1417,FIND("m",B1417)-1))-FIND("-",LEFT(B1417,FIND("m",B1417)-1))-1),C1417))</f>
        <v>50</v>
      </c>
      <c r="E1417" t="s">
        <v>2643</v>
      </c>
      <c r="F1417" s="9">
        <f>convertNumberStringPointToNumberComma(LEFT(MID(E1417,3,9),IFERROR(FIND("-",MID(E1417,3,9))-2,3)))</f>
        <v>1.4</v>
      </c>
      <c r="G1417" s="9">
        <f>convertNumberStringPointToNumberComma(RIGHT(E1417,IF(ISERROR(FIND(".",RIGHT(E1417,3))),1,3)))</f>
        <v>1.4</v>
      </c>
      <c r="H1417" t="s">
        <v>27</v>
      </c>
      <c r="I1417" s="5" t="str">
        <f>IF(H1417="none",0,LEFT(H1417,LEN(H1417)-2))</f>
        <v>77</v>
      </c>
      <c r="J1417" s="5" t="s">
        <v>830</v>
      </c>
      <c r="K1417" s="10">
        <f>IF(J1417="",0,convertNumberStringPointToNumberComma(LEFT(J1417,LEN(J1417)-1)))</f>
        <v>0.124</v>
      </c>
      <c r="L1417" t="s">
        <v>2830</v>
      </c>
      <c r="M1417" t="s">
        <v>2757</v>
      </c>
      <c r="N1417" t="s">
        <v>913</v>
      </c>
      <c r="O1417" t="s">
        <v>150</v>
      </c>
      <c r="P1417" s="5" t="str">
        <f>LEFT(O1417,LEN(O1417)-1)</f>
        <v>815</v>
      </c>
      <c r="Q1417" t="s">
        <v>3348</v>
      </c>
      <c r="R1417" s="52">
        <f>_xlfn.NUMBERVALUE(convertNumberStringPointToNumberComma(LEFT(Q1417,FIND("x",Q1417)-2)))</f>
        <v>85</v>
      </c>
      <c r="S1417" s="52">
        <f>_xlfn.NUMBERVALUE(convertNumberStringPointToNumberComma(LEFT(RIGHT(Q1417,LEN(Q1417)-FIND("x",Q1417)-1),LEN(RIGHT(Q1417,LEN(Q1417)-FIND("x",Q1417)-1))-2)))</f>
        <v>100</v>
      </c>
    </row>
    <row r="1418" spans="1:19" x14ac:dyDescent="0.25">
      <c r="A1418" t="s">
        <v>1844</v>
      </c>
      <c r="B1418" t="s">
        <v>678</v>
      </c>
      <c r="E1418" t="s">
        <v>2643</v>
      </c>
      <c r="H1418" t="s">
        <v>27</v>
      </c>
      <c r="L1418" t="s">
        <v>2830</v>
      </c>
      <c r="M1418" t="s">
        <v>2793</v>
      </c>
      <c r="N1418" t="s">
        <v>913</v>
      </c>
      <c r="O1418" t="s">
        <v>150</v>
      </c>
      <c r="Q1418" t="s">
        <v>3348</v>
      </c>
      <c r="R1418" s="52">
        <f>_xlfn.NUMBERVALUE(convertNumberStringPointToNumberComma(LEFT(Q1418,FIND("x",Q1418)-2)))</f>
        <v>85</v>
      </c>
      <c r="S1418" s="52">
        <f>_xlfn.NUMBERVALUE(convertNumberStringPointToNumberComma(LEFT(RIGHT(Q1418,LEN(Q1418)-FIND("x",Q1418)-1),LEN(RIGHT(Q1418,LEN(Q1418)-FIND("x",Q1418)-1))-2)))</f>
        <v>100</v>
      </c>
    </row>
    <row r="1419" spans="1:19" x14ac:dyDescent="0.25">
      <c r="A1419" t="s">
        <v>2442</v>
      </c>
      <c r="B1419" t="s">
        <v>678</v>
      </c>
      <c r="E1419" t="s">
        <v>2643</v>
      </c>
      <c r="H1419" t="s">
        <v>27</v>
      </c>
      <c r="L1419" t="s">
        <v>2830</v>
      </c>
      <c r="M1419" t="s">
        <v>2682</v>
      </c>
      <c r="N1419" t="s">
        <v>913</v>
      </c>
      <c r="O1419" t="s">
        <v>150</v>
      </c>
      <c r="Q1419" t="s">
        <v>3348</v>
      </c>
      <c r="R1419" s="52">
        <f>_xlfn.NUMBERVALUE(convertNumberStringPointToNumberComma(LEFT(Q1419,FIND("x",Q1419)-2)))</f>
        <v>85</v>
      </c>
      <c r="S1419" s="52">
        <f>_xlfn.NUMBERVALUE(convertNumberStringPointToNumberComma(LEFT(RIGHT(Q1419,LEN(Q1419)-FIND("x",Q1419)-1),LEN(RIGHT(Q1419,LEN(Q1419)-FIND("x",Q1419)-1))-2)))</f>
        <v>100</v>
      </c>
    </row>
    <row r="1420" spans="1:19" x14ac:dyDescent="0.25">
      <c r="A1420" t="s">
        <v>2443</v>
      </c>
      <c r="B1420" t="s">
        <v>678</v>
      </c>
      <c r="E1420" t="s">
        <v>2643</v>
      </c>
      <c r="H1420" t="s">
        <v>27</v>
      </c>
      <c r="L1420" t="s">
        <v>2830</v>
      </c>
      <c r="M1420" t="s">
        <v>8</v>
      </c>
      <c r="N1420" t="s">
        <v>913</v>
      </c>
      <c r="O1420" t="s">
        <v>150</v>
      </c>
      <c r="Q1420" t="s">
        <v>3348</v>
      </c>
      <c r="R1420" s="52">
        <f>_xlfn.NUMBERVALUE(convertNumberStringPointToNumberComma(LEFT(Q1420,FIND("x",Q1420)-2)))</f>
        <v>85</v>
      </c>
      <c r="S1420" s="52">
        <f>_xlfn.NUMBERVALUE(convertNumberStringPointToNumberComma(LEFT(RIGHT(Q1420,LEN(Q1420)-FIND("x",Q1420)-1),LEN(RIGHT(Q1420,LEN(Q1420)-FIND("x",Q1420)-1))-2)))</f>
        <v>100</v>
      </c>
    </row>
    <row r="1421" spans="1:19" x14ac:dyDescent="0.25">
      <c r="A1421" t="s">
        <v>1915</v>
      </c>
      <c r="B1421" t="s">
        <v>1916</v>
      </c>
      <c r="E1421" t="s">
        <v>2961</v>
      </c>
      <c r="H1421" t="s">
        <v>27</v>
      </c>
      <c r="L1421" t="s">
        <v>2706</v>
      </c>
      <c r="M1421" t="s">
        <v>2989</v>
      </c>
      <c r="N1421" t="s">
        <v>913</v>
      </c>
      <c r="O1421" t="s">
        <v>2955</v>
      </c>
      <c r="Q1421" t="s">
        <v>3746</v>
      </c>
      <c r="R1421" s="52">
        <f>_xlfn.NUMBERVALUE(convertNumberStringPointToNumberComma(LEFT(Q1421,FIND("x",Q1421)-2)))</f>
        <v>85</v>
      </c>
      <c r="S1421" s="52">
        <f>_xlfn.NUMBERVALUE(convertNumberStringPointToNumberComma(LEFT(RIGHT(Q1421,LEN(Q1421)-FIND("x",Q1421)-1),LEN(RIGHT(Q1421,LEN(Q1421)-FIND("x",Q1421)-1))-2)))</f>
        <v>130.5</v>
      </c>
    </row>
    <row r="1422" spans="1:19" x14ac:dyDescent="0.25">
      <c r="A1422" t="s">
        <v>1764</v>
      </c>
      <c r="B1422" t="s">
        <v>1240</v>
      </c>
      <c r="E1422" t="s">
        <v>3004</v>
      </c>
      <c r="H1422" t="s">
        <v>21</v>
      </c>
      <c r="M1422" t="s">
        <v>2674</v>
      </c>
      <c r="N1422" t="s">
        <v>913</v>
      </c>
      <c r="O1422" t="s">
        <v>3005</v>
      </c>
      <c r="Q1422" t="s">
        <v>3671</v>
      </c>
      <c r="R1422" s="52">
        <f>_xlfn.NUMBERVALUE(convertNumberStringPointToNumberComma(LEFT(Q1422,FIND("x",Q1422)-2)))</f>
        <v>85</v>
      </c>
      <c r="S1422" s="52">
        <f>_xlfn.NUMBERVALUE(convertNumberStringPointToNumberComma(LEFT(RIGHT(Q1422,LEN(Q1422)-FIND("x",Q1422)-1),LEN(RIGHT(Q1422,LEN(Q1422)-FIND("x",Q1422)-1))-2)))</f>
        <v>206.3</v>
      </c>
    </row>
    <row r="1423" spans="1:19" x14ac:dyDescent="0.25">
      <c r="A1423" t="s">
        <v>2629</v>
      </c>
      <c r="B1423" t="s">
        <v>91</v>
      </c>
      <c r="E1423" t="s">
        <v>2643</v>
      </c>
      <c r="H1423" t="s">
        <v>15</v>
      </c>
      <c r="L1423" t="s">
        <v>2766</v>
      </c>
      <c r="M1423" t="s">
        <v>8</v>
      </c>
      <c r="N1423" t="s">
        <v>913</v>
      </c>
      <c r="O1423" t="s">
        <v>363</v>
      </c>
      <c r="Q1423" t="s">
        <v>732</v>
      </c>
      <c r="R1423" s="52">
        <f>_xlfn.NUMBERVALUE(convertNumberStringPointToNumberComma(LEFT(Q1423,FIND("x",Q1423)-2)))</f>
        <v>85</v>
      </c>
      <c r="S1423" s="52">
        <f>_xlfn.NUMBERVALUE(convertNumberStringPointToNumberComma(LEFT(RIGHT(Q1423,LEN(Q1423)-FIND("x",Q1423)-1),LEN(RIGHT(Q1423,LEN(Q1423)-FIND("x",Q1423)-1))-2)))</f>
        <v>70</v>
      </c>
    </row>
    <row r="1424" spans="1:19" x14ac:dyDescent="0.25">
      <c r="A1424" t="s">
        <v>1375</v>
      </c>
      <c r="B1424" t="s">
        <v>505</v>
      </c>
      <c r="E1424" t="s">
        <v>2643</v>
      </c>
      <c r="H1424" t="s">
        <v>27</v>
      </c>
      <c r="L1424" t="s">
        <v>2732</v>
      </c>
      <c r="M1424" t="s">
        <v>8</v>
      </c>
      <c r="N1424" t="s">
        <v>913</v>
      </c>
      <c r="O1424" t="s">
        <v>523</v>
      </c>
      <c r="Q1424" t="s">
        <v>3458</v>
      </c>
      <c r="R1424" s="52">
        <f>_xlfn.NUMBERVALUE(convertNumberStringPointToNumberComma(LEFT(Q1424,FIND("x",Q1424)-2)))</f>
        <v>85</v>
      </c>
      <c r="S1424" s="52">
        <f>_xlfn.NUMBERVALUE(convertNumberStringPointToNumberComma(LEFT(RIGHT(Q1424,LEN(Q1424)-FIND("x",Q1424)-1),LEN(RIGHT(Q1424,LEN(Q1424)-FIND("x",Q1424)-1))-2)))</f>
        <v>90.2</v>
      </c>
    </row>
    <row r="1425" spans="1:19" x14ac:dyDescent="0.25">
      <c r="A1425" t="s">
        <v>2357</v>
      </c>
      <c r="B1425" t="s">
        <v>505</v>
      </c>
      <c r="E1425" t="s">
        <v>2643</v>
      </c>
      <c r="H1425" t="s">
        <v>27</v>
      </c>
      <c r="L1425" t="s">
        <v>2732</v>
      </c>
      <c r="M1425" t="s">
        <v>2793</v>
      </c>
      <c r="N1425" t="s">
        <v>913</v>
      </c>
      <c r="O1425" t="s">
        <v>523</v>
      </c>
      <c r="Q1425" t="s">
        <v>3458</v>
      </c>
      <c r="R1425" s="52">
        <f>_xlfn.NUMBERVALUE(convertNumberStringPointToNumberComma(LEFT(Q1425,FIND("x",Q1425)-2)))</f>
        <v>85</v>
      </c>
      <c r="S1425" s="52">
        <f>_xlfn.NUMBERVALUE(convertNumberStringPointToNumberComma(LEFT(RIGHT(Q1425,LEN(Q1425)-FIND("x",Q1425)-1),LEN(RIGHT(Q1425,LEN(Q1425)-FIND("x",Q1425)-1))-2)))</f>
        <v>90.2</v>
      </c>
    </row>
    <row r="1426" spans="1:19" x14ac:dyDescent="0.25">
      <c r="A1426" t="s">
        <v>2582</v>
      </c>
      <c r="B1426" t="s">
        <v>505</v>
      </c>
      <c r="E1426" t="s">
        <v>2643</v>
      </c>
      <c r="H1426" t="s">
        <v>27</v>
      </c>
      <c r="L1426" t="s">
        <v>2732</v>
      </c>
      <c r="M1426" t="s">
        <v>2682</v>
      </c>
      <c r="N1426" t="s">
        <v>913</v>
      </c>
      <c r="O1426" t="s">
        <v>523</v>
      </c>
      <c r="Q1426" t="s">
        <v>3458</v>
      </c>
      <c r="R1426" s="52">
        <f>_xlfn.NUMBERVALUE(convertNumberStringPointToNumberComma(LEFT(Q1426,FIND("x",Q1426)-2)))</f>
        <v>85</v>
      </c>
      <c r="S1426" s="52">
        <f>_xlfn.NUMBERVALUE(convertNumberStringPointToNumberComma(LEFT(RIGHT(Q1426,LEN(Q1426)-FIND("x",Q1426)-1),LEN(RIGHT(Q1426,LEN(Q1426)-FIND("x",Q1426)-1))-2)))</f>
        <v>90.2</v>
      </c>
    </row>
    <row r="1427" spans="1:19" x14ac:dyDescent="0.25">
      <c r="A1427" t="s">
        <v>1919</v>
      </c>
      <c r="B1427" t="s">
        <v>1920</v>
      </c>
      <c r="E1427" t="s">
        <v>2961</v>
      </c>
      <c r="H1427" t="s">
        <v>27</v>
      </c>
      <c r="L1427" t="s">
        <v>2832</v>
      </c>
      <c r="M1427" t="s">
        <v>2989</v>
      </c>
      <c r="N1427" t="s">
        <v>913</v>
      </c>
      <c r="O1427" t="s">
        <v>3043</v>
      </c>
      <c r="Q1427" t="s">
        <v>3748</v>
      </c>
      <c r="R1427" s="52">
        <f>_xlfn.NUMBERVALUE(convertNumberStringPointToNumberComma(LEFT(Q1427,FIND("x",Q1427)-2)))</f>
        <v>85</v>
      </c>
      <c r="S1427" s="52">
        <f>_xlfn.NUMBERVALUE(convertNumberStringPointToNumberComma(LEFT(RIGHT(Q1427,LEN(Q1427)-FIND("x",Q1427)-1),LEN(RIGHT(Q1427,LEN(Q1427)-FIND("x",Q1427)-1))-2)))</f>
        <v>99.5</v>
      </c>
    </row>
    <row r="1428" spans="1:19" x14ac:dyDescent="0.25">
      <c r="A1428" t="s">
        <v>1961</v>
      </c>
      <c r="B1428" t="s">
        <v>61</v>
      </c>
      <c r="E1428" t="s">
        <v>2632</v>
      </c>
      <c r="H1428" t="s">
        <v>15</v>
      </c>
      <c r="L1428" t="s">
        <v>2709</v>
      </c>
      <c r="M1428" t="s">
        <v>2674</v>
      </c>
      <c r="N1428" t="s">
        <v>913</v>
      </c>
      <c r="O1428" t="s">
        <v>486</v>
      </c>
      <c r="Q1428" t="s">
        <v>3774</v>
      </c>
      <c r="R1428" s="52">
        <f>_xlfn.NUMBERVALUE(convertNumberStringPointToNumberComma(LEFT(Q1428,FIND("x",Q1428)-2)))</f>
        <v>85.2</v>
      </c>
      <c r="S1428" s="52">
        <f>_xlfn.NUMBERVALUE(convertNumberStringPointToNumberComma(LEFT(RIGHT(Q1428,LEN(Q1428)-FIND("x",Q1428)-1),LEN(RIGHT(Q1428,LEN(Q1428)-FIND("x",Q1428)-1))-2)))</f>
        <v>118.1</v>
      </c>
    </row>
    <row r="1429" spans="1:19" x14ac:dyDescent="0.25">
      <c r="A1429" t="s">
        <v>2451</v>
      </c>
      <c r="B1429" t="s">
        <v>1073</v>
      </c>
      <c r="E1429" t="s">
        <v>2632</v>
      </c>
      <c r="H1429" t="s">
        <v>27</v>
      </c>
      <c r="L1429" t="s">
        <v>2679</v>
      </c>
      <c r="M1429" t="s">
        <v>8</v>
      </c>
      <c r="N1429" t="s">
        <v>903</v>
      </c>
      <c r="O1429" t="s">
        <v>287</v>
      </c>
      <c r="Q1429" t="s">
        <v>4000</v>
      </c>
      <c r="R1429" s="52">
        <f>_xlfn.NUMBERVALUE(convertNumberStringPointToNumberComma(LEFT(Q1429,FIND("x",Q1429)-2)))</f>
        <v>85.5</v>
      </c>
      <c r="S1429" s="52">
        <f>_xlfn.NUMBERVALUE(convertNumberStringPointToNumberComma(LEFT(RIGHT(Q1429,LEN(Q1429)-FIND("x",Q1429)-1),LEN(RIGHT(Q1429,LEN(Q1429)-FIND("x",Q1429)-1))-2)))</f>
        <v>110.5</v>
      </c>
    </row>
    <row r="1430" spans="1:19" x14ac:dyDescent="0.25">
      <c r="A1430" t="s">
        <v>2451</v>
      </c>
      <c r="B1430" t="s">
        <v>1073</v>
      </c>
      <c r="E1430" t="s">
        <v>2632</v>
      </c>
      <c r="H1430" t="s">
        <v>27</v>
      </c>
      <c r="L1430" t="s">
        <v>2679</v>
      </c>
      <c r="M1430" t="s">
        <v>8</v>
      </c>
      <c r="N1430" t="s">
        <v>903</v>
      </c>
      <c r="O1430" t="s">
        <v>287</v>
      </c>
      <c r="Q1430" t="s">
        <v>4000</v>
      </c>
      <c r="R1430" s="52">
        <f>_xlfn.NUMBERVALUE(convertNumberStringPointToNumberComma(LEFT(Q1430,FIND("x",Q1430)-2)))</f>
        <v>85.5</v>
      </c>
      <c r="S1430" s="52">
        <f>_xlfn.NUMBERVALUE(convertNumberStringPointToNumberComma(LEFT(RIGHT(Q1430,LEN(Q1430)-FIND("x",Q1430)-1),LEN(RIGHT(Q1430,LEN(Q1430)-FIND("x",Q1430)-1))-2)))</f>
        <v>110.5</v>
      </c>
    </row>
    <row r="1431" spans="1:19" x14ac:dyDescent="0.25">
      <c r="A1431" t="s">
        <v>2516</v>
      </c>
      <c r="B1431" t="s">
        <v>176</v>
      </c>
      <c r="E1431" t="s">
        <v>2632</v>
      </c>
      <c r="L1431" t="s">
        <v>2753</v>
      </c>
      <c r="M1431" t="s">
        <v>2674</v>
      </c>
      <c r="N1431" t="s">
        <v>913</v>
      </c>
      <c r="O1431" t="s">
        <v>308</v>
      </c>
      <c r="Q1431" t="s">
        <v>4029</v>
      </c>
      <c r="R1431" s="52">
        <f>_xlfn.NUMBERVALUE(convertNumberStringPointToNumberComma(LEFT(Q1431,FIND("x",Q1431)-2)))</f>
        <v>85.5</v>
      </c>
      <c r="S1431" s="52">
        <f>_xlfn.NUMBERVALUE(convertNumberStringPointToNumberComma(LEFT(RIGHT(Q1431,LEN(Q1431)-FIND("x",Q1431)-1),LEN(RIGHT(Q1431,LEN(Q1431)-FIND("x",Q1431)-1))-2)))</f>
        <v>97.5</v>
      </c>
    </row>
    <row r="1432" spans="1:19" x14ac:dyDescent="0.25">
      <c r="A1432" t="s">
        <v>2313</v>
      </c>
      <c r="B1432" t="s">
        <v>933</v>
      </c>
      <c r="E1432" t="s">
        <v>2632</v>
      </c>
      <c r="H1432" t="s">
        <v>27</v>
      </c>
      <c r="L1432" t="s">
        <v>2765</v>
      </c>
      <c r="M1432" t="s">
        <v>2757</v>
      </c>
      <c r="N1432" t="s">
        <v>913</v>
      </c>
      <c r="O1432" t="s">
        <v>3116</v>
      </c>
      <c r="Q1432" t="s">
        <v>3907</v>
      </c>
      <c r="R1432" s="52">
        <f>_xlfn.NUMBERVALUE(convertNumberStringPointToNumberComma(LEFT(Q1432,FIND("x",Q1432)-2)))</f>
        <v>85.8</v>
      </c>
      <c r="S1432" s="52">
        <f>_xlfn.NUMBERVALUE(convertNumberStringPointToNumberComma(LEFT(RIGHT(Q1432,LEN(Q1432)-FIND("x",Q1432)-1),LEN(RIGHT(Q1432,LEN(Q1432)-FIND("x",Q1432)-1))-2)))</f>
        <v>188.3</v>
      </c>
    </row>
    <row r="1433" spans="1:19" x14ac:dyDescent="0.25">
      <c r="A1433" t="s">
        <v>2492</v>
      </c>
      <c r="B1433" t="s">
        <v>933</v>
      </c>
      <c r="E1433" t="s">
        <v>2632</v>
      </c>
      <c r="H1433" t="s">
        <v>27</v>
      </c>
      <c r="L1433" t="s">
        <v>2765</v>
      </c>
      <c r="M1433" t="s">
        <v>2682</v>
      </c>
      <c r="N1433" t="s">
        <v>913</v>
      </c>
      <c r="O1433" t="s">
        <v>3116</v>
      </c>
      <c r="Q1433" t="s">
        <v>3907</v>
      </c>
      <c r="R1433" s="52">
        <f>_xlfn.NUMBERVALUE(convertNumberStringPointToNumberComma(LEFT(Q1433,FIND("x",Q1433)-2)))</f>
        <v>85.8</v>
      </c>
      <c r="S1433" s="52">
        <f>_xlfn.NUMBERVALUE(convertNumberStringPointToNumberComma(LEFT(RIGHT(Q1433,LEN(Q1433)-FIND("x",Q1433)-1),LEN(RIGHT(Q1433,LEN(Q1433)-FIND("x",Q1433)-1))-2)))</f>
        <v>188.3</v>
      </c>
    </row>
    <row r="1434" spans="1:19" x14ac:dyDescent="0.25">
      <c r="A1434" t="s">
        <v>2493</v>
      </c>
      <c r="B1434" t="s">
        <v>933</v>
      </c>
      <c r="E1434" t="s">
        <v>2632</v>
      </c>
      <c r="H1434" t="s">
        <v>27</v>
      </c>
      <c r="L1434" t="s">
        <v>2765</v>
      </c>
      <c r="M1434" t="s">
        <v>8</v>
      </c>
      <c r="N1434" t="s">
        <v>913</v>
      </c>
      <c r="O1434" t="s">
        <v>3116</v>
      </c>
      <c r="Q1434" t="s">
        <v>3907</v>
      </c>
      <c r="R1434" s="52">
        <f>_xlfn.NUMBERVALUE(convertNumberStringPointToNumberComma(LEFT(Q1434,FIND("x",Q1434)-2)))</f>
        <v>85.8</v>
      </c>
      <c r="S1434" s="52">
        <f>_xlfn.NUMBERVALUE(convertNumberStringPointToNumberComma(LEFT(RIGHT(Q1434,LEN(Q1434)-FIND("x",Q1434)-1),LEN(RIGHT(Q1434,LEN(Q1434)-FIND("x",Q1434)-1))-2)))</f>
        <v>188.3</v>
      </c>
    </row>
    <row r="1435" spans="1:19" x14ac:dyDescent="0.25">
      <c r="A1435" t="s">
        <v>2470</v>
      </c>
      <c r="B1435" t="s">
        <v>678</v>
      </c>
      <c r="E1435" t="s">
        <v>2648</v>
      </c>
      <c r="H1435" t="s">
        <v>15</v>
      </c>
      <c r="L1435" t="s">
        <v>2686</v>
      </c>
      <c r="M1435" t="s">
        <v>2682</v>
      </c>
      <c r="N1435" t="s">
        <v>913</v>
      </c>
      <c r="O1435" t="s">
        <v>726</v>
      </c>
      <c r="Q1435" t="s">
        <v>4012</v>
      </c>
      <c r="R1435" s="52">
        <f>_xlfn.NUMBERVALUE(convertNumberStringPointToNumberComma(LEFT(Q1435,FIND("x",Q1435)-2)))</f>
        <v>85.8</v>
      </c>
      <c r="S1435" s="52">
        <f>_xlfn.NUMBERVALUE(convertNumberStringPointToNumberComma(LEFT(RIGHT(Q1435,LEN(Q1435)-FIND("x",Q1435)-1),LEN(RIGHT(Q1435,LEN(Q1435)-FIND("x",Q1435)-1))-2)))</f>
        <v>65.5</v>
      </c>
    </row>
    <row r="1436" spans="1:19" x14ac:dyDescent="0.25">
      <c r="A1436" t="s">
        <v>2623</v>
      </c>
      <c r="B1436" t="s">
        <v>95</v>
      </c>
      <c r="E1436" t="s">
        <v>2632</v>
      </c>
      <c r="M1436" t="s">
        <v>2680</v>
      </c>
      <c r="N1436" t="s">
        <v>2681</v>
      </c>
      <c r="O1436" t="s">
        <v>508</v>
      </c>
      <c r="Q1436" t="s">
        <v>4072</v>
      </c>
      <c r="R1436" s="52">
        <f>_xlfn.NUMBERVALUE(convertNumberStringPointToNumberComma(LEFT(Q1436,FIND("x",Q1436)-2)))</f>
        <v>86</v>
      </c>
      <c r="S1436" s="52">
        <f>_xlfn.NUMBERVALUE(convertNumberStringPointToNumberComma(LEFT(RIGHT(Q1436,LEN(Q1436)-FIND("x",Q1436)-1),LEN(RIGHT(Q1436,LEN(Q1436)-FIND("x",Q1436)-1))-2)))</f>
        <v>104</v>
      </c>
    </row>
    <row r="1437" spans="1:19" x14ac:dyDescent="0.25">
      <c r="A1437" t="s">
        <v>2110</v>
      </c>
      <c r="B1437" t="s">
        <v>95</v>
      </c>
      <c r="E1437" t="s">
        <v>2632</v>
      </c>
      <c r="M1437" t="s">
        <v>2674</v>
      </c>
      <c r="N1437" t="s">
        <v>903</v>
      </c>
      <c r="O1437" t="s">
        <v>508</v>
      </c>
      <c r="Q1437" t="s">
        <v>3843</v>
      </c>
      <c r="R1437" s="52">
        <f>_xlfn.NUMBERVALUE(convertNumberStringPointToNumberComma(LEFT(Q1437,FIND("x",Q1437)-2)))</f>
        <v>86</v>
      </c>
      <c r="S1437" s="52">
        <f>_xlfn.NUMBERVALUE(convertNumberStringPointToNumberComma(LEFT(RIGHT(Q1437,LEN(Q1437)-FIND("x",Q1437)-1),LEN(RIGHT(Q1437,LEN(Q1437)-FIND("x",Q1437)-1))-2)))</f>
        <v>105</v>
      </c>
    </row>
    <row r="1438" spans="1:19" x14ac:dyDescent="0.25">
      <c r="A1438" t="s">
        <v>2106</v>
      </c>
      <c r="B1438" t="s">
        <v>95</v>
      </c>
      <c r="E1438" t="s">
        <v>2632</v>
      </c>
      <c r="M1438" t="s">
        <v>2748</v>
      </c>
      <c r="N1438" t="s">
        <v>903</v>
      </c>
      <c r="O1438" t="s">
        <v>96</v>
      </c>
      <c r="Q1438" t="s">
        <v>3841</v>
      </c>
      <c r="R1438" s="52">
        <f>_xlfn.NUMBERVALUE(convertNumberStringPointToNumberComma(LEFT(Q1438,FIND("x",Q1438)-2)))</f>
        <v>86</v>
      </c>
      <c r="S1438" s="52">
        <f>_xlfn.NUMBERVALUE(convertNumberStringPointToNumberComma(LEFT(RIGHT(Q1438,LEN(Q1438)-FIND("x",Q1438)-1),LEN(RIGHT(Q1438,LEN(Q1438)-FIND("x",Q1438)-1))-2)))</f>
        <v>106</v>
      </c>
    </row>
    <row r="1439" spans="1:19" x14ac:dyDescent="0.25">
      <c r="A1439" t="s">
        <v>1770</v>
      </c>
      <c r="B1439" t="s">
        <v>505</v>
      </c>
      <c r="E1439" t="s">
        <v>2649</v>
      </c>
      <c r="H1439" t="s">
        <v>21</v>
      </c>
      <c r="M1439" t="s">
        <v>2802</v>
      </c>
      <c r="N1439" t="s">
        <v>913</v>
      </c>
      <c r="O1439" t="s">
        <v>119</v>
      </c>
      <c r="Q1439" t="s">
        <v>288</v>
      </c>
      <c r="R1439" s="52">
        <f>_xlfn.NUMBERVALUE(convertNumberStringPointToNumberComma(LEFT(Q1439,FIND("x",Q1439)-2)))</f>
        <v>86</v>
      </c>
      <c r="S1439" s="52">
        <f>_xlfn.NUMBERVALUE(convertNumberStringPointToNumberComma(LEFT(RIGHT(Q1439,LEN(Q1439)-FIND("x",Q1439)-1),LEN(RIGHT(Q1439,LEN(Q1439)-FIND("x",Q1439)-1))-2)))</f>
        <v>111</v>
      </c>
    </row>
    <row r="1440" spans="1:19" x14ac:dyDescent="0.25">
      <c r="A1440" t="s">
        <v>2042</v>
      </c>
      <c r="B1440" t="s">
        <v>505</v>
      </c>
      <c r="E1440" t="s">
        <v>2649</v>
      </c>
      <c r="H1440" t="s">
        <v>21</v>
      </c>
      <c r="M1440" t="s">
        <v>8</v>
      </c>
      <c r="N1440" t="s">
        <v>913</v>
      </c>
      <c r="O1440" t="s">
        <v>119</v>
      </c>
      <c r="Q1440" t="s">
        <v>288</v>
      </c>
      <c r="R1440" s="52">
        <f>_xlfn.NUMBERVALUE(convertNumberStringPointToNumberComma(LEFT(Q1440,FIND("x",Q1440)-2)))</f>
        <v>86</v>
      </c>
      <c r="S1440" s="52">
        <f>_xlfn.NUMBERVALUE(convertNumberStringPointToNumberComma(LEFT(RIGHT(Q1440,LEN(Q1440)-FIND("x",Q1440)-1),LEN(RIGHT(Q1440,LEN(Q1440)-FIND("x",Q1440)-1))-2)))</f>
        <v>111</v>
      </c>
    </row>
    <row r="1441" spans="1:19" x14ac:dyDescent="0.25">
      <c r="A1441" t="s">
        <v>2276</v>
      </c>
      <c r="B1441" t="s">
        <v>505</v>
      </c>
      <c r="E1441" t="s">
        <v>2649</v>
      </c>
      <c r="H1441" t="s">
        <v>21</v>
      </c>
      <c r="M1441" t="s">
        <v>2682</v>
      </c>
      <c r="N1441" t="s">
        <v>913</v>
      </c>
      <c r="O1441" t="s">
        <v>242</v>
      </c>
      <c r="Q1441" t="s">
        <v>3895</v>
      </c>
      <c r="R1441" s="52">
        <f>_xlfn.NUMBERVALUE(convertNumberStringPointToNumberComma(LEFT(Q1441,FIND("x",Q1441)-2)))</f>
        <v>86</v>
      </c>
      <c r="S1441" s="52">
        <f>_xlfn.NUMBERVALUE(convertNumberStringPointToNumberComma(LEFT(RIGHT(Q1441,LEN(Q1441)-FIND("x",Q1441)-1),LEN(RIGHT(Q1441,LEN(Q1441)-FIND("x",Q1441)-1))-2)))</f>
        <v>112</v>
      </c>
    </row>
    <row r="1442" spans="1:19" x14ac:dyDescent="0.25">
      <c r="A1442" t="s">
        <v>2278</v>
      </c>
      <c r="B1442" t="s">
        <v>505</v>
      </c>
      <c r="E1442" t="s">
        <v>2649</v>
      </c>
      <c r="H1442" t="s">
        <v>21</v>
      </c>
      <c r="M1442" t="s">
        <v>8</v>
      </c>
      <c r="N1442" t="s">
        <v>913</v>
      </c>
      <c r="O1442" t="s">
        <v>242</v>
      </c>
      <c r="Q1442" t="s">
        <v>3895</v>
      </c>
      <c r="R1442" s="52">
        <f>_xlfn.NUMBERVALUE(convertNumberStringPointToNumberComma(LEFT(Q1442,FIND("x",Q1442)-2)))</f>
        <v>86</v>
      </c>
      <c r="S1442" s="52">
        <f>_xlfn.NUMBERVALUE(convertNumberStringPointToNumberComma(LEFT(RIGHT(Q1442,LEN(Q1442)-FIND("x",Q1442)-1),LEN(RIGHT(Q1442,LEN(Q1442)-FIND("x",Q1442)-1))-2)))</f>
        <v>112</v>
      </c>
    </row>
    <row r="1443" spans="1:19" x14ac:dyDescent="0.25">
      <c r="A1443" t="s">
        <v>2279</v>
      </c>
      <c r="B1443" t="s">
        <v>505</v>
      </c>
      <c r="E1443" t="s">
        <v>2649</v>
      </c>
      <c r="H1443" t="s">
        <v>21</v>
      </c>
      <c r="M1443" t="s">
        <v>2802</v>
      </c>
      <c r="N1443" t="s">
        <v>913</v>
      </c>
      <c r="O1443" t="s">
        <v>242</v>
      </c>
      <c r="Q1443" t="s">
        <v>3895</v>
      </c>
      <c r="R1443" s="52">
        <f>_xlfn.NUMBERVALUE(convertNumberStringPointToNumberComma(LEFT(Q1443,FIND("x",Q1443)-2)))</f>
        <v>86</v>
      </c>
      <c r="S1443" s="52">
        <f>_xlfn.NUMBERVALUE(convertNumberStringPointToNumberComma(LEFT(RIGHT(Q1443,LEN(Q1443)-FIND("x",Q1443)-1),LEN(RIGHT(Q1443,LEN(Q1443)-FIND("x",Q1443)-1))-2)))</f>
        <v>112</v>
      </c>
    </row>
    <row r="1444" spans="1:19" x14ac:dyDescent="0.25">
      <c r="A1444" t="s">
        <v>2280</v>
      </c>
      <c r="B1444" t="s">
        <v>505</v>
      </c>
      <c r="E1444" t="s">
        <v>2649</v>
      </c>
      <c r="H1444" t="s">
        <v>21</v>
      </c>
      <c r="M1444" t="s">
        <v>2757</v>
      </c>
      <c r="N1444" t="s">
        <v>913</v>
      </c>
      <c r="O1444" t="s">
        <v>242</v>
      </c>
      <c r="Q1444" t="s">
        <v>3895</v>
      </c>
      <c r="R1444" s="52">
        <f>_xlfn.NUMBERVALUE(convertNumberStringPointToNumberComma(LEFT(Q1444,FIND("x",Q1444)-2)))</f>
        <v>86</v>
      </c>
      <c r="S1444" s="52">
        <f>_xlfn.NUMBERVALUE(convertNumberStringPointToNumberComma(LEFT(RIGHT(Q1444,LEN(Q1444)-FIND("x",Q1444)-1),LEN(RIGHT(Q1444,LEN(Q1444)-FIND("x",Q1444)-1))-2)))</f>
        <v>112</v>
      </c>
    </row>
    <row r="1445" spans="1:19" x14ac:dyDescent="0.25">
      <c r="A1445" t="s">
        <v>2352</v>
      </c>
      <c r="B1445" t="s">
        <v>505</v>
      </c>
      <c r="E1445" t="s">
        <v>2649</v>
      </c>
      <c r="H1445" t="s">
        <v>21</v>
      </c>
      <c r="M1445" t="s">
        <v>2674</v>
      </c>
      <c r="N1445" t="s">
        <v>903</v>
      </c>
      <c r="O1445" t="s">
        <v>242</v>
      </c>
      <c r="Q1445" t="s">
        <v>3895</v>
      </c>
      <c r="R1445" s="52">
        <f>_xlfn.NUMBERVALUE(convertNumberStringPointToNumberComma(LEFT(Q1445,FIND("x",Q1445)-2)))</f>
        <v>86</v>
      </c>
      <c r="S1445" s="52">
        <f>_xlfn.NUMBERVALUE(convertNumberStringPointToNumberComma(LEFT(RIGHT(Q1445,LEN(Q1445)-FIND("x",Q1445)-1),LEN(RIGHT(Q1445,LEN(Q1445)-FIND("x",Q1445)-1))-2)))</f>
        <v>112</v>
      </c>
    </row>
    <row r="1446" spans="1:19" x14ac:dyDescent="0.25">
      <c r="A1446" t="s">
        <v>1383</v>
      </c>
      <c r="B1446" t="s">
        <v>1384</v>
      </c>
      <c r="E1446" t="s">
        <v>2638</v>
      </c>
      <c r="H1446" t="s">
        <v>27</v>
      </c>
      <c r="L1446" t="s">
        <v>2753</v>
      </c>
      <c r="M1446" t="s">
        <v>2681</v>
      </c>
      <c r="N1446" t="s">
        <v>2681</v>
      </c>
      <c r="O1446" t="s">
        <v>2889</v>
      </c>
      <c r="Q1446" t="s">
        <v>3464</v>
      </c>
      <c r="R1446" s="52">
        <f>_xlfn.NUMBERVALUE(convertNumberStringPointToNumberComma(LEFT(Q1446,FIND("x",Q1446)-2)))</f>
        <v>86</v>
      </c>
      <c r="S1446" s="52">
        <f>_xlfn.NUMBERVALUE(convertNumberStringPointToNumberComma(LEFT(RIGHT(Q1446,LEN(Q1446)-FIND("x",Q1446)-1),LEN(RIGHT(Q1446,LEN(Q1446)-FIND("x",Q1446)-1))-2)))</f>
        <v>133</v>
      </c>
    </row>
    <row r="1447" spans="1:19" x14ac:dyDescent="0.25">
      <c r="A1447" t="s">
        <v>1686</v>
      </c>
      <c r="B1447" t="s">
        <v>505</v>
      </c>
      <c r="E1447" t="s">
        <v>2649</v>
      </c>
      <c r="H1447" t="s">
        <v>21</v>
      </c>
      <c r="M1447" t="s">
        <v>2680</v>
      </c>
      <c r="N1447" t="s">
        <v>903</v>
      </c>
      <c r="O1447" t="s">
        <v>513</v>
      </c>
      <c r="Q1447" t="s">
        <v>3632</v>
      </c>
      <c r="R1447" s="52">
        <f>_xlfn.NUMBERVALUE(convertNumberStringPointToNumberComma(LEFT(Q1447,FIND("x",Q1447)-2)))</f>
        <v>86</v>
      </c>
      <c r="S1447" s="52">
        <f>_xlfn.NUMBERVALUE(convertNumberStringPointToNumberComma(LEFT(RIGHT(Q1447,LEN(Q1447)-FIND("x",Q1447)-1),LEN(RIGHT(Q1447,LEN(Q1447)-FIND("x",Q1447)-1))-2)))</f>
        <v>134</v>
      </c>
    </row>
    <row r="1448" spans="1:19" x14ac:dyDescent="0.25">
      <c r="A1448" t="s">
        <v>2275</v>
      </c>
      <c r="B1448" t="s">
        <v>505</v>
      </c>
      <c r="E1448" t="s">
        <v>2649</v>
      </c>
      <c r="H1448" t="s">
        <v>21</v>
      </c>
      <c r="M1448" t="s">
        <v>2748</v>
      </c>
      <c r="N1448" t="s">
        <v>903</v>
      </c>
      <c r="O1448" t="s">
        <v>272</v>
      </c>
      <c r="Q1448" t="s">
        <v>3894</v>
      </c>
      <c r="R1448" s="52">
        <f>_xlfn.NUMBERVALUE(convertNumberStringPointToNumberComma(LEFT(Q1448,FIND("x",Q1448)-2)))</f>
        <v>86</v>
      </c>
      <c r="S1448" s="52">
        <f>_xlfn.NUMBERVALUE(convertNumberStringPointToNumberComma(LEFT(RIGHT(Q1448,LEN(Q1448)-FIND("x",Q1448)-1),LEN(RIGHT(Q1448,LEN(Q1448)-FIND("x",Q1448)-1))-2)))</f>
        <v>136</v>
      </c>
    </row>
    <row r="1449" spans="1:19" x14ac:dyDescent="0.25">
      <c r="A1449" t="s">
        <v>2035</v>
      </c>
      <c r="B1449" t="s">
        <v>505</v>
      </c>
      <c r="E1449" t="s">
        <v>2649</v>
      </c>
      <c r="H1449" t="s">
        <v>21</v>
      </c>
      <c r="M1449" t="s">
        <v>2674</v>
      </c>
      <c r="N1449" t="s">
        <v>913</v>
      </c>
      <c r="O1449" t="s">
        <v>2874</v>
      </c>
      <c r="Q1449" t="s">
        <v>3805</v>
      </c>
      <c r="R1449" s="52">
        <f>_xlfn.NUMBERVALUE(convertNumberStringPointToNumberComma(LEFT(Q1449,FIND("x",Q1449)-2)))</f>
        <v>86</v>
      </c>
      <c r="S1449" s="52">
        <f>_xlfn.NUMBERVALUE(convertNumberStringPointToNumberComma(LEFT(RIGHT(Q1449,LEN(Q1449)-FIND("x",Q1449)-1),LEN(RIGHT(Q1449,LEN(Q1449)-FIND("x",Q1449)-1))-2)))</f>
        <v>139</v>
      </c>
    </row>
    <row r="1450" spans="1:19" x14ac:dyDescent="0.25">
      <c r="A1450" t="s">
        <v>2103</v>
      </c>
      <c r="B1450" t="s">
        <v>95</v>
      </c>
      <c r="E1450" t="s">
        <v>2632</v>
      </c>
      <c r="M1450" t="s">
        <v>8</v>
      </c>
      <c r="N1450" t="s">
        <v>903</v>
      </c>
      <c r="O1450" t="s">
        <v>726</v>
      </c>
      <c r="Q1450" t="s">
        <v>3838</v>
      </c>
      <c r="R1450" s="52">
        <f>_xlfn.NUMBERVALUE(convertNumberStringPointToNumberComma(LEFT(Q1450,FIND("x",Q1450)-2)))</f>
        <v>86</v>
      </c>
      <c r="S1450" s="52">
        <f>_xlfn.NUMBERVALUE(convertNumberStringPointToNumberComma(LEFT(RIGHT(Q1450,LEN(Q1450)-FIND("x",Q1450)-1),LEN(RIGHT(Q1450,LEN(Q1450)-FIND("x",Q1450)-1))-2)))</f>
        <v>77</v>
      </c>
    </row>
    <row r="1451" spans="1:19" x14ac:dyDescent="0.25">
      <c r="A1451" t="s">
        <v>2104</v>
      </c>
      <c r="B1451" t="s">
        <v>95</v>
      </c>
      <c r="E1451" t="s">
        <v>2632</v>
      </c>
      <c r="M1451" t="s">
        <v>2802</v>
      </c>
      <c r="N1451" t="s">
        <v>903</v>
      </c>
      <c r="O1451" t="s">
        <v>726</v>
      </c>
      <c r="Q1451" t="s">
        <v>3839</v>
      </c>
      <c r="R1451" s="52">
        <f>_xlfn.NUMBERVALUE(convertNumberStringPointToNumberComma(LEFT(Q1451,FIND("x",Q1451)-2)))</f>
        <v>86</v>
      </c>
      <c r="S1451" s="52">
        <f>_xlfn.NUMBERVALUE(convertNumberStringPointToNumberComma(LEFT(RIGHT(Q1451,LEN(Q1451)-FIND("x",Q1451)-1),LEN(RIGHT(Q1451,LEN(Q1451)-FIND("x",Q1451)-1))-2)))</f>
        <v>78</v>
      </c>
    </row>
    <row r="1452" spans="1:19" x14ac:dyDescent="0.25">
      <c r="A1452" t="s">
        <v>1579</v>
      </c>
      <c r="B1452" t="s">
        <v>95</v>
      </c>
      <c r="E1452" t="s">
        <v>2632</v>
      </c>
      <c r="M1452" t="s">
        <v>2682</v>
      </c>
      <c r="N1452" t="s">
        <v>903</v>
      </c>
      <c r="O1452" t="s">
        <v>2945</v>
      </c>
      <c r="Q1452" t="s">
        <v>3568</v>
      </c>
      <c r="R1452" s="52">
        <f>_xlfn.NUMBERVALUE(convertNumberStringPointToNumberComma(LEFT(Q1452,FIND("x",Q1452)-2)))</f>
        <v>86</v>
      </c>
      <c r="S1452" s="52">
        <f>_xlfn.NUMBERVALUE(convertNumberStringPointToNumberComma(LEFT(RIGHT(Q1452,LEN(Q1452)-FIND("x",Q1452)-1),LEN(RIGHT(Q1452,LEN(Q1452)-FIND("x",Q1452)-1))-2)))</f>
        <v>79</v>
      </c>
    </row>
    <row r="1453" spans="1:19" x14ac:dyDescent="0.25">
      <c r="A1453" t="s">
        <v>2101</v>
      </c>
      <c r="B1453" t="s">
        <v>95</v>
      </c>
      <c r="E1453" t="s">
        <v>2632</v>
      </c>
      <c r="M1453" t="s">
        <v>2763</v>
      </c>
      <c r="N1453" t="s">
        <v>903</v>
      </c>
      <c r="O1453" t="s">
        <v>508</v>
      </c>
      <c r="Q1453" t="s">
        <v>3568</v>
      </c>
      <c r="R1453" s="52">
        <f>_xlfn.NUMBERVALUE(convertNumberStringPointToNumberComma(LEFT(Q1453,FIND("x",Q1453)-2)))</f>
        <v>86</v>
      </c>
      <c r="S1453" s="52">
        <f>_xlfn.NUMBERVALUE(convertNumberStringPointToNumberComma(LEFT(RIGHT(Q1453,LEN(Q1453)-FIND("x",Q1453)-1),LEN(RIGHT(Q1453,LEN(Q1453)-FIND("x",Q1453)-1))-2)))</f>
        <v>79</v>
      </c>
    </row>
    <row r="1454" spans="1:19" x14ac:dyDescent="0.25">
      <c r="A1454" t="s">
        <v>2107</v>
      </c>
      <c r="B1454" t="s">
        <v>95</v>
      </c>
      <c r="E1454" t="s">
        <v>2632</v>
      </c>
      <c r="M1454" t="s">
        <v>2757</v>
      </c>
      <c r="N1454" t="s">
        <v>903</v>
      </c>
      <c r="O1454" t="s">
        <v>356</v>
      </c>
      <c r="Q1454" t="s">
        <v>3568</v>
      </c>
      <c r="R1454" s="52">
        <f>_xlfn.NUMBERVALUE(convertNumberStringPointToNumberComma(LEFT(Q1454,FIND("x",Q1454)-2)))</f>
        <v>86</v>
      </c>
      <c r="S1454" s="52">
        <f>_xlfn.NUMBERVALUE(convertNumberStringPointToNumberComma(LEFT(RIGHT(Q1454,LEN(Q1454)-FIND("x",Q1454)-1),LEN(RIGHT(Q1454,LEN(Q1454)-FIND("x",Q1454)-1))-2)))</f>
        <v>79</v>
      </c>
    </row>
    <row r="1455" spans="1:19" x14ac:dyDescent="0.25">
      <c r="A1455" t="s">
        <v>2102</v>
      </c>
      <c r="B1455" t="s">
        <v>95</v>
      </c>
      <c r="E1455" t="s">
        <v>2632</v>
      </c>
      <c r="M1455" t="s">
        <v>2681</v>
      </c>
      <c r="N1455" t="s">
        <v>2681</v>
      </c>
      <c r="O1455" t="s">
        <v>246</v>
      </c>
      <c r="Q1455" t="s">
        <v>3837</v>
      </c>
      <c r="R1455" s="52">
        <f>_xlfn.NUMBERVALUE(convertNumberStringPointToNumberComma(LEFT(Q1455,FIND("x",Q1455)-2)))</f>
        <v>86</v>
      </c>
      <c r="S1455" s="52">
        <f>_xlfn.NUMBERVALUE(convertNumberStringPointToNumberComma(LEFT(RIGHT(Q1455,LEN(Q1455)-FIND("x",Q1455)-1),LEN(RIGHT(Q1455,LEN(Q1455)-FIND("x",Q1455)-1))-2)))</f>
        <v>85</v>
      </c>
    </row>
    <row r="1456" spans="1:19" x14ac:dyDescent="0.25">
      <c r="A1456" t="s">
        <v>2105</v>
      </c>
      <c r="B1456" t="s">
        <v>95</v>
      </c>
      <c r="E1456" t="s">
        <v>2632</v>
      </c>
      <c r="M1456" t="s">
        <v>2804</v>
      </c>
      <c r="N1456" t="s">
        <v>903</v>
      </c>
      <c r="O1456" t="s">
        <v>268</v>
      </c>
      <c r="Q1456" t="s">
        <v>3840</v>
      </c>
      <c r="R1456" s="52">
        <f>_xlfn.NUMBERVALUE(convertNumberStringPointToNumberComma(LEFT(Q1456,FIND("x",Q1456)-2)))</f>
        <v>86</v>
      </c>
      <c r="S1456" s="52">
        <f>_xlfn.NUMBERVALUE(convertNumberStringPointToNumberComma(LEFT(RIGHT(Q1456,LEN(Q1456)-FIND("x",Q1456)-1),LEN(RIGHT(Q1456,LEN(Q1456)-FIND("x",Q1456)-1))-2)))</f>
        <v>98</v>
      </c>
    </row>
    <row r="1457" spans="1:19" x14ac:dyDescent="0.25">
      <c r="A1457" t="s">
        <v>1080</v>
      </c>
      <c r="B1457" t="s">
        <v>929</v>
      </c>
      <c r="C1457" s="5">
        <f>convertNumberStringPointToNumberComma(IFERROR(LEFT(B1457,(FIND("-",B1457)-1)),LEFT(B1457,FIND("mm",B1457)-1)))</f>
        <v>100</v>
      </c>
      <c r="D1457" s="5">
        <f>convertNumberStringPointToNumberComma(IFERROR(RIGHT(LEFT(B1457,FIND("m",B1457)-1),LEN(LEFT(B1457,FIND("m",B1457)-1))-FIND("-",LEFT(B1457,FIND("m",B1457)-1))-1),C1457))</f>
        <v>0</v>
      </c>
      <c r="E1457" t="s">
        <v>2650</v>
      </c>
      <c r="F1457" s="9">
        <f>convertNumberStringPointToNumberComma(LEFT(MID(E1457,3,9),IFERROR(FIND("-",MID(E1457,3,9))-2,3)))</f>
        <v>5</v>
      </c>
      <c r="G1457" s="9">
        <f>convertNumberStringPointToNumberComma(RIGHT(E1457,IF(ISERROR(FIND(".",RIGHT(E1457,3))),1,3)))</f>
        <v>6.3</v>
      </c>
      <c r="H1457" t="s">
        <v>56</v>
      </c>
      <c r="I1457" s="5" t="str">
        <f>IF(H1457="none",0,LEFT(H1457,LEN(H1457)-2))</f>
        <v>67</v>
      </c>
      <c r="J1457" s="5" t="s">
        <v>162</v>
      </c>
      <c r="K1457" s="10">
        <f>IF(J1457="",0,convertNumberStringPointToNumberComma(LEFT(J1457,LEN(J1457)-1)))</f>
        <v>0.25</v>
      </c>
      <c r="L1457" t="s">
        <v>2777</v>
      </c>
      <c r="M1457" t="s">
        <v>2682</v>
      </c>
      <c r="N1457" t="s">
        <v>913</v>
      </c>
      <c r="O1457" t="s">
        <v>2778</v>
      </c>
      <c r="P1457" s="5" t="str">
        <f>LEFT(O1457,LEN(O1457)-1)</f>
        <v>1.16k</v>
      </c>
      <c r="Q1457" t="s">
        <v>3301</v>
      </c>
      <c r="R1457" s="52">
        <f>_xlfn.NUMBERVALUE(convertNumberStringPointToNumberComma(LEFT(Q1457,FIND("x",Q1457)-2)))</f>
        <v>86.4</v>
      </c>
      <c r="S1457" s="52">
        <f>_xlfn.NUMBERVALUE(convertNumberStringPointToNumberComma(LEFT(RIGHT(Q1457,LEN(Q1457)-FIND("x",Q1457)-1),LEN(RIGHT(Q1457,LEN(Q1457)-FIND("x",Q1457)-1))-2)))</f>
        <v>182.3</v>
      </c>
    </row>
    <row r="1458" spans="1:19" x14ac:dyDescent="0.25">
      <c r="A1458" t="s">
        <v>1696</v>
      </c>
      <c r="B1458" t="s">
        <v>929</v>
      </c>
      <c r="E1458" t="s">
        <v>2650</v>
      </c>
      <c r="H1458" t="s">
        <v>56</v>
      </c>
      <c r="L1458" t="s">
        <v>2777</v>
      </c>
      <c r="M1458" t="s">
        <v>2793</v>
      </c>
      <c r="N1458" t="s">
        <v>913</v>
      </c>
      <c r="O1458" t="s">
        <v>2778</v>
      </c>
      <c r="Q1458" t="s">
        <v>3301</v>
      </c>
      <c r="R1458" s="52">
        <f>_xlfn.NUMBERVALUE(convertNumberStringPointToNumberComma(LEFT(Q1458,FIND("x",Q1458)-2)))</f>
        <v>86.4</v>
      </c>
      <c r="S1458" s="52">
        <f>_xlfn.NUMBERVALUE(convertNumberStringPointToNumberComma(LEFT(RIGHT(Q1458,LEN(Q1458)-FIND("x",Q1458)-1),LEN(RIGHT(Q1458,LEN(Q1458)-FIND("x",Q1458)-1))-2)))</f>
        <v>182.3</v>
      </c>
    </row>
    <row r="1459" spans="1:19" x14ac:dyDescent="0.25">
      <c r="A1459" t="s">
        <v>2431</v>
      </c>
      <c r="B1459" t="s">
        <v>929</v>
      </c>
      <c r="E1459" t="s">
        <v>2650</v>
      </c>
      <c r="H1459" t="s">
        <v>56</v>
      </c>
      <c r="L1459" t="s">
        <v>2777</v>
      </c>
      <c r="M1459" t="s">
        <v>8</v>
      </c>
      <c r="N1459" t="s">
        <v>913</v>
      </c>
      <c r="O1459" t="s">
        <v>2778</v>
      </c>
      <c r="Q1459" t="s">
        <v>3301</v>
      </c>
      <c r="R1459" s="52">
        <f>_xlfn.NUMBERVALUE(convertNumberStringPointToNumberComma(LEFT(Q1459,FIND("x",Q1459)-2)))</f>
        <v>86.4</v>
      </c>
      <c r="S1459" s="52">
        <f>_xlfn.NUMBERVALUE(convertNumberStringPointToNumberComma(LEFT(RIGHT(Q1459,LEN(Q1459)-FIND("x",Q1459)-1),LEN(RIGHT(Q1459,LEN(Q1459)-FIND("x",Q1459)-1))-2)))</f>
        <v>182.3</v>
      </c>
    </row>
    <row r="1460" spans="1:19" x14ac:dyDescent="0.25">
      <c r="A1460" t="s">
        <v>1157</v>
      </c>
      <c r="B1460" t="s">
        <v>933</v>
      </c>
      <c r="C1460" s="5">
        <f>convertNumberStringPointToNumberComma(IFERROR(LEFT(B1460,(FIND("-",B1460)-1)),LEFT(B1460,FIND("mm",B1460)-1)))</f>
        <v>70</v>
      </c>
      <c r="D1460" s="5">
        <f>convertNumberStringPointToNumberComma(IFERROR(RIGHT(LEFT(B1460,FIND("m",B1460)-1),LEN(LEFT(B1460,FIND("m",B1460)-1))-FIND("-",LEFT(B1460,FIND("m",B1460)-1))-1),C1460))</f>
        <v>0</v>
      </c>
      <c r="E1460" t="s">
        <v>2632</v>
      </c>
      <c r="F1460" s="9">
        <f>convertNumberStringPointToNumberComma(LEFT(MID(E1460,3,9),IFERROR(FIND("-",MID(E1460,3,9))-2,3)))</f>
        <v>2.8</v>
      </c>
      <c r="G1460" s="9">
        <f>convertNumberStringPointToNumberComma(RIGHT(E1460,IF(ISERROR(FIND(".",RIGHT(E1460,3))),1,3)))</f>
        <v>2.8</v>
      </c>
      <c r="H1460" t="s">
        <v>27</v>
      </c>
      <c r="I1460" s="5" t="str">
        <f>IF(H1460="none",0,LEFT(H1460,LEN(H1460)-2))</f>
        <v>77</v>
      </c>
      <c r="J1460" s="5" t="s">
        <v>758</v>
      </c>
      <c r="K1460" s="10">
        <f>IF(J1460="",0,convertNumberStringPointToNumberComma(LEFT(J1460,LEN(J1460)-1)))</f>
        <v>0.27400000000000002</v>
      </c>
      <c r="L1460" t="s">
        <v>2765</v>
      </c>
      <c r="M1460" t="s">
        <v>2682</v>
      </c>
      <c r="N1460" t="s">
        <v>913</v>
      </c>
      <c r="O1460" t="s">
        <v>2696</v>
      </c>
      <c r="P1460" s="5" t="str">
        <f>LEFT(O1460,LEN(O1460)-1)</f>
        <v>1.43k</v>
      </c>
      <c r="Q1460" t="s">
        <v>3333</v>
      </c>
      <c r="R1460" s="52">
        <f>_xlfn.NUMBERVALUE(convertNumberStringPointToNumberComma(LEFT(Q1460,FIND("x",Q1460)-2)))</f>
        <v>86.4</v>
      </c>
      <c r="S1460" s="52">
        <f>_xlfn.NUMBERVALUE(convertNumberStringPointToNumberComma(LEFT(RIGHT(Q1460,LEN(Q1460)-FIND("x",Q1460)-1),LEN(RIGHT(Q1460,LEN(Q1460)-FIND("x",Q1460)-1))-2)))</f>
        <v>197.6</v>
      </c>
    </row>
    <row r="1461" spans="1:19" x14ac:dyDescent="0.25">
      <c r="A1461" t="s">
        <v>1438</v>
      </c>
      <c r="B1461" t="s">
        <v>933</v>
      </c>
      <c r="E1461" t="s">
        <v>2632</v>
      </c>
      <c r="H1461" t="s">
        <v>27</v>
      </c>
      <c r="L1461" t="s">
        <v>2765</v>
      </c>
      <c r="M1461" t="s">
        <v>2757</v>
      </c>
      <c r="N1461" t="s">
        <v>913</v>
      </c>
      <c r="O1461" t="s">
        <v>2696</v>
      </c>
      <c r="Q1461" t="s">
        <v>3333</v>
      </c>
      <c r="R1461" s="52">
        <f>_xlfn.NUMBERVALUE(convertNumberStringPointToNumberComma(LEFT(Q1461,FIND("x",Q1461)-2)))</f>
        <v>86.4</v>
      </c>
      <c r="S1461" s="52">
        <f>_xlfn.NUMBERVALUE(convertNumberStringPointToNumberComma(LEFT(RIGHT(Q1461,LEN(Q1461)-FIND("x",Q1461)-1),LEN(RIGHT(Q1461,LEN(Q1461)-FIND("x",Q1461)-1))-2)))</f>
        <v>197.6</v>
      </c>
    </row>
    <row r="1462" spans="1:19" x14ac:dyDescent="0.25">
      <c r="A1462" t="s">
        <v>1746</v>
      </c>
      <c r="B1462" t="s">
        <v>933</v>
      </c>
      <c r="E1462" t="s">
        <v>2632</v>
      </c>
      <c r="H1462" t="s">
        <v>27</v>
      </c>
      <c r="L1462" t="s">
        <v>2765</v>
      </c>
      <c r="M1462" t="s">
        <v>2793</v>
      </c>
      <c r="N1462" t="s">
        <v>903</v>
      </c>
      <c r="O1462" t="s">
        <v>2696</v>
      </c>
      <c r="Q1462" t="s">
        <v>3333</v>
      </c>
      <c r="R1462" s="52">
        <f>_xlfn.NUMBERVALUE(convertNumberStringPointToNumberComma(LEFT(Q1462,FIND("x",Q1462)-2)))</f>
        <v>86.4</v>
      </c>
      <c r="S1462" s="52">
        <f>_xlfn.NUMBERVALUE(convertNumberStringPointToNumberComma(LEFT(RIGHT(Q1462,LEN(Q1462)-FIND("x",Q1462)-1),LEN(RIGHT(Q1462,LEN(Q1462)-FIND("x",Q1462)-1))-2)))</f>
        <v>197.6</v>
      </c>
    </row>
    <row r="1463" spans="1:19" x14ac:dyDescent="0.25">
      <c r="A1463" t="s">
        <v>2437</v>
      </c>
      <c r="B1463" t="s">
        <v>933</v>
      </c>
      <c r="E1463" t="s">
        <v>2632</v>
      </c>
      <c r="H1463" t="s">
        <v>27</v>
      </c>
      <c r="L1463" t="s">
        <v>2765</v>
      </c>
      <c r="M1463" t="s">
        <v>8</v>
      </c>
      <c r="N1463" t="s">
        <v>913</v>
      </c>
      <c r="O1463" t="s">
        <v>2696</v>
      </c>
      <c r="Q1463" t="s">
        <v>3333</v>
      </c>
      <c r="R1463" s="52">
        <f>_xlfn.NUMBERVALUE(convertNumberStringPointToNumberComma(LEFT(Q1463,FIND("x",Q1463)-2)))</f>
        <v>86.4</v>
      </c>
      <c r="S1463" s="52">
        <f>_xlfn.NUMBERVALUE(convertNumberStringPointToNumberComma(LEFT(RIGHT(Q1463,LEN(Q1463)-FIND("x",Q1463)-1),LEN(RIGHT(Q1463,LEN(Q1463)-FIND("x",Q1463)-1))-2)))</f>
        <v>197.6</v>
      </c>
    </row>
    <row r="1464" spans="1:19" x14ac:dyDescent="0.25">
      <c r="A1464" t="s">
        <v>2437</v>
      </c>
      <c r="B1464" t="s">
        <v>933</v>
      </c>
      <c r="E1464" t="s">
        <v>2632</v>
      </c>
      <c r="H1464" t="s">
        <v>27</v>
      </c>
      <c r="L1464" t="s">
        <v>2765</v>
      </c>
      <c r="M1464" t="s">
        <v>8</v>
      </c>
      <c r="N1464" t="s">
        <v>913</v>
      </c>
      <c r="O1464" t="s">
        <v>2696</v>
      </c>
      <c r="Q1464" t="s">
        <v>3333</v>
      </c>
      <c r="R1464" s="52">
        <f>_xlfn.NUMBERVALUE(convertNumberStringPointToNumberComma(LEFT(Q1464,FIND("x",Q1464)-2)))</f>
        <v>86.4</v>
      </c>
      <c r="S1464" s="52">
        <f>_xlfn.NUMBERVALUE(convertNumberStringPointToNumberComma(LEFT(RIGHT(Q1464,LEN(Q1464)-FIND("x",Q1464)-1),LEN(RIGHT(Q1464,LEN(Q1464)-FIND("x",Q1464)-1))-2)))</f>
        <v>197.6</v>
      </c>
    </row>
    <row r="1465" spans="1:19" x14ac:dyDescent="0.25">
      <c r="A1465" t="s">
        <v>1407</v>
      </c>
      <c r="B1465" t="s">
        <v>176</v>
      </c>
      <c r="E1465" t="s">
        <v>2632</v>
      </c>
      <c r="M1465" t="s">
        <v>2682</v>
      </c>
      <c r="N1465" t="s">
        <v>913</v>
      </c>
      <c r="O1465" t="s">
        <v>108</v>
      </c>
      <c r="Q1465" t="s">
        <v>3480</v>
      </c>
      <c r="R1465" s="52">
        <f>_xlfn.NUMBERVALUE(convertNumberStringPointToNumberComma(LEFT(Q1465,FIND("x",Q1465)-2)))</f>
        <v>86.5</v>
      </c>
      <c r="S1465" s="52">
        <f>_xlfn.NUMBERVALUE(convertNumberStringPointToNumberComma(LEFT(RIGHT(Q1465,LEN(Q1465)-FIND("x",Q1465)-1),LEN(RIGHT(Q1465,LEN(Q1465)-FIND("x",Q1465)-1))-2)))</f>
        <v>100</v>
      </c>
    </row>
    <row r="1466" spans="1:19" x14ac:dyDescent="0.25">
      <c r="A1466" t="s">
        <v>2537</v>
      </c>
      <c r="B1466" t="s">
        <v>176</v>
      </c>
      <c r="E1466" t="s">
        <v>2632</v>
      </c>
      <c r="M1466" t="s">
        <v>8</v>
      </c>
      <c r="N1466" t="s">
        <v>913</v>
      </c>
      <c r="O1466" t="s">
        <v>108</v>
      </c>
      <c r="Q1466" t="s">
        <v>3480</v>
      </c>
      <c r="R1466" s="52">
        <f>_xlfn.NUMBERVALUE(convertNumberStringPointToNumberComma(LEFT(Q1466,FIND("x",Q1466)-2)))</f>
        <v>86.5</v>
      </c>
      <c r="S1466" s="52">
        <f>_xlfn.NUMBERVALUE(convertNumberStringPointToNumberComma(LEFT(RIGHT(Q1466,LEN(Q1466)-FIND("x",Q1466)-1),LEN(RIGHT(Q1466,LEN(Q1466)-FIND("x",Q1466)-1))-2)))</f>
        <v>100</v>
      </c>
    </row>
    <row r="1467" spans="1:19" x14ac:dyDescent="0.25">
      <c r="A1467" t="s">
        <v>1164</v>
      </c>
      <c r="B1467" t="s">
        <v>1040</v>
      </c>
      <c r="C1467" s="5">
        <f>convertNumberStringPointToNumberComma(IFERROR(LEFT(B1467,(FIND("-",B1467)-1)),LEFT(B1467,FIND("mm",B1467)-1)))</f>
        <v>7</v>
      </c>
      <c r="D1467" s="5">
        <f>convertNumberStringPointToNumberComma(IFERROR(RIGHT(LEFT(B1467,FIND("m",B1467)-1),LEN(LEFT(B1467,FIND("m",B1467)-1))-FIND("-",LEFT(B1467,FIND("m",B1467)-1))-1),C1467))</f>
        <v>4</v>
      </c>
      <c r="E1467" t="s">
        <v>2633</v>
      </c>
      <c r="F1467" s="9">
        <f>convertNumberStringPointToNumberComma(LEFT(MID(E1467,3,9),IFERROR(FIND("-",MID(E1467,3,9))-2,3)))</f>
        <v>4</v>
      </c>
      <c r="G1467" s="9">
        <f>convertNumberStringPointToNumberComma(RIGHT(E1467,IF(ISERROR(FIND(".",RIGHT(E1467,3))),1,3)))</f>
        <v>4</v>
      </c>
      <c r="H1467" t="s">
        <v>2821</v>
      </c>
      <c r="I1467" s="5" t="str">
        <f>IF(H1467="none",0,LEFT(H1467,LEN(H1467)-2))</f>
        <v>Verwendu</v>
      </c>
      <c r="J1467" s="5" t="s">
        <v>251</v>
      </c>
      <c r="K1467" s="10">
        <f>IF(J1467="",0,convertNumberStringPointToNumberComma(LEFT(J1467,LEN(J1467)-1)))</f>
        <v>0.22</v>
      </c>
      <c r="L1467" t="s">
        <v>2692</v>
      </c>
      <c r="M1467" t="s">
        <v>2681</v>
      </c>
      <c r="N1467" t="s">
        <v>2681</v>
      </c>
      <c r="O1467" t="s">
        <v>650</v>
      </c>
      <c r="P1467" s="5" t="str">
        <f>LEFT(O1467,LEN(O1467)-1)</f>
        <v>780</v>
      </c>
      <c r="Q1467" t="s">
        <v>3339</v>
      </c>
      <c r="R1467" s="52">
        <f>_xlfn.NUMBERVALUE(convertNumberStringPointToNumberComma(LEFT(Q1467,FIND("x",Q1467)-2)))</f>
        <v>86.5</v>
      </c>
      <c r="S1467" s="52">
        <f>_xlfn.NUMBERVALUE(convertNumberStringPointToNumberComma(LEFT(RIGHT(Q1467,LEN(Q1467)-FIND("x",Q1467)-1),LEN(RIGHT(Q1467,LEN(Q1467)-FIND("x",Q1467)-1))-2)))</f>
        <v>119.5</v>
      </c>
    </row>
    <row r="1468" spans="1:19" x14ac:dyDescent="0.25">
      <c r="A1468" t="s">
        <v>1382</v>
      </c>
      <c r="B1468" t="s">
        <v>1322</v>
      </c>
      <c r="E1468" t="s">
        <v>2661</v>
      </c>
      <c r="H1468" t="s">
        <v>56</v>
      </c>
      <c r="L1468" t="s">
        <v>2679</v>
      </c>
      <c r="M1468" t="s">
        <v>2681</v>
      </c>
      <c r="N1468" t="s">
        <v>2681</v>
      </c>
      <c r="O1468" t="s">
        <v>2871</v>
      </c>
      <c r="Q1468" t="s">
        <v>3463</v>
      </c>
      <c r="R1468" s="52">
        <f>_xlfn.NUMBERVALUE(convertNumberStringPointToNumberComma(LEFT(Q1468,FIND("x",Q1468)-2)))</f>
        <v>86.5</v>
      </c>
      <c r="S1468" s="52">
        <f>_xlfn.NUMBERVALUE(convertNumberStringPointToNumberComma(LEFT(RIGHT(Q1468,LEN(Q1468)-FIND("x",Q1468)-1),LEN(RIGHT(Q1468,LEN(Q1468)-FIND("x",Q1468)-1))-2)))</f>
        <v>157</v>
      </c>
    </row>
    <row r="1469" spans="1:19" x14ac:dyDescent="0.25">
      <c r="A1469" t="s">
        <v>2445</v>
      </c>
      <c r="B1469" t="s">
        <v>822</v>
      </c>
      <c r="E1469" t="s">
        <v>2643</v>
      </c>
      <c r="H1469" t="s">
        <v>27</v>
      </c>
      <c r="L1469" t="s">
        <v>2753</v>
      </c>
      <c r="M1469" t="s">
        <v>8</v>
      </c>
      <c r="N1469" t="s">
        <v>913</v>
      </c>
      <c r="O1469" t="s">
        <v>3045</v>
      </c>
      <c r="Q1469" t="s">
        <v>3997</v>
      </c>
      <c r="R1469" s="52">
        <f>_xlfn.NUMBERVALUE(convertNumberStringPointToNumberComma(LEFT(Q1469,FIND("x",Q1469)-2)))</f>
        <v>86.5</v>
      </c>
      <c r="S1469" s="52">
        <f>_xlfn.NUMBERVALUE(convertNumberStringPointToNumberComma(LEFT(RIGHT(Q1469,LEN(Q1469)-FIND("x",Q1469)-1),LEN(RIGHT(Q1469,LEN(Q1469)-FIND("x",Q1469)-1))-2)))</f>
        <v>84</v>
      </c>
    </row>
    <row r="1470" spans="1:19" x14ac:dyDescent="0.25">
      <c r="A1470" t="s">
        <v>2445</v>
      </c>
      <c r="B1470" t="s">
        <v>822</v>
      </c>
      <c r="E1470" t="s">
        <v>2643</v>
      </c>
      <c r="H1470" t="s">
        <v>27</v>
      </c>
      <c r="L1470" t="s">
        <v>2753</v>
      </c>
      <c r="M1470" t="s">
        <v>8</v>
      </c>
      <c r="N1470" t="s">
        <v>913</v>
      </c>
      <c r="O1470" t="s">
        <v>3045</v>
      </c>
      <c r="Q1470" t="s">
        <v>3997</v>
      </c>
      <c r="R1470" s="52">
        <f>_xlfn.NUMBERVALUE(convertNumberStringPointToNumberComma(LEFT(Q1470,FIND("x",Q1470)-2)))</f>
        <v>86.5</v>
      </c>
      <c r="S1470" s="52">
        <f>_xlfn.NUMBERVALUE(convertNumberStringPointToNumberComma(LEFT(RIGHT(Q1470,LEN(Q1470)-FIND("x",Q1470)-1),LEN(RIGHT(Q1470,LEN(Q1470)-FIND("x",Q1470)-1))-2)))</f>
        <v>84</v>
      </c>
    </row>
    <row r="1471" spans="1:19" x14ac:dyDescent="0.25">
      <c r="A1471" t="s">
        <v>1551</v>
      </c>
      <c r="B1471" t="s">
        <v>176</v>
      </c>
      <c r="E1471" t="s">
        <v>2632</v>
      </c>
      <c r="L1471" t="s">
        <v>2931</v>
      </c>
      <c r="M1471" t="s">
        <v>8</v>
      </c>
      <c r="N1471" t="s">
        <v>913</v>
      </c>
      <c r="O1471" t="s">
        <v>119</v>
      </c>
      <c r="Q1471" t="s">
        <v>3550</v>
      </c>
      <c r="R1471" s="52">
        <f>_xlfn.NUMBERVALUE(convertNumberStringPointToNumberComma(LEFT(Q1471,FIND("x",Q1471)-2)))</f>
        <v>86.5</v>
      </c>
      <c r="S1471" s="52">
        <f>_xlfn.NUMBERVALUE(convertNumberStringPointToNumberComma(LEFT(RIGHT(Q1471,LEN(Q1471)-FIND("x",Q1471)-1),LEN(RIGHT(Q1471,LEN(Q1471)-FIND("x",Q1471)-1))-2)))</f>
        <v>87</v>
      </c>
    </row>
    <row r="1472" spans="1:19" x14ac:dyDescent="0.25">
      <c r="A1472" t="s">
        <v>1355</v>
      </c>
      <c r="B1472" t="s">
        <v>948</v>
      </c>
      <c r="E1472" t="s">
        <v>2636</v>
      </c>
      <c r="L1472" t="s">
        <v>2709</v>
      </c>
      <c r="M1472" t="s">
        <v>2682</v>
      </c>
      <c r="N1472" t="s">
        <v>913</v>
      </c>
      <c r="O1472" t="s">
        <v>268</v>
      </c>
      <c r="Q1472" t="s">
        <v>3448</v>
      </c>
      <c r="R1472" s="52">
        <f>_xlfn.NUMBERVALUE(convertNumberStringPointToNumberComma(LEFT(Q1472,FIND("x",Q1472)-2)))</f>
        <v>87</v>
      </c>
      <c r="S1472" s="52">
        <f>_xlfn.NUMBERVALUE(convertNumberStringPointToNumberComma(LEFT(RIGHT(Q1472,LEN(Q1472)-FIND("x",Q1472)-1),LEN(RIGHT(Q1472,LEN(Q1472)-FIND("x",Q1472)-1))-2)))</f>
        <v>100</v>
      </c>
    </row>
    <row r="1473" spans="1:19" x14ac:dyDescent="0.25">
      <c r="A1473" t="s">
        <v>1987</v>
      </c>
      <c r="B1473" t="s">
        <v>176</v>
      </c>
      <c r="E1473" t="s">
        <v>2981</v>
      </c>
      <c r="H1473" t="s">
        <v>2668</v>
      </c>
      <c r="M1473" t="s">
        <v>2681</v>
      </c>
      <c r="N1473" t="s">
        <v>2681</v>
      </c>
      <c r="O1473" t="s">
        <v>77</v>
      </c>
      <c r="Q1473" t="s">
        <v>3781</v>
      </c>
      <c r="R1473" s="52">
        <f>_xlfn.NUMBERVALUE(convertNumberStringPointToNumberComma(LEFT(Q1473,FIND("x",Q1473)-2)))</f>
        <v>87</v>
      </c>
      <c r="S1473" s="52">
        <f>_xlfn.NUMBERVALUE(convertNumberStringPointToNumberComma(LEFT(RIGHT(Q1473,LEN(Q1473)-FIND("x",Q1473)-1),LEN(RIGHT(Q1473,LEN(Q1473)-FIND("x",Q1473)-1))-2)))</f>
        <v>101.4</v>
      </c>
    </row>
    <row r="1474" spans="1:19" x14ac:dyDescent="0.25">
      <c r="A1474" t="s">
        <v>1904</v>
      </c>
      <c r="B1474" t="s">
        <v>95</v>
      </c>
      <c r="E1474" t="s">
        <v>2981</v>
      </c>
      <c r="M1474" t="s">
        <v>8</v>
      </c>
      <c r="N1474" t="s">
        <v>903</v>
      </c>
      <c r="O1474" t="s">
        <v>2945</v>
      </c>
      <c r="Q1474" t="s">
        <v>3743</v>
      </c>
      <c r="R1474" s="52">
        <f>_xlfn.NUMBERVALUE(convertNumberStringPointToNumberComma(LEFT(Q1474,FIND("x",Q1474)-2)))</f>
        <v>87</v>
      </c>
      <c r="S1474" s="52">
        <f>_xlfn.NUMBERVALUE(convertNumberStringPointToNumberComma(LEFT(RIGHT(Q1474,LEN(Q1474)-FIND("x",Q1474)-1),LEN(RIGHT(Q1474,LEN(Q1474)-FIND("x",Q1474)-1))-2)))</f>
        <v>103.6</v>
      </c>
    </row>
    <row r="1475" spans="1:19" x14ac:dyDescent="0.25">
      <c r="A1475" t="s">
        <v>2008</v>
      </c>
      <c r="B1475" t="s">
        <v>95</v>
      </c>
      <c r="E1475" t="s">
        <v>2981</v>
      </c>
      <c r="H1475" t="s">
        <v>2668</v>
      </c>
      <c r="M1475" t="s">
        <v>8</v>
      </c>
      <c r="N1475" t="s">
        <v>913</v>
      </c>
      <c r="O1475" t="s">
        <v>2945</v>
      </c>
      <c r="Q1475" t="s">
        <v>3743</v>
      </c>
      <c r="R1475" s="52">
        <f>_xlfn.NUMBERVALUE(convertNumberStringPointToNumberComma(LEFT(Q1475,FIND("x",Q1475)-2)))</f>
        <v>87</v>
      </c>
      <c r="S1475" s="52">
        <f>_xlfn.NUMBERVALUE(convertNumberStringPointToNumberComma(LEFT(RIGHT(Q1475,LEN(Q1475)-FIND("x",Q1475)-1),LEN(RIGHT(Q1475,LEN(Q1475)-FIND("x",Q1475)-1))-2)))</f>
        <v>103.6</v>
      </c>
    </row>
    <row r="1476" spans="1:19" x14ac:dyDescent="0.25">
      <c r="A1476" t="s">
        <v>2263</v>
      </c>
      <c r="B1476" t="s">
        <v>95</v>
      </c>
      <c r="E1476" t="s">
        <v>2981</v>
      </c>
      <c r="H1476" t="s">
        <v>2668</v>
      </c>
      <c r="M1476" t="s">
        <v>2802</v>
      </c>
      <c r="N1476" t="s">
        <v>903</v>
      </c>
      <c r="O1476" t="s">
        <v>2945</v>
      </c>
      <c r="Q1476" t="s">
        <v>3887</v>
      </c>
      <c r="R1476" s="52">
        <f>_xlfn.NUMBERVALUE(convertNumberStringPointToNumberComma(LEFT(Q1476,FIND("x",Q1476)-2)))</f>
        <v>87</v>
      </c>
      <c r="S1476" s="52">
        <f>_xlfn.NUMBERVALUE(convertNumberStringPointToNumberComma(LEFT(RIGHT(Q1476,LEN(Q1476)-FIND("x",Q1476)-1),LEN(RIGHT(Q1476,LEN(Q1476)-FIND("x",Q1476)-1))-2)))</f>
        <v>104.6</v>
      </c>
    </row>
    <row r="1477" spans="1:19" x14ac:dyDescent="0.25">
      <c r="A1477" t="s">
        <v>2011</v>
      </c>
      <c r="B1477" t="s">
        <v>95</v>
      </c>
      <c r="E1477" t="s">
        <v>2981</v>
      </c>
      <c r="H1477" t="s">
        <v>2668</v>
      </c>
      <c r="M1477" t="s">
        <v>2757</v>
      </c>
      <c r="N1477" t="s">
        <v>913</v>
      </c>
      <c r="O1477" t="s">
        <v>3045</v>
      </c>
      <c r="Q1477" t="s">
        <v>3796</v>
      </c>
      <c r="R1477" s="52">
        <f>_xlfn.NUMBERVALUE(convertNumberStringPointToNumberComma(LEFT(Q1477,FIND("x",Q1477)-2)))</f>
        <v>87</v>
      </c>
      <c r="S1477" s="52">
        <f>_xlfn.NUMBERVALUE(convertNumberStringPointToNumberComma(LEFT(RIGHT(Q1477,LEN(Q1477)-FIND("x",Q1477)-1),LEN(RIGHT(Q1477,LEN(Q1477)-FIND("x",Q1477)-1))-2)))</f>
        <v>105.6</v>
      </c>
    </row>
    <row r="1478" spans="1:19" x14ac:dyDescent="0.25">
      <c r="A1478" t="s">
        <v>2002</v>
      </c>
      <c r="B1478" t="s">
        <v>95</v>
      </c>
      <c r="E1478" t="s">
        <v>2981</v>
      </c>
      <c r="H1478" t="s">
        <v>2668</v>
      </c>
      <c r="M1478" t="s">
        <v>2682</v>
      </c>
      <c r="N1478" t="s">
        <v>913</v>
      </c>
      <c r="O1478" t="s">
        <v>123</v>
      </c>
      <c r="Q1478" t="s">
        <v>3791</v>
      </c>
      <c r="R1478" s="52">
        <f>_xlfn.NUMBERVALUE(convertNumberStringPointToNumberComma(LEFT(Q1478,FIND("x",Q1478)-2)))</f>
        <v>87</v>
      </c>
      <c r="S1478" s="52">
        <f>_xlfn.NUMBERVALUE(convertNumberStringPointToNumberComma(LEFT(RIGHT(Q1478,LEN(Q1478)-FIND("x",Q1478)-1),LEN(RIGHT(Q1478,LEN(Q1478)-FIND("x",Q1478)-1))-2)))</f>
        <v>106.1</v>
      </c>
    </row>
    <row r="1479" spans="1:19" x14ac:dyDescent="0.25">
      <c r="A1479" t="s">
        <v>2252</v>
      </c>
      <c r="B1479" t="s">
        <v>95</v>
      </c>
      <c r="E1479" t="s">
        <v>2981</v>
      </c>
      <c r="H1479" t="s">
        <v>2668</v>
      </c>
      <c r="M1479" t="s">
        <v>2682</v>
      </c>
      <c r="N1479" t="s">
        <v>913</v>
      </c>
      <c r="O1479" t="s">
        <v>123</v>
      </c>
      <c r="Q1479" t="s">
        <v>3791</v>
      </c>
      <c r="R1479" s="52">
        <f>_xlfn.NUMBERVALUE(convertNumberStringPointToNumberComma(LEFT(Q1479,FIND("x",Q1479)-2)))</f>
        <v>87</v>
      </c>
      <c r="S1479" s="52">
        <f>_xlfn.NUMBERVALUE(convertNumberStringPointToNumberComma(LEFT(RIGHT(Q1479,LEN(Q1479)-FIND("x",Q1479)-1),LEN(RIGHT(Q1479,LEN(Q1479)-FIND("x",Q1479)-1))-2)))</f>
        <v>106.1</v>
      </c>
    </row>
    <row r="1480" spans="1:19" x14ac:dyDescent="0.25">
      <c r="A1480" t="s">
        <v>1658</v>
      </c>
      <c r="B1480" t="s">
        <v>459</v>
      </c>
      <c r="E1480" t="s">
        <v>2632</v>
      </c>
      <c r="H1480" t="s">
        <v>21</v>
      </c>
      <c r="M1480" t="s">
        <v>2682</v>
      </c>
      <c r="N1480" t="s">
        <v>913</v>
      </c>
      <c r="O1480" t="s">
        <v>123</v>
      </c>
      <c r="Q1480" t="s">
        <v>3599</v>
      </c>
      <c r="R1480" s="52">
        <f>_xlfn.NUMBERVALUE(convertNumberStringPointToNumberComma(LEFT(Q1480,FIND("x",Q1480)-2)))</f>
        <v>87</v>
      </c>
      <c r="S1480" s="52">
        <f>_xlfn.NUMBERVALUE(convertNumberStringPointToNumberComma(LEFT(RIGHT(Q1480,LEN(Q1480)-FIND("x",Q1480)-1),LEN(RIGHT(Q1480,LEN(Q1480)-FIND("x",Q1480)-1))-2)))</f>
        <v>109</v>
      </c>
    </row>
    <row r="1481" spans="1:19" x14ac:dyDescent="0.25">
      <c r="A1481" t="s">
        <v>2162</v>
      </c>
      <c r="B1481" t="s">
        <v>459</v>
      </c>
      <c r="E1481" t="s">
        <v>2632</v>
      </c>
      <c r="H1481" t="s">
        <v>21</v>
      </c>
      <c r="M1481" t="s">
        <v>8</v>
      </c>
      <c r="N1481" t="s">
        <v>913</v>
      </c>
      <c r="O1481" t="s">
        <v>123</v>
      </c>
      <c r="Q1481" t="s">
        <v>3599</v>
      </c>
      <c r="R1481" s="52">
        <f>_xlfn.NUMBERVALUE(convertNumberStringPointToNumberComma(LEFT(Q1481,FIND("x",Q1481)-2)))</f>
        <v>87</v>
      </c>
      <c r="S1481" s="52">
        <f>_xlfn.NUMBERVALUE(convertNumberStringPointToNumberComma(LEFT(RIGHT(Q1481,LEN(Q1481)-FIND("x",Q1481)-1),LEN(RIGHT(Q1481,LEN(Q1481)-FIND("x",Q1481)-1))-2)))</f>
        <v>109</v>
      </c>
    </row>
    <row r="1482" spans="1:19" x14ac:dyDescent="0.25">
      <c r="A1482" t="s">
        <v>2006</v>
      </c>
      <c r="B1482" t="s">
        <v>95</v>
      </c>
      <c r="E1482" t="s">
        <v>2981</v>
      </c>
      <c r="H1482" t="s">
        <v>2668</v>
      </c>
      <c r="M1482" t="s">
        <v>2681</v>
      </c>
      <c r="N1482" t="s">
        <v>2681</v>
      </c>
      <c r="O1482" t="s">
        <v>508</v>
      </c>
      <c r="Q1482" t="s">
        <v>3793</v>
      </c>
      <c r="R1482" s="52">
        <f>_xlfn.NUMBERVALUE(convertNumberStringPointToNumberComma(LEFT(Q1482,FIND("x",Q1482)-2)))</f>
        <v>87</v>
      </c>
      <c r="S1482" s="52">
        <f>_xlfn.NUMBERVALUE(convertNumberStringPointToNumberComma(LEFT(RIGHT(Q1482,LEN(Q1482)-FIND("x",Q1482)-1),LEN(RIGHT(Q1482,LEN(Q1482)-FIND("x",Q1482)-1))-2)))</f>
        <v>111.4</v>
      </c>
    </row>
    <row r="1483" spans="1:19" x14ac:dyDescent="0.25">
      <c r="A1483" t="s">
        <v>2007</v>
      </c>
      <c r="B1483" t="s">
        <v>95</v>
      </c>
      <c r="E1483" t="s">
        <v>2981</v>
      </c>
      <c r="H1483" t="s">
        <v>2668</v>
      </c>
      <c r="M1483" t="s">
        <v>2680</v>
      </c>
      <c r="N1483" t="s">
        <v>2681</v>
      </c>
      <c r="O1483" t="s">
        <v>508</v>
      </c>
      <c r="Q1483" t="s">
        <v>3793</v>
      </c>
      <c r="R1483" s="52">
        <f>_xlfn.NUMBERVALUE(convertNumberStringPointToNumberComma(LEFT(Q1483,FIND("x",Q1483)-2)))</f>
        <v>87</v>
      </c>
      <c r="S1483" s="52">
        <f>_xlfn.NUMBERVALUE(convertNumberStringPointToNumberComma(LEFT(RIGHT(Q1483,LEN(Q1483)-FIND("x",Q1483)-1),LEN(RIGHT(Q1483,LEN(Q1483)-FIND("x",Q1483)-1))-2)))</f>
        <v>111.4</v>
      </c>
    </row>
    <row r="1484" spans="1:19" x14ac:dyDescent="0.25">
      <c r="A1484" t="s">
        <v>947</v>
      </c>
      <c r="B1484" t="s">
        <v>948</v>
      </c>
      <c r="C1484" s="5">
        <f>convertNumberStringPointToNumberComma(IFERROR(LEFT(B1484,(FIND("-",B1484)-1)),LEFT(B1484,FIND("mm",B1484)-1)))</f>
        <v>12</v>
      </c>
      <c r="D1484" s="5">
        <f>convertNumberStringPointToNumberComma(IFERROR(RIGHT(LEFT(B1484,FIND("m",B1484)-1),LEN(LEFT(B1484,FIND("m",B1484)-1))-FIND("-",LEFT(B1484,FIND("m",B1484)-1))-1),C1484))</f>
        <v>4</v>
      </c>
      <c r="E1484" t="s">
        <v>2633</v>
      </c>
      <c r="F1484" s="9">
        <f>convertNumberStringPointToNumberComma(LEFT(MID(E1484,3,9),IFERROR(FIND("-",MID(E1484,3,9))-2,3)))</f>
        <v>4</v>
      </c>
      <c r="G1484" s="9">
        <f>convertNumberStringPointToNumberComma(RIGHT(E1484,IF(ISERROR(FIND(".",RIGHT(E1484,3))),1,3)))</f>
        <v>4</v>
      </c>
      <c r="H1484" t="s">
        <v>2668</v>
      </c>
      <c r="I1484" s="5" t="str">
        <f>IF(H1484="none",0,LEFT(H1484,LEN(H1484)-2))</f>
        <v>ne</v>
      </c>
      <c r="J1484" s="5" t="s">
        <v>40</v>
      </c>
      <c r="K1484" s="10">
        <f>IF(J1484="",0,convertNumberStringPointToNumberComma(LEFT(J1484,LEN(J1484)-1)))</f>
        <v>0.2</v>
      </c>
      <c r="L1484" t="s">
        <v>2709</v>
      </c>
      <c r="M1484" t="s">
        <v>2674</v>
      </c>
      <c r="N1484" t="s">
        <v>913</v>
      </c>
      <c r="O1484" t="s">
        <v>278</v>
      </c>
      <c r="P1484" s="5" t="str">
        <f>LEFT(O1484,LEN(O1484)-1)</f>
        <v>565</v>
      </c>
      <c r="Q1484" t="s">
        <v>3217</v>
      </c>
      <c r="R1484" s="52">
        <f>_xlfn.NUMBERVALUE(convertNumberStringPointToNumberComma(LEFT(Q1484,FIND("x",Q1484)-2)))</f>
        <v>87</v>
      </c>
      <c r="S1484" s="52">
        <f>_xlfn.NUMBERVALUE(convertNumberStringPointToNumberComma(LEFT(RIGHT(Q1484,LEN(Q1484)-FIND("x",Q1484)-1),LEN(RIGHT(Q1484,LEN(Q1484)-FIND("x",Q1484)-1))-2)))</f>
        <v>117.4</v>
      </c>
    </row>
    <row r="1485" spans="1:19" x14ac:dyDescent="0.25">
      <c r="A1485" t="s">
        <v>1674</v>
      </c>
      <c r="B1485" t="s">
        <v>948</v>
      </c>
      <c r="E1485" t="s">
        <v>2636</v>
      </c>
      <c r="L1485" t="s">
        <v>2979</v>
      </c>
      <c r="M1485" t="s">
        <v>2682</v>
      </c>
      <c r="N1485" t="s">
        <v>913</v>
      </c>
      <c r="O1485" t="s">
        <v>119</v>
      </c>
      <c r="Q1485" t="s">
        <v>3623</v>
      </c>
      <c r="R1485" s="52">
        <f>_xlfn.NUMBERVALUE(convertNumberStringPointToNumberComma(LEFT(Q1485,FIND("x",Q1485)-2)))</f>
        <v>87</v>
      </c>
      <c r="S1485" s="52">
        <f>_xlfn.NUMBERVALUE(convertNumberStringPointToNumberComma(LEFT(RIGHT(Q1485,LEN(Q1485)-FIND("x",Q1485)-1),LEN(RIGHT(Q1485,LEN(Q1485)-FIND("x",Q1485)-1))-2)))</f>
        <v>120.2</v>
      </c>
    </row>
    <row r="1486" spans="1:19" x14ac:dyDescent="0.25">
      <c r="A1486" t="s">
        <v>1676</v>
      </c>
      <c r="B1486" t="s">
        <v>948</v>
      </c>
      <c r="E1486" t="s">
        <v>2636</v>
      </c>
      <c r="L1486" t="s">
        <v>2979</v>
      </c>
      <c r="M1486" t="s">
        <v>8</v>
      </c>
      <c r="N1486" t="s">
        <v>913</v>
      </c>
      <c r="O1486" t="s">
        <v>119</v>
      </c>
      <c r="Q1486" t="s">
        <v>3623</v>
      </c>
      <c r="R1486" s="52">
        <f>_xlfn.NUMBERVALUE(convertNumberStringPointToNumberComma(LEFT(Q1486,FIND("x",Q1486)-2)))</f>
        <v>87</v>
      </c>
      <c r="S1486" s="52">
        <f>_xlfn.NUMBERVALUE(convertNumberStringPointToNumberComma(LEFT(RIGHT(Q1486,LEN(Q1486)-FIND("x",Q1486)-1),LEN(RIGHT(Q1486,LEN(Q1486)-FIND("x",Q1486)-1))-2)))</f>
        <v>120.2</v>
      </c>
    </row>
    <row r="1487" spans="1:19" x14ac:dyDescent="0.25">
      <c r="A1487" t="s">
        <v>1677</v>
      </c>
      <c r="B1487" t="s">
        <v>948</v>
      </c>
      <c r="E1487" t="s">
        <v>2636</v>
      </c>
      <c r="L1487" t="s">
        <v>2979</v>
      </c>
      <c r="M1487" t="s">
        <v>2793</v>
      </c>
      <c r="N1487" t="s">
        <v>903</v>
      </c>
      <c r="O1487" t="s">
        <v>119</v>
      </c>
      <c r="Q1487" t="s">
        <v>3623</v>
      </c>
      <c r="R1487" s="52">
        <f>_xlfn.NUMBERVALUE(convertNumberStringPointToNumberComma(LEFT(Q1487,FIND("x",Q1487)-2)))</f>
        <v>87</v>
      </c>
      <c r="S1487" s="52">
        <f>_xlfn.NUMBERVALUE(convertNumberStringPointToNumberComma(LEFT(RIGHT(Q1487,LEN(Q1487)-FIND("x",Q1487)-1),LEN(RIGHT(Q1487,LEN(Q1487)-FIND("x",Q1487)-1))-2)))</f>
        <v>120.2</v>
      </c>
    </row>
    <row r="1488" spans="1:19" x14ac:dyDescent="0.25">
      <c r="A1488" t="s">
        <v>1680</v>
      </c>
      <c r="B1488" t="s">
        <v>948</v>
      </c>
      <c r="E1488" t="s">
        <v>2636</v>
      </c>
      <c r="L1488" t="s">
        <v>2979</v>
      </c>
      <c r="M1488" t="s">
        <v>2757</v>
      </c>
      <c r="N1488" t="s">
        <v>913</v>
      </c>
      <c r="O1488" t="s">
        <v>119</v>
      </c>
      <c r="Q1488" t="s">
        <v>3623</v>
      </c>
      <c r="R1488" s="52">
        <f>_xlfn.NUMBERVALUE(convertNumberStringPointToNumberComma(LEFT(Q1488,FIND("x",Q1488)-2)))</f>
        <v>87</v>
      </c>
      <c r="S1488" s="52">
        <f>_xlfn.NUMBERVALUE(convertNumberStringPointToNumberComma(LEFT(RIGHT(Q1488,LEN(Q1488)-FIND("x",Q1488)-1),LEN(RIGHT(Q1488,LEN(Q1488)-FIND("x",Q1488)-1))-2)))</f>
        <v>120.2</v>
      </c>
    </row>
    <row r="1489" spans="1:19" x14ac:dyDescent="0.25">
      <c r="A1489" t="s">
        <v>1988</v>
      </c>
      <c r="B1489" t="s">
        <v>176</v>
      </c>
      <c r="E1489" t="s">
        <v>2981</v>
      </c>
      <c r="H1489" t="s">
        <v>2668</v>
      </c>
      <c r="M1489" t="s">
        <v>2680</v>
      </c>
      <c r="N1489" t="s">
        <v>2681</v>
      </c>
      <c r="O1489" t="s">
        <v>2872</v>
      </c>
      <c r="Q1489" t="s">
        <v>3782</v>
      </c>
      <c r="R1489" s="52">
        <f>_xlfn.NUMBERVALUE(convertNumberStringPointToNumberComma(LEFT(Q1489,FIND("x",Q1489)-2)))</f>
        <v>87</v>
      </c>
      <c r="S1489" s="52">
        <f>_xlfn.NUMBERVALUE(convertNumberStringPointToNumberComma(LEFT(RIGHT(Q1489,LEN(Q1489)-FIND("x",Q1489)-1),LEN(RIGHT(Q1489,LEN(Q1489)-FIND("x",Q1489)-1))-2)))</f>
        <v>120.9</v>
      </c>
    </row>
    <row r="1490" spans="1:19" x14ac:dyDescent="0.25">
      <c r="A1490" t="s">
        <v>1723</v>
      </c>
      <c r="B1490" t="s">
        <v>176</v>
      </c>
      <c r="E1490" t="s">
        <v>2981</v>
      </c>
      <c r="M1490" t="s">
        <v>2674</v>
      </c>
      <c r="N1490" t="s">
        <v>913</v>
      </c>
      <c r="O1490" t="s">
        <v>2991</v>
      </c>
      <c r="Q1490" t="s">
        <v>3653</v>
      </c>
      <c r="R1490" s="52">
        <f>_xlfn.NUMBERVALUE(convertNumberStringPointToNumberComma(LEFT(Q1490,FIND("x",Q1490)-2)))</f>
        <v>87</v>
      </c>
      <c r="S1490" s="52">
        <f>_xlfn.NUMBERVALUE(convertNumberStringPointToNumberComma(LEFT(RIGHT(Q1490,LEN(Q1490)-FIND("x",Q1490)-1),LEN(RIGHT(Q1490,LEN(Q1490)-FIND("x",Q1490)-1))-2)))</f>
        <v>122.1</v>
      </c>
    </row>
    <row r="1491" spans="1:19" x14ac:dyDescent="0.25">
      <c r="A1491" t="s">
        <v>1997</v>
      </c>
      <c r="B1491" t="s">
        <v>176</v>
      </c>
      <c r="E1491" t="s">
        <v>2981</v>
      </c>
      <c r="H1491" t="s">
        <v>2668</v>
      </c>
      <c r="M1491" t="s">
        <v>2674</v>
      </c>
      <c r="N1491" t="s">
        <v>913</v>
      </c>
      <c r="O1491" t="s">
        <v>77</v>
      </c>
      <c r="Q1491" t="s">
        <v>3653</v>
      </c>
      <c r="R1491" s="52">
        <f>_xlfn.NUMBERVALUE(convertNumberStringPointToNumberComma(LEFT(Q1491,FIND("x",Q1491)-2)))</f>
        <v>87</v>
      </c>
      <c r="S1491" s="52">
        <f>_xlfn.NUMBERVALUE(convertNumberStringPointToNumberComma(LEFT(RIGHT(Q1491,LEN(Q1491)-FIND("x",Q1491)-1),LEN(RIGHT(Q1491,LEN(Q1491)-FIND("x",Q1491)-1))-2)))</f>
        <v>122.1</v>
      </c>
    </row>
    <row r="1492" spans="1:19" x14ac:dyDescent="0.25">
      <c r="A1492" t="s">
        <v>1986</v>
      </c>
      <c r="B1492" t="s">
        <v>176</v>
      </c>
      <c r="E1492" t="s">
        <v>2981</v>
      </c>
      <c r="H1492" t="s">
        <v>2668</v>
      </c>
      <c r="M1492" t="s">
        <v>2748</v>
      </c>
      <c r="N1492" t="s">
        <v>903</v>
      </c>
      <c r="O1492" t="s">
        <v>3052</v>
      </c>
      <c r="Q1492" t="s">
        <v>3780</v>
      </c>
      <c r="R1492" s="52">
        <f>_xlfn.NUMBERVALUE(convertNumberStringPointToNumberComma(LEFT(Q1492,FIND("x",Q1492)-2)))</f>
        <v>87</v>
      </c>
      <c r="S1492" s="52">
        <f>_xlfn.NUMBERVALUE(convertNumberStringPointToNumberComma(LEFT(RIGHT(Q1492,LEN(Q1492)-FIND("x",Q1492)-1),LEN(RIGHT(Q1492,LEN(Q1492)-FIND("x",Q1492)-1))-2)))</f>
        <v>122.2</v>
      </c>
    </row>
    <row r="1493" spans="1:19" x14ac:dyDescent="0.25">
      <c r="A1493" t="s">
        <v>1985</v>
      </c>
      <c r="B1493" t="s">
        <v>176</v>
      </c>
      <c r="E1493" t="s">
        <v>2981</v>
      </c>
      <c r="H1493" t="s">
        <v>2668</v>
      </c>
      <c r="M1493" t="s">
        <v>2763</v>
      </c>
      <c r="N1493" t="s">
        <v>903</v>
      </c>
      <c r="O1493" t="s">
        <v>3051</v>
      </c>
      <c r="Q1493" t="s">
        <v>3779</v>
      </c>
      <c r="R1493" s="52">
        <f>_xlfn.NUMBERVALUE(convertNumberStringPointToNumberComma(LEFT(Q1493,FIND("x",Q1493)-2)))</f>
        <v>87</v>
      </c>
      <c r="S1493" s="52">
        <f>_xlfn.NUMBERVALUE(convertNumberStringPointToNumberComma(LEFT(RIGHT(Q1493,LEN(Q1493)-FIND("x",Q1493)-1),LEN(RIGHT(Q1493,LEN(Q1493)-FIND("x",Q1493)-1))-2)))</f>
        <v>122</v>
      </c>
    </row>
    <row r="1494" spans="1:19" x14ac:dyDescent="0.25">
      <c r="A1494" t="s">
        <v>2009</v>
      </c>
      <c r="B1494" t="s">
        <v>95</v>
      </c>
      <c r="E1494" t="s">
        <v>2981</v>
      </c>
      <c r="H1494" t="s">
        <v>2668</v>
      </c>
      <c r="M1494" t="s">
        <v>2804</v>
      </c>
      <c r="N1494" t="s">
        <v>903</v>
      </c>
      <c r="O1494" t="s">
        <v>96</v>
      </c>
      <c r="Q1494" t="s">
        <v>3794</v>
      </c>
      <c r="R1494" s="52">
        <f>_xlfn.NUMBERVALUE(convertNumberStringPointToNumberComma(LEFT(Q1494,FIND("x",Q1494)-2)))</f>
        <v>87</v>
      </c>
      <c r="S1494" s="52">
        <f>_xlfn.NUMBERVALUE(convertNumberStringPointToNumberComma(LEFT(RIGHT(Q1494,LEN(Q1494)-FIND("x",Q1494)-1),LEN(RIGHT(Q1494,LEN(Q1494)-FIND("x",Q1494)-1))-2)))</f>
        <v>124.6</v>
      </c>
    </row>
    <row r="1495" spans="1:19" x14ac:dyDescent="0.25">
      <c r="A1495" t="s">
        <v>1690</v>
      </c>
      <c r="B1495" t="s">
        <v>95</v>
      </c>
      <c r="E1495" t="s">
        <v>2981</v>
      </c>
      <c r="H1495" t="s">
        <v>2668</v>
      </c>
      <c r="M1495" t="s">
        <v>2748</v>
      </c>
      <c r="N1495" t="s">
        <v>903</v>
      </c>
      <c r="O1495" t="s">
        <v>339</v>
      </c>
      <c r="Q1495" t="s">
        <v>3635</v>
      </c>
      <c r="R1495" s="52">
        <f>_xlfn.NUMBERVALUE(convertNumberStringPointToNumberComma(LEFT(Q1495,FIND("x",Q1495)-2)))</f>
        <v>87</v>
      </c>
      <c r="S1495" s="52">
        <f>_xlfn.NUMBERVALUE(convertNumberStringPointToNumberComma(LEFT(RIGHT(Q1495,LEN(Q1495)-FIND("x",Q1495)-1),LEN(RIGHT(Q1495,LEN(Q1495)-FIND("x",Q1495)-1))-2)))</f>
        <v>130.9</v>
      </c>
    </row>
    <row r="1496" spans="1:19" x14ac:dyDescent="0.25">
      <c r="A1496" t="s">
        <v>2262</v>
      </c>
      <c r="B1496" t="s">
        <v>95</v>
      </c>
      <c r="E1496" t="s">
        <v>2981</v>
      </c>
      <c r="H1496" t="s">
        <v>2668</v>
      </c>
      <c r="M1496" t="s">
        <v>2680</v>
      </c>
      <c r="N1496" t="s">
        <v>2681</v>
      </c>
      <c r="O1496" t="s">
        <v>339</v>
      </c>
      <c r="Q1496" t="s">
        <v>3635</v>
      </c>
      <c r="R1496" s="52">
        <f>_xlfn.NUMBERVALUE(convertNumberStringPointToNumberComma(LEFT(Q1496,FIND("x",Q1496)-2)))</f>
        <v>87</v>
      </c>
      <c r="S1496" s="52">
        <f>_xlfn.NUMBERVALUE(convertNumberStringPointToNumberComma(LEFT(RIGHT(Q1496,LEN(Q1496)-FIND("x",Q1496)-1),LEN(RIGHT(Q1496,LEN(Q1496)-FIND("x",Q1496)-1))-2)))</f>
        <v>130.9</v>
      </c>
    </row>
    <row r="1497" spans="1:19" x14ac:dyDescent="0.25">
      <c r="A1497" t="s">
        <v>2010</v>
      </c>
      <c r="B1497" t="s">
        <v>95</v>
      </c>
      <c r="E1497" t="s">
        <v>2981</v>
      </c>
      <c r="H1497" t="s">
        <v>2668</v>
      </c>
      <c r="M1497" t="s">
        <v>2674</v>
      </c>
      <c r="N1497" t="s">
        <v>913</v>
      </c>
      <c r="O1497" t="s">
        <v>339</v>
      </c>
      <c r="Q1497" t="s">
        <v>3795</v>
      </c>
      <c r="R1497" s="52">
        <f>_xlfn.NUMBERVALUE(convertNumberStringPointToNumberComma(LEFT(Q1497,FIND("x",Q1497)-2)))</f>
        <v>87</v>
      </c>
      <c r="S1497" s="52">
        <f>_xlfn.NUMBERVALUE(convertNumberStringPointToNumberComma(LEFT(RIGHT(Q1497,LEN(Q1497)-FIND("x",Q1497)-1),LEN(RIGHT(Q1497,LEN(Q1497)-FIND("x",Q1497)-1))-2)))</f>
        <v>132.1</v>
      </c>
    </row>
    <row r="1498" spans="1:19" x14ac:dyDescent="0.25">
      <c r="A1498" t="s">
        <v>2264</v>
      </c>
      <c r="B1498" t="s">
        <v>95</v>
      </c>
      <c r="E1498" t="s">
        <v>2981</v>
      </c>
      <c r="H1498" t="s">
        <v>2668</v>
      </c>
      <c r="M1498" t="s">
        <v>2674</v>
      </c>
      <c r="N1498" t="s">
        <v>903</v>
      </c>
      <c r="O1498" t="s">
        <v>339</v>
      </c>
      <c r="Q1498" t="s">
        <v>3795</v>
      </c>
      <c r="R1498" s="52">
        <f>_xlfn.NUMBERVALUE(convertNumberStringPointToNumberComma(LEFT(Q1498,FIND("x",Q1498)-2)))</f>
        <v>87</v>
      </c>
      <c r="S1498" s="52">
        <f>_xlfn.NUMBERVALUE(convertNumberStringPointToNumberComma(LEFT(RIGHT(Q1498,LEN(Q1498)-FIND("x",Q1498)-1),LEN(RIGHT(Q1498,LEN(Q1498)-FIND("x",Q1498)-1))-2)))</f>
        <v>132.1</v>
      </c>
    </row>
    <row r="1499" spans="1:19" x14ac:dyDescent="0.25">
      <c r="A1499" t="s">
        <v>2005</v>
      </c>
      <c r="B1499" t="s">
        <v>95</v>
      </c>
      <c r="E1499" t="s">
        <v>2981</v>
      </c>
      <c r="H1499" t="s">
        <v>2668</v>
      </c>
      <c r="M1499" t="s">
        <v>2748</v>
      </c>
      <c r="N1499" t="s">
        <v>903</v>
      </c>
      <c r="O1499" t="s">
        <v>834</v>
      </c>
      <c r="Q1499" t="s">
        <v>3792</v>
      </c>
      <c r="R1499" s="52">
        <f>_xlfn.NUMBERVALUE(convertNumberStringPointToNumberComma(LEFT(Q1499,FIND("x",Q1499)-2)))</f>
        <v>87</v>
      </c>
      <c r="S1499" s="52">
        <f>_xlfn.NUMBERVALUE(convertNumberStringPointToNumberComma(LEFT(RIGHT(Q1499,LEN(Q1499)-FIND("x",Q1499)-1),LEN(RIGHT(Q1499,LEN(Q1499)-FIND("x",Q1499)-1))-2)))</f>
        <v>132.4</v>
      </c>
    </row>
    <row r="1500" spans="1:19" x14ac:dyDescent="0.25">
      <c r="A1500" t="s">
        <v>2004</v>
      </c>
      <c r="B1500" t="s">
        <v>95</v>
      </c>
      <c r="E1500" t="s">
        <v>2981</v>
      </c>
      <c r="H1500" t="s">
        <v>2668</v>
      </c>
      <c r="M1500" t="s">
        <v>2763</v>
      </c>
      <c r="N1500" t="s">
        <v>903</v>
      </c>
      <c r="O1500" t="s">
        <v>339</v>
      </c>
      <c r="Q1500" t="s">
        <v>97</v>
      </c>
      <c r="R1500" s="52">
        <f>_xlfn.NUMBERVALUE(convertNumberStringPointToNumberComma(LEFT(Q1500,FIND("x",Q1500)-2)))</f>
        <v>87</v>
      </c>
      <c r="S1500" s="52">
        <f>_xlfn.NUMBERVALUE(convertNumberStringPointToNumberComma(LEFT(RIGHT(Q1500,LEN(Q1500)-FIND("x",Q1500)-1),LEN(RIGHT(Q1500,LEN(Q1500)-FIND("x",Q1500)-1))-2)))</f>
        <v>132</v>
      </c>
    </row>
    <row r="1501" spans="1:19" x14ac:dyDescent="0.25">
      <c r="A1501" t="s">
        <v>2283</v>
      </c>
      <c r="B1501" t="s">
        <v>95</v>
      </c>
      <c r="E1501" t="s">
        <v>2632</v>
      </c>
      <c r="H1501" t="s">
        <v>2668</v>
      </c>
      <c r="M1501" t="s">
        <v>2680</v>
      </c>
      <c r="N1501" t="s">
        <v>2681</v>
      </c>
      <c r="O1501" t="s">
        <v>96</v>
      </c>
      <c r="Q1501" t="s">
        <v>97</v>
      </c>
      <c r="R1501" s="52">
        <f>_xlfn.NUMBERVALUE(convertNumberStringPointToNumberComma(LEFT(Q1501,FIND("x",Q1501)-2)))</f>
        <v>87</v>
      </c>
      <c r="S1501" s="52">
        <f>_xlfn.NUMBERVALUE(convertNumberStringPointToNumberComma(LEFT(RIGHT(Q1501,LEN(Q1501)-FIND("x",Q1501)-1),LEN(RIGHT(Q1501,LEN(Q1501)-FIND("x",Q1501)-1))-2)))</f>
        <v>132</v>
      </c>
    </row>
    <row r="1502" spans="1:19" x14ac:dyDescent="0.25">
      <c r="A1502" t="s">
        <v>2286</v>
      </c>
      <c r="B1502" t="s">
        <v>95</v>
      </c>
      <c r="E1502" t="s">
        <v>2632</v>
      </c>
      <c r="H1502" t="s">
        <v>2668</v>
      </c>
      <c r="M1502" t="s">
        <v>8</v>
      </c>
      <c r="N1502" t="s">
        <v>903</v>
      </c>
      <c r="O1502" t="s">
        <v>96</v>
      </c>
      <c r="Q1502" t="s">
        <v>97</v>
      </c>
      <c r="R1502" s="52">
        <f>_xlfn.NUMBERVALUE(convertNumberStringPointToNumberComma(LEFT(Q1502,FIND("x",Q1502)-2)))</f>
        <v>87</v>
      </c>
      <c r="S1502" s="52">
        <f>_xlfn.NUMBERVALUE(convertNumberStringPointToNumberComma(LEFT(RIGHT(Q1502,LEN(Q1502)-FIND("x",Q1502)-1),LEN(RIGHT(Q1502,LEN(Q1502)-FIND("x",Q1502)-1))-2)))</f>
        <v>132</v>
      </c>
    </row>
    <row r="1503" spans="1:19" x14ac:dyDescent="0.25">
      <c r="A1503" t="s">
        <v>2306</v>
      </c>
      <c r="B1503" t="s">
        <v>933</v>
      </c>
      <c r="E1503" t="s">
        <v>2632</v>
      </c>
      <c r="H1503" t="s">
        <v>27</v>
      </c>
      <c r="L1503" t="s">
        <v>2679</v>
      </c>
      <c r="M1503" t="s">
        <v>2757</v>
      </c>
      <c r="N1503" t="s">
        <v>913</v>
      </c>
      <c r="O1503" t="s">
        <v>3115</v>
      </c>
      <c r="Q1503" t="s">
        <v>3905</v>
      </c>
      <c r="R1503" s="52">
        <f>_xlfn.NUMBERVALUE(convertNumberStringPointToNumberComma(LEFT(Q1503,FIND("x",Q1503)-2)))</f>
        <v>87</v>
      </c>
      <c r="S1503" s="52">
        <f>_xlfn.NUMBERVALUE(convertNumberStringPointToNumberComma(LEFT(RIGHT(Q1503,LEN(Q1503)-FIND("x",Q1503)-1),LEN(RIGHT(Q1503,LEN(Q1503)-FIND("x",Q1503)-1))-2)))</f>
        <v>196.5</v>
      </c>
    </row>
    <row r="1504" spans="1:19" x14ac:dyDescent="0.25">
      <c r="A1504" t="s">
        <v>991</v>
      </c>
      <c r="B1504" t="s">
        <v>933</v>
      </c>
      <c r="C1504" s="5">
        <f>convertNumberStringPointToNumberComma(IFERROR(LEFT(B1504,(FIND("-",B1504)-1)),LEFT(B1504,FIND("mm",B1504)-1)))</f>
        <v>70</v>
      </c>
      <c r="D1504" s="5">
        <f>convertNumberStringPointToNumberComma(IFERROR(RIGHT(LEFT(B1504,FIND("m",B1504)-1),LEN(LEFT(B1504,FIND("m",B1504)-1))-FIND("-",LEFT(B1504,FIND("m",B1504)-1))-1),C1504))</f>
        <v>0</v>
      </c>
      <c r="E1504" t="s">
        <v>2632</v>
      </c>
      <c r="F1504" s="9">
        <f>convertNumberStringPointToNumberComma(LEFT(MID(E1504,3,9),IFERROR(FIND("-",MID(E1504,3,9))-2,3)))</f>
        <v>2.8</v>
      </c>
      <c r="G1504" s="9">
        <f>convertNumberStringPointToNumberComma(RIGHT(E1504,IF(ISERROR(FIND(".",RIGHT(E1504,3))),1,3)))</f>
        <v>2.8</v>
      </c>
      <c r="H1504" t="s">
        <v>27</v>
      </c>
      <c r="I1504" s="5" t="str">
        <f>IF(H1504="none",0,LEFT(H1504,LEN(H1504)-2))</f>
        <v>77</v>
      </c>
      <c r="J1504" s="5" t="s">
        <v>296</v>
      </c>
      <c r="K1504" s="10">
        <f>IF(J1504="",0,convertNumberStringPointToNumberComma(LEFT(J1504,LEN(J1504)-1)))</f>
        <v>0.44</v>
      </c>
      <c r="M1504" t="s">
        <v>8</v>
      </c>
      <c r="N1504" t="s">
        <v>913</v>
      </c>
      <c r="O1504" t="s">
        <v>2736</v>
      </c>
      <c r="P1504" s="5" t="str">
        <f>LEFT(O1504,LEN(O1504)-1)</f>
        <v>1.54k</v>
      </c>
      <c r="Q1504" t="s">
        <v>3245</v>
      </c>
      <c r="R1504" s="52">
        <f>_xlfn.NUMBERVALUE(convertNumberStringPointToNumberComma(LEFT(Q1504,FIND("x",Q1504)-2)))</f>
        <v>87</v>
      </c>
      <c r="S1504" s="52">
        <f>_xlfn.NUMBERVALUE(convertNumberStringPointToNumberComma(LEFT(RIGHT(Q1504,LEN(Q1504)-FIND("x",Q1504)-1),LEN(RIGHT(Q1504,LEN(Q1504)-FIND("x",Q1504)-1))-2)))</f>
        <v>209</v>
      </c>
    </row>
    <row r="1505" spans="1:19" x14ac:dyDescent="0.25">
      <c r="A1505" t="s">
        <v>1854</v>
      </c>
      <c r="B1505" t="s">
        <v>407</v>
      </c>
      <c r="E1505" t="s">
        <v>2649</v>
      </c>
      <c r="H1505" t="s">
        <v>21</v>
      </c>
      <c r="L1505" t="s">
        <v>3030</v>
      </c>
      <c r="M1505" t="s">
        <v>2682</v>
      </c>
      <c r="N1505" t="s">
        <v>913</v>
      </c>
      <c r="O1505" t="s">
        <v>28</v>
      </c>
      <c r="Q1505" t="s">
        <v>408</v>
      </c>
      <c r="R1505" s="52">
        <f>_xlfn.NUMBERVALUE(convertNumberStringPointToNumberComma(LEFT(Q1505,FIND("x",Q1505)-2)))</f>
        <v>87</v>
      </c>
      <c r="S1505" s="52">
        <f>_xlfn.NUMBERVALUE(convertNumberStringPointToNumberComma(LEFT(RIGHT(Q1505,LEN(Q1505)-FIND("x",Q1505)-1),LEN(RIGHT(Q1505,LEN(Q1505)-FIND("x",Q1505)-1))-2)))</f>
        <v>84</v>
      </c>
    </row>
    <row r="1506" spans="1:19" x14ac:dyDescent="0.25">
      <c r="A1506" t="s">
        <v>1989</v>
      </c>
      <c r="B1506" t="s">
        <v>407</v>
      </c>
      <c r="E1506" t="s">
        <v>2649</v>
      </c>
      <c r="H1506" t="s">
        <v>21</v>
      </c>
      <c r="L1506" t="s">
        <v>3030</v>
      </c>
      <c r="M1506" t="s">
        <v>8</v>
      </c>
      <c r="N1506" t="s">
        <v>913</v>
      </c>
      <c r="O1506" t="s">
        <v>28</v>
      </c>
      <c r="Q1506" t="s">
        <v>408</v>
      </c>
      <c r="R1506" s="52">
        <f>_xlfn.NUMBERVALUE(convertNumberStringPointToNumberComma(LEFT(Q1506,FIND("x",Q1506)-2)))</f>
        <v>87</v>
      </c>
      <c r="S1506" s="52">
        <f>_xlfn.NUMBERVALUE(convertNumberStringPointToNumberComma(LEFT(RIGHT(Q1506,LEN(Q1506)-FIND("x",Q1506)-1),LEN(RIGHT(Q1506,LEN(Q1506)-FIND("x",Q1506)-1))-2)))</f>
        <v>84</v>
      </c>
    </row>
    <row r="1507" spans="1:19" x14ac:dyDescent="0.25">
      <c r="A1507" t="s">
        <v>1714</v>
      </c>
      <c r="B1507" t="s">
        <v>176</v>
      </c>
      <c r="E1507" t="s">
        <v>2981</v>
      </c>
      <c r="M1507" t="s">
        <v>8</v>
      </c>
      <c r="N1507" t="s">
        <v>913</v>
      </c>
      <c r="O1507" t="s">
        <v>2986</v>
      </c>
      <c r="Q1507" t="s">
        <v>3648</v>
      </c>
      <c r="R1507" s="52">
        <f>_xlfn.NUMBERVALUE(convertNumberStringPointToNumberComma(LEFT(Q1507,FIND("x",Q1507)-2)))</f>
        <v>87</v>
      </c>
      <c r="S1507" s="52">
        <f>_xlfn.NUMBERVALUE(convertNumberStringPointToNumberComma(LEFT(RIGHT(Q1507,LEN(Q1507)-FIND("x",Q1507)-1),LEN(RIGHT(Q1507,LEN(Q1507)-FIND("x",Q1507)-1))-2)))</f>
        <v>93.6</v>
      </c>
    </row>
    <row r="1508" spans="1:19" x14ac:dyDescent="0.25">
      <c r="A1508" t="s">
        <v>1991</v>
      </c>
      <c r="B1508" t="s">
        <v>176</v>
      </c>
      <c r="E1508" t="s">
        <v>2981</v>
      </c>
      <c r="H1508" t="s">
        <v>2668</v>
      </c>
      <c r="M1508" t="s">
        <v>8</v>
      </c>
      <c r="N1508" t="s">
        <v>913</v>
      </c>
      <c r="O1508" t="s">
        <v>2986</v>
      </c>
      <c r="Q1508" t="s">
        <v>3648</v>
      </c>
      <c r="R1508" s="52">
        <f>_xlfn.NUMBERVALUE(convertNumberStringPointToNumberComma(LEFT(Q1508,FIND("x",Q1508)-2)))</f>
        <v>87</v>
      </c>
      <c r="S1508" s="52">
        <f>_xlfn.NUMBERVALUE(convertNumberStringPointToNumberComma(LEFT(RIGHT(Q1508,LEN(Q1508)-FIND("x",Q1508)-1),LEN(RIGHT(Q1508,LEN(Q1508)-FIND("x",Q1508)-1))-2)))</f>
        <v>93.6</v>
      </c>
    </row>
    <row r="1509" spans="1:19" x14ac:dyDescent="0.25">
      <c r="A1509" t="s">
        <v>1992</v>
      </c>
      <c r="B1509" t="s">
        <v>176</v>
      </c>
      <c r="E1509" t="s">
        <v>2981</v>
      </c>
      <c r="H1509" t="s">
        <v>2668</v>
      </c>
      <c r="M1509" t="s">
        <v>2802</v>
      </c>
      <c r="N1509" t="s">
        <v>913</v>
      </c>
      <c r="O1509" t="s">
        <v>3045</v>
      </c>
      <c r="Q1509" t="s">
        <v>3784</v>
      </c>
      <c r="R1509" s="52">
        <f>_xlfn.NUMBERVALUE(convertNumberStringPointToNumberComma(LEFT(Q1509,FIND("x",Q1509)-2)))</f>
        <v>87</v>
      </c>
      <c r="S1509" s="52">
        <f>_xlfn.NUMBERVALUE(convertNumberStringPointToNumberComma(LEFT(RIGHT(Q1509,LEN(Q1509)-FIND("x",Q1509)-1),LEN(RIGHT(Q1509,LEN(Q1509)-FIND("x",Q1509)-1))-2)))</f>
        <v>94.6</v>
      </c>
    </row>
    <row r="1510" spans="1:19" x14ac:dyDescent="0.25">
      <c r="A1510" t="s">
        <v>1999</v>
      </c>
      <c r="B1510" t="s">
        <v>176</v>
      </c>
      <c r="E1510" t="s">
        <v>2981</v>
      </c>
      <c r="H1510" t="s">
        <v>2668</v>
      </c>
      <c r="M1510" t="s">
        <v>2757</v>
      </c>
      <c r="N1510" t="s">
        <v>913</v>
      </c>
      <c r="O1510" t="s">
        <v>268</v>
      </c>
      <c r="Q1510" t="s">
        <v>3789</v>
      </c>
      <c r="R1510" s="52">
        <f>_xlfn.NUMBERVALUE(convertNumberStringPointToNumberComma(LEFT(Q1510,FIND("x",Q1510)-2)))</f>
        <v>87</v>
      </c>
      <c r="S1510" s="52">
        <f>_xlfn.NUMBERVALUE(convertNumberStringPointToNumberComma(LEFT(RIGHT(Q1510,LEN(Q1510)-FIND("x",Q1510)-1),LEN(RIGHT(Q1510,LEN(Q1510)-FIND("x",Q1510)-1))-2)))</f>
        <v>95.6</v>
      </c>
    </row>
    <row r="1511" spans="1:19" x14ac:dyDescent="0.25">
      <c r="A1511" t="s">
        <v>1722</v>
      </c>
      <c r="B1511" t="s">
        <v>176</v>
      </c>
      <c r="E1511" t="s">
        <v>2981</v>
      </c>
      <c r="M1511" t="s">
        <v>2682</v>
      </c>
      <c r="N1511" t="s">
        <v>913</v>
      </c>
      <c r="O1511" t="s">
        <v>508</v>
      </c>
      <c r="Q1511" t="s">
        <v>3652</v>
      </c>
      <c r="R1511" s="52">
        <f>_xlfn.NUMBERVALUE(convertNumberStringPointToNumberComma(LEFT(Q1511,FIND("x",Q1511)-2)))</f>
        <v>87</v>
      </c>
      <c r="S1511" s="52">
        <f>_xlfn.NUMBERVALUE(convertNumberStringPointToNumberComma(LEFT(RIGHT(Q1511,LEN(Q1511)-FIND("x",Q1511)-1),LEN(RIGHT(Q1511,LEN(Q1511)-FIND("x",Q1511)-1))-2)))</f>
        <v>96.1</v>
      </c>
    </row>
    <row r="1512" spans="1:19" x14ac:dyDescent="0.25">
      <c r="A1512" t="s">
        <v>1726</v>
      </c>
      <c r="B1512" t="s">
        <v>176</v>
      </c>
      <c r="E1512" t="s">
        <v>2632</v>
      </c>
      <c r="M1512" t="s">
        <v>2674</v>
      </c>
      <c r="N1512" t="s">
        <v>913</v>
      </c>
      <c r="O1512" t="s">
        <v>108</v>
      </c>
      <c r="Q1512" t="s">
        <v>3652</v>
      </c>
      <c r="R1512" s="52">
        <f>_xlfn.NUMBERVALUE(convertNumberStringPointToNumberComma(LEFT(Q1512,FIND("x",Q1512)-2)))</f>
        <v>87</v>
      </c>
      <c r="S1512" s="52">
        <f>_xlfn.NUMBERVALUE(convertNumberStringPointToNumberComma(LEFT(RIGHT(Q1512,LEN(Q1512)-FIND("x",Q1512)-1),LEN(RIGHT(Q1512,LEN(Q1512)-FIND("x",Q1512)-1))-2)))</f>
        <v>96.1</v>
      </c>
    </row>
    <row r="1513" spans="1:19" x14ac:dyDescent="0.25">
      <c r="A1513" t="s">
        <v>1982</v>
      </c>
      <c r="B1513" t="s">
        <v>176</v>
      </c>
      <c r="E1513" t="s">
        <v>2981</v>
      </c>
      <c r="H1513" t="s">
        <v>2668</v>
      </c>
      <c r="M1513" t="s">
        <v>2682</v>
      </c>
      <c r="N1513" t="s">
        <v>913</v>
      </c>
      <c r="O1513" t="s">
        <v>508</v>
      </c>
      <c r="Q1513" t="s">
        <v>3652</v>
      </c>
      <c r="R1513" s="52">
        <f>_xlfn.NUMBERVALUE(convertNumberStringPointToNumberComma(LEFT(Q1513,FIND("x",Q1513)-2)))</f>
        <v>87</v>
      </c>
      <c r="S1513" s="52">
        <f>_xlfn.NUMBERVALUE(convertNumberStringPointToNumberComma(LEFT(RIGHT(Q1513,LEN(Q1513)-FIND("x",Q1513)-1),LEN(RIGHT(Q1513,LEN(Q1513)-FIND("x",Q1513)-1))-2)))</f>
        <v>96.1</v>
      </c>
    </row>
    <row r="1514" spans="1:19" x14ac:dyDescent="0.25">
      <c r="A1514" t="s">
        <v>1034</v>
      </c>
      <c r="B1514" t="s">
        <v>945</v>
      </c>
      <c r="C1514" s="5">
        <f>convertNumberStringPointToNumberComma(IFERROR(LEFT(B1514,(FIND("-",B1514)-1)),LEFT(B1514,FIND("mm",B1514)-1)))</f>
        <v>10</v>
      </c>
      <c r="D1514" s="5">
        <f>convertNumberStringPointToNumberComma(IFERROR(RIGHT(LEFT(B1514,FIND("m",B1514)-1),LEN(LEFT(B1514,FIND("m",B1514)-1))-FIND("-",LEFT(B1514,FIND("m",B1514)-1))-1),C1514))</f>
        <v>0</v>
      </c>
      <c r="E1514" t="s">
        <v>2649</v>
      </c>
      <c r="F1514" s="9">
        <f>convertNumberStringPointToNumberComma(LEFT(MID(E1514,3,9),IFERROR(FIND("-",MID(E1514,3,9))-2,3)))</f>
        <v>3.5</v>
      </c>
      <c r="G1514" s="9">
        <f>convertNumberStringPointToNumberComma(RIGHT(E1514,IF(ISERROR(FIND(".",RIGHT(E1514,3))),1,3)))</f>
        <v>3.5</v>
      </c>
      <c r="H1514" t="s">
        <v>21</v>
      </c>
      <c r="I1514" s="5" t="str">
        <f>IF(H1514="none",0,LEFT(H1514,LEN(H1514)-2))</f>
        <v>82</v>
      </c>
      <c r="J1514" s="12" t="s">
        <v>104</v>
      </c>
      <c r="K1514" s="10">
        <f>IF(J1514="",0,convertNumberStringPointToNumberComma(LEFT(J1514,LEN(J1514)-1)))</f>
        <v>0.08</v>
      </c>
      <c r="L1514" t="s">
        <v>2756</v>
      </c>
      <c r="M1514" t="s">
        <v>2757</v>
      </c>
      <c r="N1514" t="s">
        <v>903</v>
      </c>
      <c r="O1514" t="s">
        <v>23</v>
      </c>
      <c r="P1514" s="5" t="str">
        <f>LEFT(O1514,LEN(O1514)-1)</f>
        <v>520</v>
      </c>
      <c r="Q1514" t="s">
        <v>3275</v>
      </c>
      <c r="R1514" s="52">
        <f>_xlfn.NUMBERVALUE(convertNumberStringPointToNumberComma(LEFT(Q1514,FIND("x",Q1514)-2)))</f>
        <v>87.3</v>
      </c>
      <c r="S1514" s="52">
        <f>_xlfn.NUMBERVALUE(convertNumberStringPointToNumberComma(LEFT(RIGHT(Q1514,LEN(Q1514)-FIND("x",Q1514)-1),LEN(RIGHT(Q1514,LEN(Q1514)-FIND("x",Q1514)-1))-2)))</f>
        <v>88.2</v>
      </c>
    </row>
    <row r="1515" spans="1:19" x14ac:dyDescent="0.25">
      <c r="A1515" t="s">
        <v>1053</v>
      </c>
      <c r="B1515" t="s">
        <v>945</v>
      </c>
      <c r="C1515" s="5">
        <f>convertNumberStringPointToNumberComma(IFERROR(LEFT(B1515,(FIND("-",B1515)-1)),LEFT(B1515,FIND("mm",B1515)-1)))</f>
        <v>10</v>
      </c>
      <c r="D1515" s="5">
        <f>convertNumberStringPointToNumberComma(IFERROR(RIGHT(LEFT(B1515,FIND("m",B1515)-1),LEN(LEFT(B1515,FIND("m",B1515)-1))-FIND("-",LEFT(B1515,FIND("m",B1515)-1))-1),C1515))</f>
        <v>0</v>
      </c>
      <c r="E1515" t="s">
        <v>2649</v>
      </c>
      <c r="F1515" s="9">
        <f>convertNumberStringPointToNumberComma(LEFT(MID(E1515,3,9),IFERROR(FIND("-",MID(E1515,3,9))-2,3)))</f>
        <v>3.5</v>
      </c>
      <c r="G1515" s="9">
        <f>convertNumberStringPointToNumberComma(RIGHT(E1515,IF(ISERROR(FIND(".",RIGHT(E1515,3))),1,3)))</f>
        <v>3.5</v>
      </c>
      <c r="H1515" t="s">
        <v>21</v>
      </c>
      <c r="I1515" s="5" t="str">
        <f>IF(H1515="none",0,LEFT(H1515,LEN(H1515)-2))</f>
        <v>82</v>
      </c>
      <c r="J1515" s="5" t="s">
        <v>466</v>
      </c>
      <c r="K1515" s="10">
        <f>IF(J1515="",0,convertNumberStringPointToNumberComma(LEFT(J1515,LEN(J1515)-1)))</f>
        <v>0.21</v>
      </c>
      <c r="L1515" t="s">
        <v>2756</v>
      </c>
      <c r="M1515" t="s">
        <v>8</v>
      </c>
      <c r="N1515" t="s">
        <v>903</v>
      </c>
      <c r="O1515" t="s">
        <v>23</v>
      </c>
      <c r="P1515" s="5" t="str">
        <f>LEFT(O1515,LEN(O1515)-1)</f>
        <v>520</v>
      </c>
      <c r="Q1515" t="s">
        <v>3275</v>
      </c>
      <c r="R1515" s="52">
        <f>_xlfn.NUMBERVALUE(convertNumberStringPointToNumberComma(LEFT(Q1515,FIND("x",Q1515)-2)))</f>
        <v>87.3</v>
      </c>
      <c r="S1515" s="52">
        <f>_xlfn.NUMBERVALUE(convertNumberStringPointToNumberComma(LEFT(RIGHT(Q1515,LEN(Q1515)-FIND("x",Q1515)-1),LEN(RIGHT(Q1515,LEN(Q1515)-FIND("x",Q1515)-1))-2)))</f>
        <v>88.2</v>
      </c>
    </row>
    <row r="1516" spans="1:19" x14ac:dyDescent="0.25">
      <c r="A1516" t="s">
        <v>1135</v>
      </c>
      <c r="B1516" t="s">
        <v>945</v>
      </c>
      <c r="C1516" s="5">
        <f>convertNumberStringPointToNumberComma(IFERROR(LEFT(B1516,(FIND("-",B1516)-1)),LEFT(B1516,FIND("mm",B1516)-1)))</f>
        <v>10</v>
      </c>
      <c r="D1516" s="5">
        <f>convertNumberStringPointToNumberComma(IFERROR(RIGHT(LEFT(B1516,FIND("m",B1516)-1),LEN(LEFT(B1516,FIND("m",B1516)-1))-FIND("-",LEFT(B1516,FIND("m",B1516)-1))-1),C1516))</f>
        <v>0</v>
      </c>
      <c r="E1516" t="s">
        <v>2649</v>
      </c>
      <c r="F1516" s="9">
        <f>convertNumberStringPointToNumberComma(LEFT(MID(E1516,3,9),IFERROR(FIND("-",MID(E1516,3,9))-2,3)))</f>
        <v>3.5</v>
      </c>
      <c r="G1516" s="9">
        <f>convertNumberStringPointToNumberComma(RIGHT(E1516,IF(ISERROR(FIND(".",RIGHT(E1516,3))),1,3)))</f>
        <v>3.5</v>
      </c>
      <c r="H1516" t="s">
        <v>21</v>
      </c>
      <c r="I1516" s="5" t="str">
        <f>IF(H1516="none",0,LEFT(H1516,LEN(H1516)-2))</f>
        <v>82</v>
      </c>
      <c r="J1516" s="5" t="s">
        <v>22</v>
      </c>
      <c r="K1516" s="10">
        <f>IF(J1516="",0,convertNumberStringPointToNumberComma(LEFT(J1516,LEN(J1516)-1)))</f>
        <v>0.15</v>
      </c>
      <c r="L1516" t="s">
        <v>2756</v>
      </c>
      <c r="M1516" t="s">
        <v>2802</v>
      </c>
      <c r="N1516" t="s">
        <v>903</v>
      </c>
      <c r="O1516" t="s">
        <v>23</v>
      </c>
      <c r="P1516" s="5" t="str">
        <f>LEFT(O1516,LEN(O1516)-1)</f>
        <v>520</v>
      </c>
      <c r="Q1516" t="s">
        <v>3275</v>
      </c>
      <c r="R1516" s="52">
        <f>_xlfn.NUMBERVALUE(convertNumberStringPointToNumberComma(LEFT(Q1516,FIND("x",Q1516)-2)))</f>
        <v>87.3</v>
      </c>
      <c r="S1516" s="52">
        <f>_xlfn.NUMBERVALUE(convertNumberStringPointToNumberComma(LEFT(RIGHT(Q1516,LEN(Q1516)-FIND("x",Q1516)-1),LEN(RIGHT(Q1516,LEN(Q1516)-FIND("x",Q1516)-1))-2)))</f>
        <v>88.2</v>
      </c>
    </row>
    <row r="1517" spans="1:19" x14ac:dyDescent="0.25">
      <c r="A1517" t="s">
        <v>1136</v>
      </c>
      <c r="B1517" t="s">
        <v>945</v>
      </c>
      <c r="C1517" s="5">
        <f>convertNumberStringPointToNumberComma(IFERROR(LEFT(B1517,(FIND("-",B1517)-1)),LEFT(B1517,FIND("mm",B1517)-1)))</f>
        <v>10</v>
      </c>
      <c r="D1517" s="5">
        <f>convertNumberStringPointToNumberComma(IFERROR(RIGHT(LEFT(B1517,FIND("m",B1517)-1),LEN(LEFT(B1517,FIND("m",B1517)-1))-FIND("-",LEFT(B1517,FIND("m",B1517)-1))-1),C1517))</f>
        <v>0</v>
      </c>
      <c r="E1517" t="s">
        <v>2649</v>
      </c>
      <c r="F1517" s="9">
        <f>convertNumberStringPointToNumberComma(LEFT(MID(E1517,3,9),IFERROR(FIND("-",MID(E1517,3,9))-2,3)))</f>
        <v>3.5</v>
      </c>
      <c r="G1517" s="9">
        <f>convertNumberStringPointToNumberComma(RIGHT(E1517,IF(ISERROR(FIND(".",RIGHT(E1517,3))),1,3)))</f>
        <v>3.5</v>
      </c>
      <c r="H1517" t="s">
        <v>21</v>
      </c>
      <c r="I1517" s="5" t="str">
        <f>IF(H1517="none",0,LEFT(H1517,LEN(H1517)-2))</f>
        <v>82</v>
      </c>
      <c r="J1517" s="5" t="s">
        <v>68</v>
      </c>
      <c r="K1517" s="10">
        <f>IF(J1517="",0,convertNumberStringPointToNumberComma(LEFT(J1517,LEN(J1517)-1)))</f>
        <v>0.5</v>
      </c>
      <c r="L1517" t="s">
        <v>2756</v>
      </c>
      <c r="M1517" t="s">
        <v>2708</v>
      </c>
      <c r="N1517" t="s">
        <v>903</v>
      </c>
      <c r="O1517" t="s">
        <v>23</v>
      </c>
      <c r="P1517" s="5" t="str">
        <f>LEFT(O1517,LEN(O1517)-1)</f>
        <v>520</v>
      </c>
      <c r="Q1517" t="s">
        <v>3275</v>
      </c>
      <c r="R1517" s="52">
        <f>_xlfn.NUMBERVALUE(convertNumberStringPointToNumberComma(LEFT(Q1517,FIND("x",Q1517)-2)))</f>
        <v>87.3</v>
      </c>
      <c r="S1517" s="52">
        <f>_xlfn.NUMBERVALUE(convertNumberStringPointToNumberComma(LEFT(RIGHT(Q1517,LEN(Q1517)-FIND("x",Q1517)-1),LEN(RIGHT(Q1517,LEN(Q1517)-FIND("x",Q1517)-1))-2)))</f>
        <v>88.2</v>
      </c>
    </row>
    <row r="1518" spans="1:19" x14ac:dyDescent="0.25">
      <c r="A1518" t="s">
        <v>1408</v>
      </c>
      <c r="B1518" t="s">
        <v>945</v>
      </c>
      <c r="E1518" t="s">
        <v>2649</v>
      </c>
      <c r="H1518" t="s">
        <v>21</v>
      </c>
      <c r="L1518" t="s">
        <v>2756</v>
      </c>
      <c r="M1518" t="s">
        <v>2793</v>
      </c>
      <c r="N1518" t="s">
        <v>903</v>
      </c>
      <c r="O1518" t="s">
        <v>23</v>
      </c>
      <c r="Q1518" t="s">
        <v>3275</v>
      </c>
      <c r="R1518" s="52">
        <f>_xlfn.NUMBERVALUE(convertNumberStringPointToNumberComma(LEFT(Q1518,FIND("x",Q1518)-2)))</f>
        <v>87.3</v>
      </c>
      <c r="S1518" s="52">
        <f>_xlfn.NUMBERVALUE(convertNumberStringPointToNumberComma(LEFT(RIGHT(Q1518,LEN(Q1518)-FIND("x",Q1518)-1),LEN(RIGHT(Q1518,LEN(Q1518)-FIND("x",Q1518)-1))-2)))</f>
        <v>88.2</v>
      </c>
    </row>
    <row r="1519" spans="1:19" x14ac:dyDescent="0.25">
      <c r="B1519" t="s">
        <v>61</v>
      </c>
      <c r="E1519" t="s">
        <v>3014</v>
      </c>
      <c r="H1519" t="s">
        <v>27</v>
      </c>
      <c r="L1519" t="s">
        <v>2873</v>
      </c>
      <c r="M1519" t="s">
        <v>3134</v>
      </c>
      <c r="N1519" t="s">
        <v>2959</v>
      </c>
      <c r="O1519" t="s">
        <v>650</v>
      </c>
      <c r="Q1519" t="s">
        <v>3942</v>
      </c>
      <c r="R1519" s="52">
        <f>_xlfn.NUMBERVALUE(convertNumberStringPointToNumberComma(LEFT(Q1519,FIND("x",Q1519)-2)))</f>
        <v>87.5</v>
      </c>
      <c r="S1519" s="52">
        <f>_xlfn.NUMBERVALUE(convertNumberStringPointToNumberComma(LEFT(RIGHT(Q1519,LEN(Q1519)-FIND("x",Q1519)-1),LEN(RIGHT(Q1519,LEN(Q1519)-FIND("x",Q1519)-1))-2)))</f>
        <v>80.5</v>
      </c>
    </row>
    <row r="1520" spans="1:19" x14ac:dyDescent="0.25">
      <c r="A1520" t="s">
        <v>1893</v>
      </c>
      <c r="B1520" t="s">
        <v>1894</v>
      </c>
      <c r="E1520" t="s">
        <v>2638</v>
      </c>
      <c r="H1520" t="s">
        <v>21</v>
      </c>
      <c r="L1520" t="s">
        <v>3039</v>
      </c>
      <c r="M1520" t="s">
        <v>2682</v>
      </c>
      <c r="N1520" t="s">
        <v>913</v>
      </c>
      <c r="O1520" t="s">
        <v>476</v>
      </c>
      <c r="Q1520" t="s">
        <v>3739</v>
      </c>
      <c r="R1520" s="52">
        <f>_xlfn.NUMBERVALUE(convertNumberStringPointToNumberComma(LEFT(Q1520,FIND("x",Q1520)-2)))</f>
        <v>87.6</v>
      </c>
      <c r="S1520" s="52">
        <f>_xlfn.NUMBERVALUE(convertNumberStringPointToNumberComma(LEFT(RIGHT(Q1520,LEN(Q1520)-FIND("x",Q1520)-1),LEN(RIGHT(Q1520,LEN(Q1520)-FIND("x",Q1520)-1))-2)))</f>
        <v>122.7</v>
      </c>
    </row>
    <row r="1521" spans="1:19" x14ac:dyDescent="0.25">
      <c r="A1521" t="s">
        <v>1895</v>
      </c>
      <c r="B1521" t="s">
        <v>1894</v>
      </c>
      <c r="E1521" t="s">
        <v>2638</v>
      </c>
      <c r="H1521" t="s">
        <v>21</v>
      </c>
      <c r="L1521" t="s">
        <v>3039</v>
      </c>
      <c r="M1521" t="s">
        <v>2793</v>
      </c>
      <c r="N1521" t="s">
        <v>913</v>
      </c>
      <c r="O1521" t="s">
        <v>476</v>
      </c>
      <c r="Q1521" t="s">
        <v>3739</v>
      </c>
      <c r="R1521" s="52">
        <f>_xlfn.NUMBERVALUE(convertNumberStringPointToNumberComma(LEFT(Q1521,FIND("x",Q1521)-2)))</f>
        <v>87.6</v>
      </c>
      <c r="S1521" s="52">
        <f>_xlfn.NUMBERVALUE(convertNumberStringPointToNumberComma(LEFT(RIGHT(Q1521,LEN(Q1521)-FIND("x",Q1521)-1),LEN(RIGHT(Q1521,LEN(Q1521)-FIND("x",Q1521)-1))-2)))</f>
        <v>122.7</v>
      </c>
    </row>
    <row r="1522" spans="1:19" x14ac:dyDescent="0.25">
      <c r="A1522" t="s">
        <v>2611</v>
      </c>
      <c r="B1522" t="s">
        <v>1894</v>
      </c>
      <c r="E1522" t="s">
        <v>2638</v>
      </c>
      <c r="H1522" t="s">
        <v>21</v>
      </c>
      <c r="L1522" t="s">
        <v>3039</v>
      </c>
      <c r="M1522" t="s">
        <v>8</v>
      </c>
      <c r="N1522" t="s">
        <v>913</v>
      </c>
      <c r="O1522" t="s">
        <v>476</v>
      </c>
      <c r="Q1522" t="s">
        <v>3739</v>
      </c>
      <c r="R1522" s="52">
        <f>_xlfn.NUMBERVALUE(convertNumberStringPointToNumberComma(LEFT(Q1522,FIND("x",Q1522)-2)))</f>
        <v>87.6</v>
      </c>
      <c r="S1522" s="52">
        <f>_xlfn.NUMBERVALUE(convertNumberStringPointToNumberComma(LEFT(RIGHT(Q1522,LEN(Q1522)-FIND("x",Q1522)-1),LEN(RIGHT(Q1522,LEN(Q1522)-FIND("x",Q1522)-1))-2)))</f>
        <v>122.7</v>
      </c>
    </row>
    <row r="1523" spans="1:19" x14ac:dyDescent="0.25">
      <c r="A1523" t="s">
        <v>918</v>
      </c>
      <c r="B1523" t="s">
        <v>919</v>
      </c>
      <c r="C1523" s="5">
        <f>convertNumberStringPointToNumberComma(IFERROR(LEFT(B1523,(FIND("-",B1523)-1)),LEFT(B1523,FIND("mm",B1523)-1)))</f>
        <v>24</v>
      </c>
      <c r="D1523" s="5">
        <f>convertNumberStringPointToNumberComma(IFERROR(RIGHT(LEFT(B1523,FIND("m",B1523)-1),LEN(LEFT(B1523,FIND("m",B1523)-1))-FIND("-",LEFT(B1523,FIND("m",B1523)-1))-1),C1523))</f>
        <v>0</v>
      </c>
      <c r="E1523" t="s">
        <v>2632</v>
      </c>
      <c r="F1523" s="9">
        <f>convertNumberStringPointToNumberComma(LEFT(MID(E1523,3,9),IFERROR(FIND("-",MID(E1523,3,9))-2,3)))</f>
        <v>2.8</v>
      </c>
      <c r="G1523" s="9">
        <f>convertNumberStringPointToNumberComma(RIGHT(E1523,IF(ISERROR(FIND(".",RIGHT(E1523,3))),1,3)))</f>
        <v>2.8</v>
      </c>
      <c r="H1523" t="s">
        <v>21</v>
      </c>
      <c r="I1523" s="5" t="str">
        <f>IF(H1523="none",0,LEFT(H1523,LEN(H1523)-2))</f>
        <v>82</v>
      </c>
      <c r="J1523" s="5" t="s">
        <v>32</v>
      </c>
      <c r="K1523" s="10">
        <f>IF(J1523="",0,convertNumberStringPointToNumberComma(LEFT(J1523,LEN(J1523)-1)))</f>
        <v>0.12</v>
      </c>
      <c r="L1523" t="s">
        <v>2677</v>
      </c>
      <c r="M1523" t="s">
        <v>2674</v>
      </c>
      <c r="N1523" t="s">
        <v>913</v>
      </c>
      <c r="O1523" t="s">
        <v>2678</v>
      </c>
      <c r="P1523" s="5" t="str">
        <f>LEFT(O1523,LEN(O1523)-1)</f>
        <v>886</v>
      </c>
      <c r="Q1523" t="s">
        <v>3199</v>
      </c>
      <c r="R1523" s="52">
        <f>_xlfn.NUMBERVALUE(convertNumberStringPointToNumberComma(LEFT(Q1523,FIND("x",Q1523)-2)))</f>
        <v>87.6</v>
      </c>
      <c r="S1523" s="52">
        <f>_xlfn.NUMBERVALUE(convertNumberStringPointToNumberComma(LEFT(RIGHT(Q1523,LEN(Q1523)-FIND("x",Q1523)-1),LEN(RIGHT(Q1523,LEN(Q1523)-FIND("x",Q1523)-1))-2)))</f>
        <v>136</v>
      </c>
    </row>
    <row r="1524" spans="1:19" x14ac:dyDescent="0.25">
      <c r="A1524" t="s">
        <v>1917</v>
      </c>
      <c r="B1524" t="s">
        <v>1918</v>
      </c>
      <c r="E1524" t="s">
        <v>2647</v>
      </c>
      <c r="H1524" t="s">
        <v>21</v>
      </c>
      <c r="L1524" t="s">
        <v>2704</v>
      </c>
      <c r="M1524" t="s">
        <v>2989</v>
      </c>
      <c r="N1524" t="s">
        <v>913</v>
      </c>
      <c r="O1524" t="s">
        <v>562</v>
      </c>
      <c r="Q1524" t="s">
        <v>3747</v>
      </c>
      <c r="R1524" s="52">
        <f>_xlfn.NUMBERVALUE(convertNumberStringPointToNumberComma(LEFT(Q1524,FIND("x",Q1524)-2)))</f>
        <v>88</v>
      </c>
      <c r="S1524" s="52">
        <f>_xlfn.NUMBERVALUE(convertNumberStringPointToNumberComma(LEFT(RIGHT(Q1524,LEN(Q1524)-FIND("x",Q1524)-1),LEN(RIGHT(Q1524,LEN(Q1524)-FIND("x",Q1524)-1))-2)))</f>
        <v>104</v>
      </c>
    </row>
    <row r="1525" spans="1:19" x14ac:dyDescent="0.25">
      <c r="A1525" t="s">
        <v>994</v>
      </c>
      <c r="B1525" t="s">
        <v>919</v>
      </c>
      <c r="C1525" s="5">
        <f>convertNumberStringPointToNumberComma(IFERROR(LEFT(B1525,(FIND("-",B1525)-1)),LEFT(B1525,FIND("mm",B1525)-1)))</f>
        <v>24</v>
      </c>
      <c r="D1525" s="5">
        <f>convertNumberStringPointToNumberComma(IFERROR(RIGHT(LEFT(B1525,FIND("m",B1525)-1),LEN(LEFT(B1525,FIND("m",B1525)-1))-FIND("-",LEFT(B1525,FIND("m",B1525)-1))-1),C1525))</f>
        <v>0</v>
      </c>
      <c r="E1525" t="s">
        <v>2632</v>
      </c>
      <c r="F1525" s="9">
        <f>convertNumberStringPointToNumberComma(LEFT(MID(E1525,3,9),IFERROR(FIND("-",MID(E1525,3,9))-2,3)))</f>
        <v>2.8</v>
      </c>
      <c r="G1525" s="9">
        <f>convertNumberStringPointToNumberComma(RIGHT(E1525,IF(ISERROR(FIND(".",RIGHT(E1525,3))),1,3)))</f>
        <v>2.8</v>
      </c>
      <c r="H1525" t="s">
        <v>21</v>
      </c>
      <c r="I1525" s="5" t="str">
        <f>IF(H1525="none",0,LEFT(H1525,LEN(H1525)-2))</f>
        <v>82</v>
      </c>
      <c r="J1525" s="5" t="s">
        <v>40</v>
      </c>
      <c r="K1525" s="10">
        <f>IF(J1525="",0,convertNumberStringPointToNumberComma(LEFT(J1525,LEN(J1525)-1)))</f>
        <v>0.2</v>
      </c>
      <c r="L1525" t="s">
        <v>2679</v>
      </c>
      <c r="M1525" t="s">
        <v>2682</v>
      </c>
      <c r="N1525" t="s">
        <v>913</v>
      </c>
      <c r="O1525" t="s">
        <v>2737</v>
      </c>
      <c r="P1525" s="5" t="str">
        <f>LEFT(O1525,LEN(O1525)-1)</f>
        <v>1.02k</v>
      </c>
      <c r="Q1525" t="s">
        <v>3247</v>
      </c>
      <c r="R1525" s="52">
        <f>_xlfn.NUMBERVALUE(convertNumberStringPointToNumberComma(LEFT(Q1525,FIND("x",Q1525)-2)))</f>
        <v>88</v>
      </c>
      <c r="S1525" s="52">
        <f>_xlfn.NUMBERVALUE(convertNumberStringPointToNumberComma(LEFT(RIGHT(Q1525,LEN(Q1525)-FIND("x",Q1525)-1),LEN(RIGHT(Q1525,LEN(Q1525)-FIND("x",Q1525)-1))-2)))</f>
        <v>107.6</v>
      </c>
    </row>
    <row r="1526" spans="1:19" x14ac:dyDescent="0.25">
      <c r="A1526" t="s">
        <v>1007</v>
      </c>
      <c r="B1526" t="s">
        <v>919</v>
      </c>
      <c r="C1526" s="5">
        <f>convertNumberStringPointToNumberComma(IFERROR(LEFT(B1526,(FIND("-",B1526)-1)),LEFT(B1526,FIND("mm",B1526)-1)))</f>
        <v>24</v>
      </c>
      <c r="D1526" s="5">
        <f>convertNumberStringPointToNumberComma(IFERROR(RIGHT(LEFT(B1526,FIND("m",B1526)-1),LEN(LEFT(B1526,FIND("m",B1526)-1))-FIND("-",LEFT(B1526,FIND("m",B1526)-1))-1),C1526))</f>
        <v>0</v>
      </c>
      <c r="E1526" t="s">
        <v>2632</v>
      </c>
      <c r="F1526" s="9">
        <f>convertNumberStringPointToNumberComma(LEFT(MID(E1526,3,9),IFERROR(FIND("-",MID(E1526,3,9))-2,3)))</f>
        <v>2.8</v>
      </c>
      <c r="G1526" s="9">
        <f>convertNumberStringPointToNumberComma(RIGHT(E1526,IF(ISERROR(FIND(".",RIGHT(E1526,3))),1,3)))</f>
        <v>2.8</v>
      </c>
      <c r="H1526" t="s">
        <v>21</v>
      </c>
      <c r="I1526" s="5" t="str">
        <f>IF(H1526="none",0,LEFT(H1526,LEN(H1526)-2))</f>
        <v>82</v>
      </c>
      <c r="J1526" s="5" t="s">
        <v>99</v>
      </c>
      <c r="K1526" s="10">
        <f>IF(J1526="",0,convertNumberStringPointToNumberComma(LEFT(J1526,LEN(J1526)-1)))</f>
        <v>0.3</v>
      </c>
      <c r="L1526" t="s">
        <v>2679</v>
      </c>
      <c r="M1526" t="s">
        <v>8</v>
      </c>
      <c r="N1526" t="s">
        <v>913</v>
      </c>
      <c r="O1526" t="s">
        <v>2737</v>
      </c>
      <c r="P1526" s="5" t="str">
        <f>LEFT(O1526,LEN(O1526)-1)</f>
        <v>1.02k</v>
      </c>
      <c r="Q1526" t="s">
        <v>3247</v>
      </c>
      <c r="R1526" s="52">
        <f>_xlfn.NUMBERVALUE(convertNumberStringPointToNumberComma(LEFT(Q1526,FIND("x",Q1526)-2)))</f>
        <v>88</v>
      </c>
      <c r="S1526" s="52">
        <f>_xlfn.NUMBERVALUE(convertNumberStringPointToNumberComma(LEFT(RIGHT(Q1526,LEN(Q1526)-FIND("x",Q1526)-1),LEN(RIGHT(Q1526,LEN(Q1526)-FIND("x",Q1526)-1))-2)))</f>
        <v>107.6</v>
      </c>
    </row>
    <row r="1527" spans="1:19" x14ac:dyDescent="0.25">
      <c r="A1527" t="s">
        <v>1699</v>
      </c>
      <c r="B1527" t="s">
        <v>919</v>
      </c>
      <c r="E1527" t="s">
        <v>2632</v>
      </c>
      <c r="H1527" t="s">
        <v>21</v>
      </c>
      <c r="L1527" t="s">
        <v>2679</v>
      </c>
      <c r="M1527" t="s">
        <v>2793</v>
      </c>
      <c r="N1527" t="s">
        <v>913</v>
      </c>
      <c r="O1527" t="s">
        <v>2737</v>
      </c>
      <c r="Q1527" t="s">
        <v>3247</v>
      </c>
      <c r="R1527" s="52">
        <f>_xlfn.NUMBERVALUE(convertNumberStringPointToNumberComma(LEFT(Q1527,FIND("x",Q1527)-2)))</f>
        <v>88</v>
      </c>
      <c r="S1527" s="52">
        <f>_xlfn.NUMBERVALUE(convertNumberStringPointToNumberComma(LEFT(RIGHT(Q1527,LEN(Q1527)-FIND("x",Q1527)-1),LEN(RIGHT(Q1527,LEN(Q1527)-FIND("x",Q1527)-1))-2)))</f>
        <v>107.6</v>
      </c>
    </row>
    <row r="1528" spans="1:19" x14ac:dyDescent="0.25">
      <c r="B1528" t="s">
        <v>592</v>
      </c>
      <c r="E1528" t="s">
        <v>2658</v>
      </c>
      <c r="H1528" t="s">
        <v>21</v>
      </c>
      <c r="L1528" t="s">
        <v>3159</v>
      </c>
      <c r="M1528" t="s">
        <v>3047</v>
      </c>
      <c r="N1528" t="s">
        <v>913</v>
      </c>
      <c r="O1528" t="s">
        <v>3160</v>
      </c>
      <c r="Q1528" t="s">
        <v>3975</v>
      </c>
      <c r="R1528" s="52">
        <f>_xlfn.NUMBERVALUE(convertNumberStringPointToNumberComma(LEFT(Q1528,FIND("x",Q1528)-2)))</f>
        <v>88</v>
      </c>
      <c r="S1528" s="52">
        <f>_xlfn.NUMBERVALUE(convertNumberStringPointToNumberComma(LEFT(RIGHT(Q1528,LEN(Q1528)-FIND("x",Q1528)-1),LEN(RIGHT(Q1528,LEN(Q1528)-FIND("x",Q1528)-1))-2)))</f>
        <v>122</v>
      </c>
    </row>
    <row r="1529" spans="1:19" x14ac:dyDescent="0.25">
      <c r="A1529" t="s">
        <v>1872</v>
      </c>
      <c r="B1529" t="s">
        <v>678</v>
      </c>
      <c r="E1529" t="s">
        <v>2643</v>
      </c>
      <c r="H1529" t="s">
        <v>21</v>
      </c>
      <c r="L1529" t="s">
        <v>2726</v>
      </c>
      <c r="M1529" t="s">
        <v>2915</v>
      </c>
      <c r="N1529" t="s">
        <v>913</v>
      </c>
      <c r="O1529" t="s">
        <v>2735</v>
      </c>
      <c r="Q1529" t="s">
        <v>3724</v>
      </c>
      <c r="R1529" s="52">
        <f>_xlfn.NUMBERVALUE(convertNumberStringPointToNumberComma(LEFT(Q1529,FIND("x",Q1529)-2)))</f>
        <v>88</v>
      </c>
      <c r="S1529" s="52">
        <f>_xlfn.NUMBERVALUE(convertNumberStringPointToNumberComma(LEFT(RIGHT(Q1529,LEN(Q1529)-FIND("x",Q1529)-1),LEN(RIGHT(Q1529,LEN(Q1529)-FIND("x",Q1529)-1))-2)))</f>
        <v>124</v>
      </c>
    </row>
    <row r="1530" spans="1:19" x14ac:dyDescent="0.25">
      <c r="A1530" t="s">
        <v>2148</v>
      </c>
      <c r="B1530" t="s">
        <v>586</v>
      </c>
      <c r="E1530" t="s">
        <v>2632</v>
      </c>
      <c r="H1530" t="s">
        <v>21</v>
      </c>
      <c r="L1530" t="s">
        <v>3006</v>
      </c>
      <c r="M1530" t="s">
        <v>3047</v>
      </c>
      <c r="N1530" t="s">
        <v>913</v>
      </c>
      <c r="O1530" t="s">
        <v>3063</v>
      </c>
      <c r="Q1530" t="s">
        <v>3848</v>
      </c>
      <c r="R1530" s="52">
        <f>_xlfn.NUMBERVALUE(convertNumberStringPointToNumberComma(LEFT(Q1530,FIND("x",Q1530)-2)))</f>
        <v>88</v>
      </c>
      <c r="S1530" s="52">
        <f>_xlfn.NUMBERVALUE(convertNumberStringPointToNumberComma(LEFT(RIGHT(Q1530,LEN(Q1530)-FIND("x",Q1530)-1),LEN(RIGHT(Q1530,LEN(Q1530)-FIND("x",Q1530)-1))-2)))</f>
        <v>128</v>
      </c>
    </row>
    <row r="1531" spans="1:19" x14ac:dyDescent="0.25">
      <c r="A1531" t="s">
        <v>2149</v>
      </c>
      <c r="B1531" t="s">
        <v>586</v>
      </c>
      <c r="E1531" t="s">
        <v>2632</v>
      </c>
      <c r="H1531" t="s">
        <v>21</v>
      </c>
      <c r="L1531" t="s">
        <v>3006</v>
      </c>
      <c r="M1531" t="s">
        <v>3047</v>
      </c>
      <c r="N1531" t="s">
        <v>913</v>
      </c>
      <c r="O1531" t="s">
        <v>3063</v>
      </c>
      <c r="Q1531" t="s">
        <v>3848</v>
      </c>
      <c r="R1531" s="52">
        <f>_xlfn.NUMBERVALUE(convertNumberStringPointToNumberComma(LEFT(Q1531,FIND("x",Q1531)-2)))</f>
        <v>88</v>
      </c>
      <c r="S1531" s="52">
        <f>_xlfn.NUMBERVALUE(convertNumberStringPointToNumberComma(LEFT(RIGHT(Q1531,LEN(Q1531)-FIND("x",Q1531)-1),LEN(RIGHT(Q1531,LEN(Q1531)-FIND("x",Q1531)-1))-2)))</f>
        <v>128</v>
      </c>
    </row>
    <row r="1532" spans="1:19" x14ac:dyDescent="0.25">
      <c r="A1532" t="s">
        <v>2151</v>
      </c>
      <c r="B1532" t="s">
        <v>635</v>
      </c>
      <c r="E1532" t="s">
        <v>2632</v>
      </c>
      <c r="H1532" t="s">
        <v>21</v>
      </c>
      <c r="L1532" t="s">
        <v>3083</v>
      </c>
      <c r="M1532" t="s">
        <v>3047</v>
      </c>
      <c r="N1532" t="s">
        <v>913</v>
      </c>
      <c r="O1532" t="s">
        <v>2999</v>
      </c>
      <c r="Q1532" t="s">
        <v>3849</v>
      </c>
      <c r="R1532" s="52">
        <f>_xlfn.NUMBERVALUE(convertNumberStringPointToNumberComma(LEFT(Q1532,FIND("x",Q1532)-2)))</f>
        <v>88</v>
      </c>
      <c r="S1532" s="52">
        <f>_xlfn.NUMBERVALUE(convertNumberStringPointToNumberComma(LEFT(RIGHT(Q1532,LEN(Q1532)-FIND("x",Q1532)-1),LEN(RIGHT(Q1532,LEN(Q1532)-FIND("x",Q1532)-1))-2)))</f>
        <v>136</v>
      </c>
    </row>
    <row r="1533" spans="1:19" x14ac:dyDescent="0.25">
      <c r="A1533" t="s">
        <v>2152</v>
      </c>
      <c r="B1533" t="s">
        <v>635</v>
      </c>
      <c r="E1533" t="s">
        <v>2632</v>
      </c>
      <c r="H1533" t="s">
        <v>21</v>
      </c>
      <c r="L1533" t="s">
        <v>3083</v>
      </c>
      <c r="M1533" t="s">
        <v>3047</v>
      </c>
      <c r="N1533" t="s">
        <v>913</v>
      </c>
      <c r="O1533" t="s">
        <v>2999</v>
      </c>
      <c r="Q1533" t="s">
        <v>3849</v>
      </c>
      <c r="R1533" s="52">
        <f>_xlfn.NUMBERVALUE(convertNumberStringPointToNumberComma(LEFT(Q1533,FIND("x",Q1533)-2)))</f>
        <v>88</v>
      </c>
      <c r="S1533" s="52">
        <f>_xlfn.NUMBERVALUE(convertNumberStringPointToNumberComma(LEFT(RIGHT(Q1533,LEN(Q1533)-FIND("x",Q1533)-1),LEN(RIGHT(Q1533,LEN(Q1533)-FIND("x",Q1533)-1))-2)))</f>
        <v>136</v>
      </c>
    </row>
    <row r="1534" spans="1:19" x14ac:dyDescent="0.25">
      <c r="A1534" t="s">
        <v>1858</v>
      </c>
      <c r="B1534" t="s">
        <v>1859</v>
      </c>
      <c r="E1534" t="s">
        <v>2637</v>
      </c>
      <c r="H1534" t="s">
        <v>21</v>
      </c>
      <c r="M1534" t="s">
        <v>2915</v>
      </c>
      <c r="N1534" t="s">
        <v>913</v>
      </c>
      <c r="O1534" t="s">
        <v>3031</v>
      </c>
      <c r="Q1534" t="s">
        <v>3713</v>
      </c>
      <c r="R1534" s="52">
        <f>_xlfn.NUMBERVALUE(convertNumberStringPointToNumberComma(LEFT(Q1534,FIND("x",Q1534)-2)))</f>
        <v>88</v>
      </c>
      <c r="S1534" s="52">
        <f>_xlfn.NUMBERVALUE(convertNumberStringPointToNumberComma(LEFT(RIGHT(Q1534,LEN(Q1534)-FIND("x",Q1534)-1),LEN(RIGHT(Q1534,LEN(Q1534)-FIND("x",Q1534)-1))-2)))</f>
        <v>138</v>
      </c>
    </row>
    <row r="1535" spans="1:19" x14ac:dyDescent="0.25">
      <c r="A1535" t="s">
        <v>990</v>
      </c>
      <c r="B1535" t="s">
        <v>919</v>
      </c>
      <c r="C1535" s="5">
        <f>convertNumberStringPointToNumberComma(IFERROR(LEFT(B1535,(FIND("-",B1535)-1)),LEFT(B1535,FIND("mm",B1535)-1)))</f>
        <v>24</v>
      </c>
      <c r="D1535" s="5">
        <f>convertNumberStringPointToNumberComma(IFERROR(RIGHT(LEFT(B1535,FIND("m",B1535)-1),LEN(LEFT(B1535,FIND("m",B1535)-1))-FIND("-",LEFT(B1535,FIND("m",B1535)-1))-1),C1535))</f>
        <v>0</v>
      </c>
      <c r="E1535" t="s">
        <v>2632</v>
      </c>
      <c r="F1535" s="9">
        <f>convertNumberStringPointToNumberComma(LEFT(MID(E1535,3,9),IFERROR(FIND("-",MID(E1535,3,9))-2,3)))</f>
        <v>2.8</v>
      </c>
      <c r="G1535" s="9">
        <f>convertNumberStringPointToNumberComma(RIGHT(E1535,IF(ISERROR(FIND(".",RIGHT(E1535,3))),1,3)))</f>
        <v>2.8</v>
      </c>
      <c r="H1535" t="s">
        <v>21</v>
      </c>
      <c r="I1535" s="5" t="str">
        <f>IF(H1535="none",0,LEFT(H1535,LEN(H1535)-2))</f>
        <v>82</v>
      </c>
      <c r="J1535" s="5" t="s">
        <v>291</v>
      </c>
      <c r="K1535" s="10">
        <f>IF(J1535="",0,convertNumberStringPointToNumberComma(LEFT(J1535,LEN(J1535)-1)))</f>
        <v>0.37</v>
      </c>
      <c r="L1535" t="s">
        <v>2734</v>
      </c>
      <c r="M1535" t="s">
        <v>8</v>
      </c>
      <c r="N1535" t="s">
        <v>913</v>
      </c>
      <c r="O1535" t="s">
        <v>2735</v>
      </c>
      <c r="P1535" s="5" t="str">
        <f>LEFT(O1535,LEN(O1535)-1)</f>
        <v>1.07k</v>
      </c>
      <c r="Q1535" t="s">
        <v>3244</v>
      </c>
      <c r="R1535" s="52">
        <f>_xlfn.NUMBERVALUE(convertNumberStringPointToNumberComma(LEFT(Q1535,FIND("x",Q1535)-2)))</f>
        <v>88</v>
      </c>
      <c r="S1535" s="52">
        <f>_xlfn.NUMBERVALUE(convertNumberStringPointToNumberComma(LEFT(RIGHT(Q1535,LEN(Q1535)-FIND("x",Q1535)-1),LEN(RIGHT(Q1535,LEN(Q1535)-FIND("x",Q1535)-1))-2)))</f>
        <v>154.5</v>
      </c>
    </row>
    <row r="1536" spans="1:19" x14ac:dyDescent="0.25">
      <c r="A1536" t="s">
        <v>961</v>
      </c>
      <c r="B1536" t="s">
        <v>933</v>
      </c>
      <c r="C1536" s="5">
        <f>convertNumberStringPointToNumberComma(IFERROR(LEFT(B1536,(FIND("-",B1536)-1)),LEFT(B1536,FIND("mm",B1536)-1)))</f>
        <v>70</v>
      </c>
      <c r="D1536" s="5">
        <f>convertNumberStringPointToNumberComma(IFERROR(RIGHT(LEFT(B1536,FIND("m",B1536)-1),LEN(LEFT(B1536,FIND("m",B1536)-1))-FIND("-",LEFT(B1536,FIND("m",B1536)-1))-1),C1536))</f>
        <v>0</v>
      </c>
      <c r="E1536" t="s">
        <v>2632</v>
      </c>
      <c r="F1536" s="9">
        <f>convertNumberStringPointToNumberComma(LEFT(MID(E1536,3,9),IFERROR(FIND("-",MID(E1536,3,9))-2,3)))</f>
        <v>2.8</v>
      </c>
      <c r="G1536" s="9">
        <f>convertNumberStringPointToNumberComma(RIGHT(E1536,IF(ISERROR(FIND(".",RIGHT(E1536,3))),1,3)))</f>
        <v>2.8</v>
      </c>
      <c r="H1536" t="s">
        <v>27</v>
      </c>
      <c r="I1536" s="5" t="str">
        <f>IF(H1536="none",0,LEFT(H1536,LEN(H1536)-2))</f>
        <v>77</v>
      </c>
      <c r="J1536" s="5"/>
      <c r="K1536" s="10">
        <f>IF(J1536="",0,convertNumberStringPointToNumberComma(LEFT(J1536,LEN(J1536)-1)))</f>
        <v>0</v>
      </c>
      <c r="L1536" t="s">
        <v>2716</v>
      </c>
      <c r="M1536" t="s">
        <v>8</v>
      </c>
      <c r="N1536" t="s">
        <v>913</v>
      </c>
      <c r="O1536" t="s">
        <v>2694</v>
      </c>
      <c r="P1536" s="5" t="str">
        <f>LEFT(O1536,LEN(O1536)-1)</f>
        <v>1.49k</v>
      </c>
      <c r="Q1536" t="s">
        <v>3226</v>
      </c>
      <c r="R1536" s="52">
        <f>_xlfn.NUMBERVALUE(convertNumberStringPointToNumberComma(LEFT(Q1536,FIND("x",Q1536)-2)))</f>
        <v>88</v>
      </c>
      <c r="S1536" s="52">
        <f>_xlfn.NUMBERVALUE(convertNumberStringPointToNumberComma(LEFT(RIGHT(Q1536,LEN(Q1536)-FIND("x",Q1536)-1),LEN(RIGHT(Q1536,LEN(Q1536)-FIND("x",Q1536)-1))-2)))</f>
        <v>191.3</v>
      </c>
    </row>
    <row r="1537" spans="1:19" x14ac:dyDescent="0.25">
      <c r="A1537" t="s">
        <v>1009</v>
      </c>
      <c r="B1537" t="s">
        <v>933</v>
      </c>
      <c r="C1537" s="5">
        <f>convertNumberStringPointToNumberComma(IFERROR(LEFT(B1537,(FIND("-",B1537)-1)),LEFT(B1537,FIND("mm",B1537)-1)))</f>
        <v>70</v>
      </c>
      <c r="D1537" s="5">
        <f>convertNumberStringPointToNumberComma(IFERROR(RIGHT(LEFT(B1537,FIND("m",B1537)-1),LEN(LEFT(B1537,FIND("m",B1537)-1))-FIND("-",LEFT(B1537,FIND("m",B1537)-1))-1),C1537))</f>
        <v>0</v>
      </c>
      <c r="E1537" t="s">
        <v>2632</v>
      </c>
      <c r="F1537" s="9">
        <f>convertNumberStringPointToNumberComma(LEFT(MID(E1537,3,9),IFERROR(FIND("-",MID(E1537,3,9))-2,3)))</f>
        <v>2.8</v>
      </c>
      <c r="G1537" s="9">
        <f>convertNumberStringPointToNumberComma(RIGHT(E1537,IF(ISERROR(FIND(".",RIGHT(E1537,3))),1,3)))</f>
        <v>2.8</v>
      </c>
      <c r="H1537" t="s">
        <v>27</v>
      </c>
      <c r="I1537" s="5" t="str">
        <f>IF(H1537="none",0,LEFT(H1537,LEN(H1537)-2))</f>
        <v>77</v>
      </c>
      <c r="J1537" s="5" t="s">
        <v>57</v>
      </c>
      <c r="K1537" s="10">
        <f>IF(J1537="",0,convertNumberStringPointToNumberComma(LEFT(J1537,LEN(J1537)-1)))</f>
        <v>0.26</v>
      </c>
      <c r="L1537" t="s">
        <v>2716</v>
      </c>
      <c r="M1537" t="s">
        <v>2682</v>
      </c>
      <c r="N1537" t="s">
        <v>913</v>
      </c>
      <c r="O1537" t="s">
        <v>2745</v>
      </c>
      <c r="P1537" s="5" t="str">
        <f>LEFT(O1537,LEN(O1537)-1)</f>
        <v>1.50k</v>
      </c>
      <c r="Q1537" t="s">
        <v>3259</v>
      </c>
      <c r="R1537" s="52">
        <f>_xlfn.NUMBERVALUE(convertNumberStringPointToNumberComma(LEFT(Q1537,FIND("x",Q1537)-2)))</f>
        <v>88</v>
      </c>
      <c r="S1537" s="52">
        <f>_xlfn.NUMBERVALUE(convertNumberStringPointToNumberComma(LEFT(RIGHT(Q1537,LEN(Q1537)-FIND("x",Q1537)-1),LEN(RIGHT(Q1537,LEN(Q1537)-FIND("x",Q1537)-1))-2)))</f>
        <v>193.8</v>
      </c>
    </row>
    <row r="1538" spans="1:19" x14ac:dyDescent="0.25">
      <c r="A1538" t="s">
        <v>996</v>
      </c>
      <c r="B1538" t="s">
        <v>933</v>
      </c>
      <c r="C1538" s="5">
        <f>convertNumberStringPointToNumberComma(IFERROR(LEFT(B1538,(FIND("-",B1538)-1)),LEFT(B1538,FIND("mm",B1538)-1)))</f>
        <v>70</v>
      </c>
      <c r="D1538" s="5">
        <f>convertNumberStringPointToNumberComma(IFERROR(RIGHT(LEFT(B1538,FIND("m",B1538)-1),LEN(LEFT(B1538,FIND("m",B1538)-1))-FIND("-",LEFT(B1538,FIND("m",B1538)-1))-1),C1538))</f>
        <v>0</v>
      </c>
      <c r="E1538" t="s">
        <v>2632</v>
      </c>
      <c r="F1538" s="9">
        <f>convertNumberStringPointToNumberComma(LEFT(MID(E1538,3,9),IFERROR(FIND("-",MID(E1538,3,9))-2,3)))</f>
        <v>2.8</v>
      </c>
      <c r="G1538" s="9">
        <f>convertNumberStringPointToNumberComma(RIGHT(E1538,IF(ISERROR(FIND(".",RIGHT(E1538,3))),1,3)))</f>
        <v>2.8</v>
      </c>
      <c r="H1538" t="s">
        <v>27</v>
      </c>
      <c r="I1538" s="5" t="str">
        <f>IF(H1538="none",0,LEFT(H1538,LEN(H1538)-2))</f>
        <v>77</v>
      </c>
      <c r="J1538" s="5" t="s">
        <v>158</v>
      </c>
      <c r="K1538" s="10">
        <f>IF(J1538="",0,convertNumberStringPointToNumberComma(LEFT(J1538,LEN(J1538)-1)))</f>
        <v>0.23</v>
      </c>
      <c r="L1538" t="s">
        <v>2728</v>
      </c>
      <c r="M1538" t="s">
        <v>2674</v>
      </c>
      <c r="N1538" t="s">
        <v>913</v>
      </c>
      <c r="O1538" t="s">
        <v>2739</v>
      </c>
      <c r="P1538" s="5" t="str">
        <f>LEFT(O1538,LEN(O1538)-1)</f>
        <v>1.48k</v>
      </c>
      <c r="Q1538" t="s">
        <v>3249</v>
      </c>
      <c r="R1538" s="52">
        <f>_xlfn.NUMBERVALUE(convertNumberStringPointToNumberComma(LEFT(Q1538,FIND("x",Q1538)-2)))</f>
        <v>88</v>
      </c>
      <c r="S1538" s="52">
        <f>_xlfn.NUMBERVALUE(convertNumberStringPointToNumberComma(LEFT(RIGHT(Q1538,LEN(Q1538)-FIND("x",Q1538)-1),LEN(RIGHT(Q1538,LEN(Q1538)-FIND("x",Q1538)-1))-2)))</f>
        <v>200</v>
      </c>
    </row>
    <row r="1539" spans="1:19" x14ac:dyDescent="0.25">
      <c r="A1539" t="s">
        <v>1869</v>
      </c>
      <c r="B1539" t="s">
        <v>1870</v>
      </c>
      <c r="E1539" t="s">
        <v>2637</v>
      </c>
      <c r="H1539" t="s">
        <v>21</v>
      </c>
      <c r="L1539" t="s">
        <v>2695</v>
      </c>
      <c r="M1539" t="s">
        <v>2915</v>
      </c>
      <c r="N1539" t="s">
        <v>913</v>
      </c>
      <c r="O1539" t="s">
        <v>3035</v>
      </c>
      <c r="Q1539" t="s">
        <v>3722</v>
      </c>
      <c r="R1539" s="52">
        <f>_xlfn.NUMBERVALUE(convertNumberStringPointToNumberComma(LEFT(Q1539,FIND("x",Q1539)-2)))</f>
        <v>88</v>
      </c>
      <c r="S1539" s="52">
        <f>_xlfn.NUMBERVALUE(convertNumberStringPointToNumberComma(LEFT(RIGHT(Q1539,LEN(Q1539)-FIND("x",Q1539)-1),LEN(RIGHT(Q1539,LEN(Q1539)-FIND("x",Q1539)-1))-2)))</f>
        <v>238</v>
      </c>
    </row>
    <row r="1540" spans="1:19" x14ac:dyDescent="0.25">
      <c r="A1540" t="s">
        <v>2033</v>
      </c>
      <c r="B1540" t="s">
        <v>960</v>
      </c>
      <c r="E1540" t="s">
        <v>2632</v>
      </c>
      <c r="H1540" t="s">
        <v>56</v>
      </c>
      <c r="L1540" t="s">
        <v>2922</v>
      </c>
      <c r="M1540" t="s">
        <v>2748</v>
      </c>
      <c r="N1540" t="s">
        <v>903</v>
      </c>
      <c r="O1540" t="s">
        <v>442</v>
      </c>
      <c r="Q1540" t="s">
        <v>3804</v>
      </c>
      <c r="R1540" s="52">
        <f>_xlfn.NUMBERVALUE(convertNumberStringPointToNumberComma(LEFT(Q1540,FIND("x",Q1540)-2)))</f>
        <v>88</v>
      </c>
      <c r="S1540" s="52">
        <f>_xlfn.NUMBERVALUE(convertNumberStringPointToNumberComma(LEFT(RIGHT(Q1540,LEN(Q1540)-FIND("x",Q1540)-1),LEN(RIGHT(Q1540,LEN(Q1540)-FIND("x",Q1540)-1))-2)))</f>
        <v>68</v>
      </c>
    </row>
    <row r="1541" spans="1:19" x14ac:dyDescent="0.25">
      <c r="A1541" t="s">
        <v>2034</v>
      </c>
      <c r="B1541" t="s">
        <v>960</v>
      </c>
      <c r="E1541" t="s">
        <v>2632</v>
      </c>
      <c r="H1541" t="s">
        <v>56</v>
      </c>
      <c r="L1541" t="s">
        <v>2922</v>
      </c>
      <c r="M1541" t="s">
        <v>2674</v>
      </c>
      <c r="N1541" t="s">
        <v>903</v>
      </c>
      <c r="O1541" t="s">
        <v>2787</v>
      </c>
      <c r="Q1541" t="s">
        <v>3804</v>
      </c>
      <c r="R1541" s="52">
        <f>_xlfn.NUMBERVALUE(convertNumberStringPointToNumberComma(LEFT(Q1541,FIND("x",Q1541)-2)))</f>
        <v>88</v>
      </c>
      <c r="S1541" s="52">
        <f>_xlfn.NUMBERVALUE(convertNumberStringPointToNumberComma(LEFT(RIGHT(Q1541,LEN(Q1541)-FIND("x",Q1541)-1),LEN(RIGHT(Q1541,LEN(Q1541)-FIND("x",Q1541)-1))-2)))</f>
        <v>68</v>
      </c>
    </row>
    <row r="1542" spans="1:19" x14ac:dyDescent="0.25">
      <c r="A1542" t="s">
        <v>1959</v>
      </c>
      <c r="B1542" t="s">
        <v>592</v>
      </c>
      <c r="E1542" t="s">
        <v>2649</v>
      </c>
      <c r="H1542" t="s">
        <v>21</v>
      </c>
      <c r="L1542" t="s">
        <v>2728</v>
      </c>
      <c r="M1542" t="s">
        <v>2989</v>
      </c>
      <c r="N1542" t="s">
        <v>913</v>
      </c>
      <c r="O1542" t="s">
        <v>105</v>
      </c>
      <c r="Q1542" t="s">
        <v>3773</v>
      </c>
      <c r="R1542" s="52">
        <f>_xlfn.NUMBERVALUE(convertNumberStringPointToNumberComma(LEFT(Q1542,FIND("x",Q1542)-2)))</f>
        <v>88</v>
      </c>
      <c r="S1542" s="52">
        <f>_xlfn.NUMBERVALUE(convertNumberStringPointToNumberComma(LEFT(RIGHT(Q1542,LEN(Q1542)-FIND("x",Q1542)-1),LEN(RIGHT(Q1542,LEN(Q1542)-FIND("x",Q1542)-1))-2)))</f>
        <v>90</v>
      </c>
    </row>
    <row r="1543" spans="1:19" x14ac:dyDescent="0.25">
      <c r="A1543" t="s">
        <v>1224</v>
      </c>
      <c r="B1543" t="s">
        <v>919</v>
      </c>
      <c r="C1543" s="5">
        <f>convertNumberStringPointToNumberComma(IFERROR(LEFT(B1543,(FIND("-",B1543)-1)),LEFT(B1543,FIND("mm",B1543)-1)))</f>
        <v>24</v>
      </c>
      <c r="D1543" s="5">
        <f>convertNumberStringPointToNumberComma(IFERROR(RIGHT(LEFT(B1543,FIND("m",B1543)-1),LEN(LEFT(B1543,FIND("m",B1543)-1))-FIND("-",LEFT(B1543,FIND("m",B1543)-1))-1),C1543))</f>
        <v>0</v>
      </c>
      <c r="E1543" t="s">
        <v>2632</v>
      </c>
      <c r="F1543" s="9">
        <f>convertNumberStringPointToNumberComma(LEFT(MID(E1543,3,9),IFERROR(FIND("-",MID(E1543,3,9))-2,3)))</f>
        <v>2.8</v>
      </c>
      <c r="G1543" s="9">
        <f>convertNumberStringPointToNumberComma(RIGHT(E1543,IF(ISERROR(FIND(".",RIGHT(E1543,3))),1,3)))</f>
        <v>2.8</v>
      </c>
      <c r="H1543" t="s">
        <v>21</v>
      </c>
      <c r="I1543" s="5" t="str">
        <f>IF(H1543="none",0,LEFT(H1543,LEN(H1543)-2))</f>
        <v>82</v>
      </c>
      <c r="J1543" s="5" t="s">
        <v>63</v>
      </c>
      <c r="K1543" s="10">
        <f>IF(J1543="",0,convertNumberStringPointToNumberComma(LEFT(J1543,LEN(J1543)-1)))</f>
        <v>1</v>
      </c>
      <c r="L1543" t="s">
        <v>2698</v>
      </c>
      <c r="M1543" t="s">
        <v>2757</v>
      </c>
      <c r="N1543" t="s">
        <v>913</v>
      </c>
      <c r="O1543" t="s">
        <v>494</v>
      </c>
      <c r="P1543" s="5" t="str">
        <f>LEFT(O1543,LEN(O1543)-1)</f>
        <v>825</v>
      </c>
      <c r="Q1543" t="s">
        <v>3374</v>
      </c>
      <c r="R1543" s="52">
        <f>_xlfn.NUMBERVALUE(convertNumberStringPointToNumberComma(LEFT(Q1543,FIND("x",Q1543)-2)))</f>
        <v>88.2</v>
      </c>
      <c r="S1543" s="52">
        <f>_xlfn.NUMBERVALUE(convertNumberStringPointToNumberComma(LEFT(RIGHT(Q1543,LEN(Q1543)-FIND("x",Q1543)-1),LEN(RIGHT(Q1543,LEN(Q1543)-FIND("x",Q1543)-1))-2)))</f>
        <v>116.9</v>
      </c>
    </row>
    <row r="1544" spans="1:19" x14ac:dyDescent="0.25">
      <c r="A1544" t="s">
        <v>2457</v>
      </c>
      <c r="B1544" t="s">
        <v>919</v>
      </c>
      <c r="E1544" t="s">
        <v>2632</v>
      </c>
      <c r="H1544" t="s">
        <v>21</v>
      </c>
      <c r="L1544" t="s">
        <v>2698</v>
      </c>
      <c r="M1544" t="s">
        <v>8</v>
      </c>
      <c r="N1544" t="s">
        <v>913</v>
      </c>
      <c r="O1544" t="s">
        <v>494</v>
      </c>
      <c r="Q1544" t="s">
        <v>3374</v>
      </c>
      <c r="R1544" s="52">
        <f>_xlfn.NUMBERVALUE(convertNumberStringPointToNumberComma(LEFT(Q1544,FIND("x",Q1544)-2)))</f>
        <v>88.2</v>
      </c>
      <c r="S1544" s="52">
        <f>_xlfn.NUMBERVALUE(convertNumberStringPointToNumberComma(LEFT(RIGHT(Q1544,LEN(Q1544)-FIND("x",Q1544)-1),LEN(RIGHT(Q1544,LEN(Q1544)-FIND("x",Q1544)-1))-2)))</f>
        <v>116.9</v>
      </c>
    </row>
    <row r="1545" spans="1:19" x14ac:dyDescent="0.25">
      <c r="A1545" t="s">
        <v>2561</v>
      </c>
      <c r="B1545" t="s">
        <v>919</v>
      </c>
      <c r="E1545" t="s">
        <v>2632</v>
      </c>
      <c r="H1545" t="s">
        <v>21</v>
      </c>
      <c r="L1545" t="s">
        <v>2698</v>
      </c>
      <c r="M1545" t="s">
        <v>2682</v>
      </c>
      <c r="N1545" t="s">
        <v>913</v>
      </c>
      <c r="O1545" t="s">
        <v>494</v>
      </c>
      <c r="Q1545" t="s">
        <v>3374</v>
      </c>
      <c r="R1545" s="52">
        <f>_xlfn.NUMBERVALUE(convertNumberStringPointToNumberComma(LEFT(Q1545,FIND("x",Q1545)-2)))</f>
        <v>88.2</v>
      </c>
      <c r="S1545" s="52">
        <f>_xlfn.NUMBERVALUE(convertNumberStringPointToNumberComma(LEFT(RIGHT(Q1545,LEN(Q1545)-FIND("x",Q1545)-1),LEN(RIGHT(Q1545,LEN(Q1545)-FIND("x",Q1545)-1))-2)))</f>
        <v>116.9</v>
      </c>
    </row>
    <row r="1546" spans="1:19" x14ac:dyDescent="0.25">
      <c r="A1546" t="s">
        <v>950</v>
      </c>
      <c r="B1546" t="s">
        <v>919</v>
      </c>
      <c r="C1546" s="5">
        <f>convertNumberStringPointToNumberComma(IFERROR(LEFT(B1546,(FIND("-",B1546)-1)),LEFT(B1546,FIND("mm",B1546)-1)))</f>
        <v>24</v>
      </c>
      <c r="D1546" s="5">
        <f>convertNumberStringPointToNumberComma(IFERROR(RIGHT(LEFT(B1546,FIND("m",B1546)-1),LEN(LEFT(B1546,FIND("m",B1546)-1))-FIND("-",LEFT(B1546,FIND("m",B1546)-1))-1),C1546))</f>
        <v>0</v>
      </c>
      <c r="E1546" t="s">
        <v>2632</v>
      </c>
      <c r="F1546" s="9">
        <f>convertNumberStringPointToNumberComma(LEFT(MID(E1546,3,9),IFERROR(FIND("-",MID(E1546,3,9))-2,3)))</f>
        <v>2.8</v>
      </c>
      <c r="G1546" s="9">
        <f>convertNumberStringPointToNumberComma(RIGHT(E1546,IF(ISERROR(FIND(".",RIGHT(E1546,3))),1,3)))</f>
        <v>2.8</v>
      </c>
      <c r="H1546" t="s">
        <v>21</v>
      </c>
      <c r="I1546" s="5" t="str">
        <f>IF(H1546="none",0,LEFT(H1546,LEN(H1546)-2))</f>
        <v>82</v>
      </c>
      <c r="J1546" s="5" t="s">
        <v>40</v>
      </c>
      <c r="K1546" s="10">
        <f>IF(J1546="",0,convertNumberStringPointToNumberComma(LEFT(J1546,LEN(J1546)-1)))</f>
        <v>0.2</v>
      </c>
      <c r="L1546" t="s">
        <v>2698</v>
      </c>
      <c r="M1546" t="s">
        <v>8</v>
      </c>
      <c r="N1546" t="s">
        <v>913</v>
      </c>
      <c r="O1546" t="s">
        <v>480</v>
      </c>
      <c r="P1546" s="5" t="str">
        <f>LEFT(O1546,LEN(O1546)-1)</f>
        <v>900</v>
      </c>
      <c r="Q1546" t="s">
        <v>3219</v>
      </c>
      <c r="R1546" s="52">
        <f>_xlfn.NUMBERVALUE(convertNumberStringPointToNumberComma(LEFT(Q1546,FIND("x",Q1546)-2)))</f>
        <v>88.4</v>
      </c>
      <c r="S1546" s="52">
        <f>_xlfn.NUMBERVALUE(convertNumberStringPointToNumberComma(LEFT(RIGHT(Q1546,LEN(Q1546)-FIND("x",Q1546)-1),LEN(RIGHT(Q1546,LEN(Q1546)-FIND("x",Q1546)-1))-2)))</f>
        <v>108.5</v>
      </c>
    </row>
    <row r="1547" spans="1:19" x14ac:dyDescent="0.25">
      <c r="A1547" t="s">
        <v>1002</v>
      </c>
      <c r="B1547" t="s">
        <v>919</v>
      </c>
      <c r="C1547" s="5">
        <f>convertNumberStringPointToNumberComma(IFERROR(LEFT(B1547,(FIND("-",B1547)-1)),LEFT(B1547,FIND("mm",B1547)-1)))</f>
        <v>24</v>
      </c>
      <c r="D1547" s="5">
        <f>convertNumberStringPointToNumberComma(IFERROR(RIGHT(LEFT(B1547,FIND("m",B1547)-1),LEN(LEFT(B1547,FIND("m",B1547)-1))-FIND("-",LEFT(B1547,FIND("m",B1547)-1))-1),C1547))</f>
        <v>0</v>
      </c>
      <c r="E1547" t="s">
        <v>2632</v>
      </c>
      <c r="F1547" s="9">
        <f>convertNumberStringPointToNumberComma(LEFT(MID(E1547,3,9),IFERROR(FIND("-",MID(E1547,3,9))-2,3)))</f>
        <v>2.8</v>
      </c>
      <c r="G1547" s="9">
        <f>convertNumberStringPointToNumberComma(RIGHT(E1547,IF(ISERROR(FIND(".",RIGHT(E1547,3))),1,3)))</f>
        <v>2.8</v>
      </c>
      <c r="H1547" t="s">
        <v>21</v>
      </c>
      <c r="I1547" s="5" t="str">
        <f>IF(H1547="none",0,LEFT(H1547,LEN(H1547)-2))</f>
        <v>82</v>
      </c>
      <c r="J1547" s="5" t="s">
        <v>326</v>
      </c>
      <c r="K1547" s="10">
        <f>IF(J1547="",0,convertNumberStringPointToNumberComma(LEFT(J1547,LEN(J1547)-1)))</f>
        <v>0.33</v>
      </c>
      <c r="L1547" t="s">
        <v>2698</v>
      </c>
      <c r="M1547" t="s">
        <v>2682</v>
      </c>
      <c r="N1547" t="s">
        <v>913</v>
      </c>
      <c r="O1547" t="s">
        <v>2742</v>
      </c>
      <c r="P1547" s="5" t="str">
        <f>LEFT(O1547,LEN(O1547)-1)</f>
        <v>905</v>
      </c>
      <c r="Q1547" t="s">
        <v>3254</v>
      </c>
      <c r="R1547" s="52">
        <f>_xlfn.NUMBERVALUE(convertNumberStringPointToNumberComma(LEFT(Q1547,FIND("x",Q1547)-2)))</f>
        <v>88.4</v>
      </c>
      <c r="S1547" s="52">
        <f>_xlfn.NUMBERVALUE(convertNumberStringPointToNumberComma(LEFT(RIGHT(Q1547,LEN(Q1547)-FIND("x",Q1547)-1),LEN(RIGHT(Q1547,LEN(Q1547)-FIND("x",Q1547)-1))-2)))</f>
        <v>111</v>
      </c>
    </row>
    <row r="1548" spans="1:19" x14ac:dyDescent="0.25">
      <c r="A1548" t="s">
        <v>2506</v>
      </c>
      <c r="B1548" t="s">
        <v>505</v>
      </c>
      <c r="E1548" t="s">
        <v>2649</v>
      </c>
      <c r="H1548" t="s">
        <v>21</v>
      </c>
      <c r="L1548" t="s">
        <v>2743</v>
      </c>
      <c r="M1548" t="s">
        <v>2682</v>
      </c>
      <c r="N1548" t="s">
        <v>913</v>
      </c>
      <c r="O1548" t="s">
        <v>650</v>
      </c>
      <c r="Q1548" t="s">
        <v>4024</v>
      </c>
      <c r="R1548" s="52">
        <f>_xlfn.NUMBERVALUE(convertNumberStringPointToNumberComma(LEFT(Q1548,FIND("x",Q1548)-2)))</f>
        <v>88.5</v>
      </c>
      <c r="S1548" s="52">
        <f>_xlfn.NUMBERVALUE(convertNumberStringPointToNumberComma(LEFT(RIGHT(Q1548,LEN(Q1548)-FIND("x",Q1548)-1),LEN(RIGHT(Q1548,LEN(Q1548)-FIND("x",Q1548)-1))-2)))</f>
        <v>106.9</v>
      </c>
    </row>
    <row r="1549" spans="1:19" x14ac:dyDescent="0.25">
      <c r="A1549" t="s">
        <v>1426</v>
      </c>
      <c r="B1549" t="s">
        <v>919</v>
      </c>
      <c r="E1549" t="s">
        <v>2632</v>
      </c>
      <c r="H1549" t="s">
        <v>21</v>
      </c>
      <c r="L1549" t="s">
        <v>2698</v>
      </c>
      <c r="M1549" t="s">
        <v>2802</v>
      </c>
      <c r="N1549" t="s">
        <v>913</v>
      </c>
      <c r="O1549" t="s">
        <v>2902</v>
      </c>
      <c r="Q1549" t="s">
        <v>3494</v>
      </c>
      <c r="R1549" s="52">
        <f>_xlfn.NUMBERVALUE(convertNumberStringPointToNumberComma(LEFT(Q1549,FIND("x",Q1549)-2)))</f>
        <v>88.5</v>
      </c>
      <c r="S1549" s="52">
        <f>_xlfn.NUMBERVALUE(convertNumberStringPointToNumberComma(LEFT(RIGHT(Q1549,LEN(Q1549)-FIND("x",Q1549)-1),LEN(RIGHT(Q1549,LEN(Q1549)-FIND("x",Q1549)-1))-2)))</f>
        <v>109.5</v>
      </c>
    </row>
    <row r="1550" spans="1:19" x14ac:dyDescent="0.25">
      <c r="A1550" t="s">
        <v>2539</v>
      </c>
      <c r="B1550" t="s">
        <v>916</v>
      </c>
      <c r="E1550" t="s">
        <v>2632</v>
      </c>
      <c r="H1550" t="s">
        <v>21</v>
      </c>
      <c r="L1550" t="s">
        <v>2832</v>
      </c>
      <c r="M1550" t="s">
        <v>2682</v>
      </c>
      <c r="N1550" t="s">
        <v>913</v>
      </c>
      <c r="O1550" t="s">
        <v>834</v>
      </c>
      <c r="Q1550" t="s">
        <v>4041</v>
      </c>
      <c r="R1550" s="52">
        <f>_xlfn.NUMBERVALUE(convertNumberStringPointToNumberComma(LEFT(Q1550,FIND("x",Q1550)-2)))</f>
        <v>88.5</v>
      </c>
      <c r="S1550" s="52">
        <f>_xlfn.NUMBERVALUE(convertNumberStringPointToNumberComma(LEFT(RIGHT(Q1550,LEN(Q1550)-FIND("x",Q1550)-1),LEN(RIGHT(Q1550,LEN(Q1550)-FIND("x",Q1550)-1))-2)))</f>
        <v>111.6</v>
      </c>
    </row>
    <row r="1551" spans="1:19" x14ac:dyDescent="0.25">
      <c r="A1551" t="s">
        <v>922</v>
      </c>
      <c r="B1551" t="s">
        <v>919</v>
      </c>
      <c r="C1551" s="5">
        <f>convertNumberStringPointToNumberComma(IFERROR(LEFT(B1551,(FIND("-",B1551)-1)),LEFT(B1551,FIND("mm",B1551)-1)))</f>
        <v>24</v>
      </c>
      <c r="D1551" s="5">
        <f>convertNumberStringPointToNumberComma(IFERROR(RIGHT(LEFT(B1551,FIND("m",B1551)-1),LEN(LEFT(B1551,FIND("m",B1551)-1))-FIND("-",LEFT(B1551,FIND("m",B1551)-1))-1),C1551))</f>
        <v>0</v>
      </c>
      <c r="E1551" t="s">
        <v>2632</v>
      </c>
      <c r="F1551" s="9">
        <f>convertNumberStringPointToNumberComma(LEFT(MID(E1551,3,9),IFERROR(FIND("-",MID(E1551,3,9))-2,3)))</f>
        <v>2.8</v>
      </c>
      <c r="G1551" s="9">
        <f>convertNumberStringPointToNumberComma(RIGHT(E1551,IF(ISERROR(FIND(".",RIGHT(E1551,3))),1,3)))</f>
        <v>2.8</v>
      </c>
      <c r="H1551" t="s">
        <v>21</v>
      </c>
      <c r="I1551" s="5" t="str">
        <f>IF(H1551="none",0,LEFT(H1551,LEN(H1551)-2))</f>
        <v>82</v>
      </c>
      <c r="J1551" s="5"/>
      <c r="K1551" s="10">
        <f>IF(J1551="",0,convertNumberStringPointToNumberComma(LEFT(J1551,LEN(J1551)-1)))</f>
        <v>0</v>
      </c>
      <c r="L1551" t="s">
        <v>2679</v>
      </c>
      <c r="M1551" t="s">
        <v>2682</v>
      </c>
      <c r="N1551" t="s">
        <v>913</v>
      </c>
      <c r="O1551" t="s">
        <v>2683</v>
      </c>
      <c r="P1551" s="5" t="str">
        <f>LEFT(O1551,LEN(O1551)-1)</f>
        <v>805</v>
      </c>
      <c r="Q1551" t="s">
        <v>3201</v>
      </c>
      <c r="R1551" s="52">
        <f>_xlfn.NUMBERVALUE(convertNumberStringPointToNumberComma(LEFT(Q1551,FIND("x",Q1551)-2)))</f>
        <v>88.5</v>
      </c>
      <c r="S1551" s="52">
        <f>_xlfn.NUMBERVALUE(convertNumberStringPointToNumberComma(LEFT(RIGHT(Q1551,LEN(Q1551)-FIND("x",Q1551)-1),LEN(RIGHT(Q1551,LEN(Q1551)-FIND("x",Q1551)-1))-2)))</f>
        <v>113</v>
      </c>
    </row>
    <row r="1552" spans="1:19" x14ac:dyDescent="0.25">
      <c r="A1552" t="s">
        <v>915</v>
      </c>
      <c r="B1552" t="s">
        <v>916</v>
      </c>
      <c r="C1552" s="5">
        <f>convertNumberStringPointToNumberComma(IFERROR(LEFT(B1552,(FIND("-",B1552)-1)),LEFT(B1552,FIND("mm",B1552)-1)))</f>
        <v>16</v>
      </c>
      <c r="D1552" s="5">
        <f>convertNumberStringPointToNumberComma(IFERROR(RIGHT(LEFT(B1552,FIND("m",B1552)-1),LEN(LEFT(B1552,FIND("m",B1552)-1))-FIND("-",LEFT(B1552,FIND("m",B1552)-1))-1),C1552))</f>
        <v>5</v>
      </c>
      <c r="E1552" t="s">
        <v>2632</v>
      </c>
      <c r="F1552" s="9">
        <f>convertNumberStringPointToNumberComma(LEFT(MID(E1552,3,9),IFERROR(FIND("-",MID(E1552,3,9))-2,3)))</f>
        <v>2.8</v>
      </c>
      <c r="G1552" s="9">
        <f>convertNumberStringPointToNumberComma(RIGHT(E1552,IF(ISERROR(FIND(".",RIGHT(E1552,3))),1,3)))</f>
        <v>2.8</v>
      </c>
      <c r="H1552" t="s">
        <v>21</v>
      </c>
      <c r="I1552" s="5" t="str">
        <f>IF(H1552="none",0,LEFT(H1552,LEN(H1552)-2))</f>
        <v>82</v>
      </c>
      <c r="J1552" s="5" t="s">
        <v>118</v>
      </c>
      <c r="K1552" s="10">
        <f>IF(J1552="",0,convertNumberStringPointToNumberComma(LEFT(J1552,LEN(J1552)-1)))</f>
        <v>0.16</v>
      </c>
      <c r="L1552" t="s">
        <v>2673</v>
      </c>
      <c r="M1552" t="s">
        <v>2674</v>
      </c>
      <c r="N1552" t="s">
        <v>913</v>
      </c>
      <c r="O1552" t="s">
        <v>242</v>
      </c>
      <c r="P1552" s="5" t="str">
        <f>LEFT(O1552,LEN(O1552)-1)</f>
        <v>680</v>
      </c>
      <c r="Q1552" t="s">
        <v>3197</v>
      </c>
      <c r="R1552" s="52">
        <f>_xlfn.NUMBERVALUE(convertNumberStringPointToNumberComma(LEFT(Q1552,FIND("x",Q1552)-2)))</f>
        <v>88.5</v>
      </c>
      <c r="S1552" s="52">
        <f>_xlfn.NUMBERVALUE(convertNumberStringPointToNumberComma(LEFT(RIGHT(Q1552,LEN(Q1552)-FIND("x",Q1552)-1),LEN(RIGHT(Q1552,LEN(Q1552)-FIND("x",Q1552)-1))-2)))</f>
        <v>121.6</v>
      </c>
    </row>
    <row r="1553" spans="1:19" x14ac:dyDescent="0.25">
      <c r="A1553" t="s">
        <v>1038</v>
      </c>
      <c r="B1553" t="s">
        <v>916</v>
      </c>
      <c r="C1553" s="5">
        <f>convertNumberStringPointToNumberComma(IFERROR(LEFT(B1553,(FIND("-",B1553)-1)),LEFT(B1553,FIND("mm",B1553)-1)))</f>
        <v>16</v>
      </c>
      <c r="D1553" s="5">
        <f>convertNumberStringPointToNumberComma(IFERROR(RIGHT(LEFT(B1553,FIND("m",B1553)-1),LEN(LEFT(B1553,FIND("m",B1553)-1))-FIND("-",LEFT(B1553,FIND("m",B1553)-1))-1),C1553))</f>
        <v>5</v>
      </c>
      <c r="E1553" t="s">
        <v>2632</v>
      </c>
      <c r="F1553" s="9">
        <f>convertNumberStringPointToNumberComma(LEFT(MID(E1553,3,9),IFERROR(FIND("-",MID(E1553,3,9))-2,3)))</f>
        <v>2.8</v>
      </c>
      <c r="G1553" s="9">
        <f>convertNumberStringPointToNumberComma(RIGHT(E1553,IF(ISERROR(FIND(".",RIGHT(E1553,3))),1,3)))</f>
        <v>2.8</v>
      </c>
      <c r="H1553" t="s">
        <v>21</v>
      </c>
      <c r="I1553" s="5" t="str">
        <f>IF(H1553="none",0,LEFT(H1553,LEN(H1553)-2))</f>
        <v>82</v>
      </c>
      <c r="J1553" s="5" t="s">
        <v>158</v>
      </c>
      <c r="K1553" s="10">
        <f>IF(J1553="",0,convertNumberStringPointToNumberComma(LEFT(J1553,LEN(J1553)-1)))</f>
        <v>0.23</v>
      </c>
      <c r="L1553" t="s">
        <v>2728</v>
      </c>
      <c r="M1553" t="s">
        <v>2682</v>
      </c>
      <c r="N1553" t="s">
        <v>913</v>
      </c>
      <c r="O1553" t="s">
        <v>85</v>
      </c>
      <c r="P1553" s="5" t="str">
        <f>LEFT(O1553,LEN(O1553)-1)</f>
        <v>790</v>
      </c>
      <c r="Q1553" t="s">
        <v>3278</v>
      </c>
      <c r="R1553" s="52">
        <f>_xlfn.NUMBERVALUE(convertNumberStringPointToNumberComma(LEFT(Q1553,FIND("x",Q1553)-2)))</f>
        <v>88.5</v>
      </c>
      <c r="S1553" s="52">
        <f>_xlfn.NUMBERVALUE(convertNumberStringPointToNumberComma(LEFT(RIGHT(Q1553,LEN(Q1553)-FIND("x",Q1553)-1),LEN(RIGHT(Q1553,LEN(Q1553)-FIND("x",Q1553)-1))-2)))</f>
        <v>127.5</v>
      </c>
    </row>
    <row r="1554" spans="1:19" x14ac:dyDescent="0.25">
      <c r="A1554" t="s">
        <v>935</v>
      </c>
      <c r="B1554" t="s">
        <v>933</v>
      </c>
      <c r="C1554" s="5">
        <f>convertNumberStringPointToNumberComma(IFERROR(LEFT(B1554,(FIND("-",B1554)-1)),LEFT(B1554,FIND("mm",B1554)-1)))</f>
        <v>70</v>
      </c>
      <c r="D1554" s="5">
        <f>convertNumberStringPointToNumberComma(IFERROR(RIGHT(LEFT(B1554,FIND("m",B1554)-1),LEN(LEFT(B1554,FIND("m",B1554)-1))-FIND("-",LEFT(B1554,FIND("m",B1554)-1))-1),C1554))</f>
        <v>0</v>
      </c>
      <c r="E1554" t="s">
        <v>2632</v>
      </c>
      <c r="F1554" s="9">
        <f>convertNumberStringPointToNumberComma(LEFT(MID(E1554,3,9),IFERROR(FIND("-",MID(E1554,3,9))-2,3)))</f>
        <v>2.8</v>
      </c>
      <c r="G1554" s="9">
        <f>convertNumberStringPointToNumberComma(RIGHT(E1554,IF(ISERROR(FIND(".",RIGHT(E1554,3))),1,3)))</f>
        <v>2.8</v>
      </c>
      <c r="H1554" t="s">
        <v>27</v>
      </c>
      <c r="I1554" s="5" t="str">
        <f>IF(H1554="none",0,LEFT(H1554,LEN(H1554)-2))</f>
        <v>77</v>
      </c>
      <c r="J1554" s="5" t="s">
        <v>99</v>
      </c>
      <c r="K1554" s="10">
        <f>IF(J1554="",0,convertNumberStringPointToNumberComma(LEFT(J1554,LEN(J1554)-1)))</f>
        <v>0.3</v>
      </c>
      <c r="L1554" t="s">
        <v>2695</v>
      </c>
      <c r="M1554" t="s">
        <v>8</v>
      </c>
      <c r="N1554" t="s">
        <v>913</v>
      </c>
      <c r="O1554" t="s">
        <v>2696</v>
      </c>
      <c r="P1554" s="5" t="str">
        <f>LEFT(O1554,LEN(O1554)-1)</f>
        <v>1.43k</v>
      </c>
      <c r="Q1554" t="s">
        <v>3209</v>
      </c>
      <c r="R1554" s="52">
        <f>_xlfn.NUMBERVALUE(convertNumberStringPointToNumberComma(LEFT(Q1554,FIND("x",Q1554)-2)))</f>
        <v>88.5</v>
      </c>
      <c r="S1554" s="52">
        <f>_xlfn.NUMBERVALUE(convertNumberStringPointToNumberComma(LEFT(RIGHT(Q1554,LEN(Q1554)-FIND("x",Q1554)-1),LEN(RIGHT(Q1554,LEN(Q1554)-FIND("x",Q1554)-1))-2)))</f>
        <v>202.5</v>
      </c>
    </row>
    <row r="1555" spans="1:19" x14ac:dyDescent="0.25">
      <c r="A1555" t="s">
        <v>2510</v>
      </c>
      <c r="B1555" t="s">
        <v>933</v>
      </c>
      <c r="E1555" t="s">
        <v>2632</v>
      </c>
      <c r="H1555" t="s">
        <v>27</v>
      </c>
      <c r="L1555" t="s">
        <v>2695</v>
      </c>
      <c r="M1555" t="s">
        <v>8</v>
      </c>
      <c r="N1555" t="s">
        <v>913</v>
      </c>
      <c r="O1555" t="s">
        <v>2696</v>
      </c>
      <c r="Q1555" t="s">
        <v>3209</v>
      </c>
      <c r="R1555" s="52">
        <f>_xlfn.NUMBERVALUE(convertNumberStringPointToNumberComma(LEFT(Q1555,FIND("x",Q1555)-2)))</f>
        <v>88.5</v>
      </c>
      <c r="S1555" s="52">
        <f>_xlfn.NUMBERVALUE(convertNumberStringPointToNumberComma(LEFT(RIGHT(Q1555,LEN(Q1555)-FIND("x",Q1555)-1),LEN(RIGHT(Q1555,LEN(Q1555)-FIND("x",Q1555)-1))-2)))</f>
        <v>202.5</v>
      </c>
    </row>
    <row r="1556" spans="1:19" x14ac:dyDescent="0.25">
      <c r="A1556" t="s">
        <v>1373</v>
      </c>
      <c r="B1556" t="s">
        <v>957</v>
      </c>
      <c r="E1556" t="s">
        <v>2633</v>
      </c>
      <c r="H1556" t="s">
        <v>21</v>
      </c>
      <c r="L1556" t="s">
        <v>2868</v>
      </c>
      <c r="M1556" t="s">
        <v>2793</v>
      </c>
      <c r="N1556" t="s">
        <v>913</v>
      </c>
      <c r="O1556" t="s">
        <v>414</v>
      </c>
      <c r="Q1556" t="s">
        <v>3456</v>
      </c>
      <c r="R1556" s="52">
        <f>_xlfn.NUMBERVALUE(convertNumberStringPointToNumberComma(LEFT(Q1556,FIND("x",Q1556)-2)))</f>
        <v>88.6</v>
      </c>
      <c r="S1556" s="52">
        <f>_xlfn.NUMBERVALUE(convertNumberStringPointToNumberComma(LEFT(RIGHT(Q1556,LEN(Q1556)-FIND("x",Q1556)-1),LEN(RIGHT(Q1556,LEN(Q1556)-FIND("x",Q1556)-1))-2)))</f>
        <v>109.4</v>
      </c>
    </row>
    <row r="1557" spans="1:19" x14ac:dyDescent="0.25">
      <c r="A1557" t="s">
        <v>2356</v>
      </c>
      <c r="B1557" t="s">
        <v>957</v>
      </c>
      <c r="E1557" t="s">
        <v>2633</v>
      </c>
      <c r="H1557" t="s">
        <v>21</v>
      </c>
      <c r="L1557" t="s">
        <v>2868</v>
      </c>
      <c r="M1557" t="s">
        <v>2757</v>
      </c>
      <c r="N1557" t="s">
        <v>913</v>
      </c>
      <c r="O1557" t="s">
        <v>414</v>
      </c>
      <c r="Q1557" t="s">
        <v>3456</v>
      </c>
      <c r="R1557" s="52">
        <f>_xlfn.NUMBERVALUE(convertNumberStringPointToNumberComma(LEFT(Q1557,FIND("x",Q1557)-2)))</f>
        <v>88.6</v>
      </c>
      <c r="S1557" s="52">
        <f>_xlfn.NUMBERVALUE(convertNumberStringPointToNumberComma(LEFT(RIGHT(Q1557,LEN(Q1557)-FIND("x",Q1557)-1),LEN(RIGHT(Q1557,LEN(Q1557)-FIND("x",Q1557)-1))-2)))</f>
        <v>109.4</v>
      </c>
    </row>
    <row r="1558" spans="1:19" x14ac:dyDescent="0.25">
      <c r="A1558" t="s">
        <v>2499</v>
      </c>
      <c r="B1558" t="s">
        <v>957</v>
      </c>
      <c r="E1558" t="s">
        <v>2633</v>
      </c>
      <c r="H1558" t="s">
        <v>21</v>
      </c>
      <c r="L1558" t="s">
        <v>2868</v>
      </c>
      <c r="M1558" t="s">
        <v>2682</v>
      </c>
      <c r="N1558" t="s">
        <v>913</v>
      </c>
      <c r="O1558" t="s">
        <v>414</v>
      </c>
      <c r="Q1558" t="s">
        <v>3456</v>
      </c>
      <c r="R1558" s="52">
        <f>_xlfn.NUMBERVALUE(convertNumberStringPointToNumberComma(LEFT(Q1558,FIND("x",Q1558)-2)))</f>
        <v>88.6</v>
      </c>
      <c r="S1558" s="52">
        <f>_xlfn.NUMBERVALUE(convertNumberStringPointToNumberComma(LEFT(RIGHT(Q1558,LEN(Q1558)-FIND("x",Q1558)-1),LEN(RIGHT(Q1558,LEN(Q1558)-FIND("x",Q1558)-1))-2)))</f>
        <v>109.4</v>
      </c>
    </row>
    <row r="1559" spans="1:19" x14ac:dyDescent="0.25">
      <c r="A1559" t="s">
        <v>2600</v>
      </c>
      <c r="B1559" t="s">
        <v>957</v>
      </c>
      <c r="E1559" t="s">
        <v>2633</v>
      </c>
      <c r="H1559" t="s">
        <v>21</v>
      </c>
      <c r="L1559" t="s">
        <v>2868</v>
      </c>
      <c r="M1559" t="s">
        <v>8</v>
      </c>
      <c r="N1559" t="s">
        <v>913</v>
      </c>
      <c r="O1559" t="s">
        <v>414</v>
      </c>
      <c r="Q1559" t="s">
        <v>3456</v>
      </c>
      <c r="R1559" s="52">
        <f>_xlfn.NUMBERVALUE(convertNumberStringPointToNumberComma(LEFT(Q1559,FIND("x",Q1559)-2)))</f>
        <v>88.6</v>
      </c>
      <c r="S1559" s="52">
        <f>_xlfn.NUMBERVALUE(convertNumberStringPointToNumberComma(LEFT(RIGHT(Q1559,LEN(Q1559)-FIND("x",Q1559)-1),LEN(RIGHT(Q1559,LEN(Q1559)-FIND("x",Q1559)-1))-2)))</f>
        <v>109.4</v>
      </c>
    </row>
    <row r="1560" spans="1:19" x14ac:dyDescent="0.25">
      <c r="A1560" t="s">
        <v>1280</v>
      </c>
      <c r="B1560" t="s">
        <v>441</v>
      </c>
      <c r="E1560" t="s">
        <v>2635</v>
      </c>
      <c r="H1560" t="s">
        <v>21</v>
      </c>
      <c r="L1560" t="s">
        <v>2728</v>
      </c>
      <c r="M1560" t="s">
        <v>2682</v>
      </c>
      <c r="N1560" t="s">
        <v>913</v>
      </c>
      <c r="O1560" t="s">
        <v>562</v>
      </c>
      <c r="Q1560" t="s">
        <v>3408</v>
      </c>
      <c r="R1560" s="52">
        <f>_xlfn.NUMBERVALUE(convertNumberStringPointToNumberComma(LEFT(Q1560,FIND("x",Q1560)-2)))</f>
        <v>88.6</v>
      </c>
      <c r="S1560" s="52">
        <f>_xlfn.NUMBERVALUE(convertNumberStringPointToNumberComma(LEFT(RIGHT(Q1560,LEN(Q1560)-FIND("x",Q1560)-1),LEN(RIGHT(Q1560,LEN(Q1560)-FIND("x",Q1560)-1))-2)))</f>
        <v>87</v>
      </c>
    </row>
    <row r="1561" spans="1:19" x14ac:dyDescent="0.25">
      <c r="A1561" t="s">
        <v>1288</v>
      </c>
      <c r="B1561" t="s">
        <v>441</v>
      </c>
      <c r="E1561" t="s">
        <v>2635</v>
      </c>
      <c r="H1561" t="s">
        <v>21</v>
      </c>
      <c r="L1561" t="s">
        <v>2728</v>
      </c>
      <c r="M1561" t="s">
        <v>8</v>
      </c>
      <c r="N1561" t="s">
        <v>913</v>
      </c>
      <c r="O1561" t="s">
        <v>562</v>
      </c>
      <c r="Q1561" t="s">
        <v>3408</v>
      </c>
      <c r="R1561" s="52">
        <f>_xlfn.NUMBERVALUE(convertNumberStringPointToNumberComma(LEFT(Q1561,FIND("x",Q1561)-2)))</f>
        <v>88.6</v>
      </c>
      <c r="S1561" s="52">
        <f>_xlfn.NUMBERVALUE(convertNumberStringPointToNumberComma(LEFT(RIGHT(Q1561,LEN(Q1561)-FIND("x",Q1561)-1),LEN(RIGHT(Q1561,LEN(Q1561)-FIND("x",Q1561)-1))-2)))</f>
        <v>87</v>
      </c>
    </row>
    <row r="1562" spans="1:19" x14ac:dyDescent="0.25">
      <c r="A1562" t="s">
        <v>2097</v>
      </c>
      <c r="B1562" t="s">
        <v>441</v>
      </c>
      <c r="E1562" t="s">
        <v>2635</v>
      </c>
      <c r="H1562" t="s">
        <v>21</v>
      </c>
      <c r="L1562" t="s">
        <v>2728</v>
      </c>
      <c r="M1562" t="s">
        <v>2757</v>
      </c>
      <c r="N1562" t="s">
        <v>913</v>
      </c>
      <c r="O1562" t="s">
        <v>562</v>
      </c>
      <c r="Q1562" t="s">
        <v>3408</v>
      </c>
      <c r="R1562" s="52">
        <f>_xlfn.NUMBERVALUE(convertNumberStringPointToNumberComma(LEFT(Q1562,FIND("x",Q1562)-2)))</f>
        <v>88.6</v>
      </c>
      <c r="S1562" s="52">
        <f>_xlfn.NUMBERVALUE(convertNumberStringPointToNumberComma(LEFT(RIGHT(Q1562,LEN(Q1562)-FIND("x",Q1562)-1),LEN(RIGHT(Q1562,LEN(Q1562)-FIND("x",Q1562)-1))-2)))</f>
        <v>87</v>
      </c>
    </row>
    <row r="1563" spans="1:19" x14ac:dyDescent="0.25">
      <c r="A1563" t="s">
        <v>1483</v>
      </c>
      <c r="B1563" t="s">
        <v>919</v>
      </c>
      <c r="E1563" t="s">
        <v>2632</v>
      </c>
      <c r="H1563" t="s">
        <v>21</v>
      </c>
      <c r="L1563" t="s">
        <v>2732</v>
      </c>
      <c r="M1563" t="s">
        <v>8</v>
      </c>
      <c r="N1563" t="s">
        <v>913</v>
      </c>
      <c r="O1563" t="s">
        <v>85</v>
      </c>
      <c r="Q1563" t="s">
        <v>3516</v>
      </c>
      <c r="R1563" s="52">
        <f>_xlfn.NUMBERVALUE(convertNumberStringPointToNumberComma(LEFT(Q1563,FIND("x",Q1563)-2)))</f>
        <v>88.6</v>
      </c>
      <c r="S1563" s="52">
        <f>_xlfn.NUMBERVALUE(convertNumberStringPointToNumberComma(LEFT(RIGHT(Q1563,LEN(Q1563)-FIND("x",Q1563)-1),LEN(RIGHT(Q1563,LEN(Q1563)-FIND("x",Q1563)-1))-2)))</f>
        <v>94.7</v>
      </c>
    </row>
    <row r="1564" spans="1:19" x14ac:dyDescent="0.25">
      <c r="A1564" t="s">
        <v>1753</v>
      </c>
      <c r="B1564" t="s">
        <v>919</v>
      </c>
      <c r="E1564" t="s">
        <v>2632</v>
      </c>
      <c r="H1564" t="s">
        <v>21</v>
      </c>
      <c r="L1564" t="s">
        <v>2732</v>
      </c>
      <c r="M1564" t="s">
        <v>2757</v>
      </c>
      <c r="N1564" t="s">
        <v>913</v>
      </c>
      <c r="O1564" t="s">
        <v>85</v>
      </c>
      <c r="Q1564" t="s">
        <v>3516</v>
      </c>
      <c r="R1564" s="52">
        <f>_xlfn.NUMBERVALUE(convertNumberStringPointToNumberComma(LEFT(Q1564,FIND("x",Q1564)-2)))</f>
        <v>88.6</v>
      </c>
      <c r="S1564" s="52">
        <f>_xlfn.NUMBERVALUE(convertNumberStringPointToNumberComma(LEFT(RIGHT(Q1564,LEN(Q1564)-FIND("x",Q1564)-1),LEN(RIGHT(Q1564,LEN(Q1564)-FIND("x",Q1564)-1))-2)))</f>
        <v>94.7</v>
      </c>
    </row>
    <row r="1565" spans="1:19" x14ac:dyDescent="0.25">
      <c r="A1565" t="s">
        <v>932</v>
      </c>
      <c r="B1565" t="s">
        <v>933</v>
      </c>
      <c r="C1565" s="5">
        <f>convertNumberStringPointToNumberComma(IFERROR(LEFT(B1565,(FIND("-",B1565)-1)),LEFT(B1565,FIND("mm",B1565)-1)))</f>
        <v>70</v>
      </c>
      <c r="D1565" s="5">
        <f>convertNumberStringPointToNumberComma(IFERROR(RIGHT(LEFT(B1565,FIND("m",B1565)-1),LEN(LEFT(B1565,FIND("m",B1565)-1))-FIND("-",LEFT(B1565,FIND("m",B1565)-1))-1),C1565))</f>
        <v>0</v>
      </c>
      <c r="E1565" t="s">
        <v>2632</v>
      </c>
      <c r="F1565" s="9">
        <f>convertNumberStringPointToNumberComma(LEFT(MID(E1565,3,9),IFERROR(FIND("-",MID(E1565,3,9))-2,3)))</f>
        <v>2.8</v>
      </c>
      <c r="G1565" s="9">
        <f>convertNumberStringPointToNumberComma(RIGHT(E1565,IF(ISERROR(FIND(".",RIGHT(E1565,3))),1,3)))</f>
        <v>2.8</v>
      </c>
      <c r="H1565" t="s">
        <v>27</v>
      </c>
      <c r="I1565" s="5" t="str">
        <f>IF(H1565="none",0,LEFT(H1565,LEN(H1565)-2))</f>
        <v>77</v>
      </c>
      <c r="J1565" s="5" t="s">
        <v>36</v>
      </c>
      <c r="K1565" s="10">
        <f>IF(J1565="",0,convertNumberStringPointToNumberComma(LEFT(J1565,LEN(J1565)-1)))</f>
        <v>0.18</v>
      </c>
      <c r="L1565" t="s">
        <v>2679</v>
      </c>
      <c r="M1565" t="s">
        <v>2682</v>
      </c>
      <c r="N1565" t="s">
        <v>913</v>
      </c>
      <c r="O1565" t="s">
        <v>2694</v>
      </c>
      <c r="P1565" s="5" t="str">
        <f>LEFT(O1565,LEN(O1565)-1)</f>
        <v>1.49k</v>
      </c>
      <c r="Q1565" t="s">
        <v>3207</v>
      </c>
      <c r="R1565" s="52">
        <f>_xlfn.NUMBERVALUE(convertNumberStringPointToNumberComma(LEFT(Q1565,FIND("x",Q1565)-2)))</f>
        <v>88.8</v>
      </c>
      <c r="S1565" s="52">
        <f>_xlfn.NUMBERVALUE(convertNumberStringPointToNumberComma(LEFT(RIGHT(Q1565,LEN(Q1565)-FIND("x",Q1565)-1),LEN(RIGHT(Q1565,LEN(Q1565)-FIND("x",Q1565)-1))-2)))</f>
        <v>199</v>
      </c>
    </row>
    <row r="1566" spans="1:19" x14ac:dyDescent="0.25">
      <c r="A1566" t="s">
        <v>1577</v>
      </c>
      <c r="B1566" t="s">
        <v>1121</v>
      </c>
      <c r="E1566" t="s">
        <v>2633</v>
      </c>
      <c r="L1566" t="s">
        <v>2709</v>
      </c>
      <c r="M1566" t="s">
        <v>2682</v>
      </c>
      <c r="N1566" t="s">
        <v>913</v>
      </c>
      <c r="O1566" t="s">
        <v>226</v>
      </c>
      <c r="Q1566" t="s">
        <v>3567</v>
      </c>
      <c r="R1566" s="52">
        <f>_xlfn.NUMBERVALUE(convertNumberStringPointToNumberComma(LEFT(Q1566,FIND("x",Q1566)-2)))</f>
        <v>88.9</v>
      </c>
      <c r="S1566" s="52">
        <f>_xlfn.NUMBERVALUE(convertNumberStringPointToNumberComma(LEFT(RIGHT(Q1566,LEN(Q1566)-FIND("x",Q1566)-1),LEN(RIGHT(Q1566,LEN(Q1566)-FIND("x",Q1566)-1))-2)))</f>
        <v>106.7</v>
      </c>
    </row>
    <row r="1567" spans="1:19" x14ac:dyDescent="0.25">
      <c r="A1567" t="s">
        <v>2163</v>
      </c>
      <c r="B1567" t="s">
        <v>2164</v>
      </c>
      <c r="E1567" t="s">
        <v>2638</v>
      </c>
      <c r="H1567" t="s">
        <v>21</v>
      </c>
      <c r="L1567" t="s">
        <v>3089</v>
      </c>
      <c r="M1567" t="s">
        <v>8</v>
      </c>
      <c r="N1567" t="s">
        <v>903</v>
      </c>
      <c r="O1567" t="s">
        <v>88</v>
      </c>
      <c r="Q1567" t="s">
        <v>170</v>
      </c>
      <c r="R1567" s="52">
        <f>_xlfn.NUMBERVALUE(convertNumberStringPointToNumberComma(LEFT(Q1567,FIND("x",Q1567)-2)))</f>
        <v>89</v>
      </c>
      <c r="S1567" s="52">
        <f>_xlfn.NUMBERVALUE(convertNumberStringPointToNumberComma(LEFT(RIGHT(Q1567,LEN(Q1567)-FIND("x",Q1567)-1),LEN(RIGHT(Q1567,LEN(Q1567)-FIND("x",Q1567)-1))-2)))</f>
        <v>106</v>
      </c>
    </row>
    <row r="1568" spans="1:19" x14ac:dyDescent="0.25">
      <c r="A1568" t="s">
        <v>2165</v>
      </c>
      <c r="B1568" t="s">
        <v>2164</v>
      </c>
      <c r="E1568" t="s">
        <v>2638</v>
      </c>
      <c r="H1568" t="s">
        <v>21</v>
      </c>
      <c r="L1568" t="s">
        <v>3089</v>
      </c>
      <c r="M1568" t="s">
        <v>2708</v>
      </c>
      <c r="N1568" t="s">
        <v>903</v>
      </c>
      <c r="O1568" t="s">
        <v>88</v>
      </c>
      <c r="Q1568" t="s">
        <v>170</v>
      </c>
      <c r="R1568" s="52">
        <f>_xlfn.NUMBERVALUE(convertNumberStringPointToNumberComma(LEFT(Q1568,FIND("x",Q1568)-2)))</f>
        <v>89</v>
      </c>
      <c r="S1568" s="52">
        <f>_xlfn.NUMBERVALUE(convertNumberStringPointToNumberComma(LEFT(RIGHT(Q1568,LEN(Q1568)-FIND("x",Q1568)-1),LEN(RIGHT(Q1568,LEN(Q1568)-FIND("x",Q1568)-1))-2)))</f>
        <v>106</v>
      </c>
    </row>
    <row r="1569" spans="1:19" x14ac:dyDescent="0.25">
      <c r="A1569" t="s">
        <v>1574</v>
      </c>
      <c r="B1569" t="s">
        <v>148</v>
      </c>
      <c r="E1569" t="s">
        <v>2635</v>
      </c>
      <c r="H1569" t="s">
        <v>27</v>
      </c>
      <c r="L1569" t="s">
        <v>2728</v>
      </c>
      <c r="M1569" t="s">
        <v>2757</v>
      </c>
      <c r="N1569" t="s">
        <v>913</v>
      </c>
      <c r="O1569" t="s">
        <v>2942</v>
      </c>
      <c r="Q1569" t="s">
        <v>3564</v>
      </c>
      <c r="R1569" s="52">
        <f>_xlfn.NUMBERVALUE(convertNumberStringPointToNumberComma(LEFT(Q1569,FIND("x",Q1569)-2)))</f>
        <v>89</v>
      </c>
      <c r="S1569" s="52">
        <f>_xlfn.NUMBERVALUE(convertNumberStringPointToNumberComma(LEFT(RIGHT(Q1569,LEN(Q1569)-FIND("x",Q1569)-1),LEN(RIGHT(Q1569,LEN(Q1569)-FIND("x",Q1569)-1))-2)))</f>
        <v>115</v>
      </c>
    </row>
    <row r="1570" spans="1:19" x14ac:dyDescent="0.25">
      <c r="A1570" t="s">
        <v>2063</v>
      </c>
      <c r="B1570" t="s">
        <v>413</v>
      </c>
      <c r="E1570" t="s">
        <v>2633</v>
      </c>
      <c r="H1570" t="s">
        <v>2668</v>
      </c>
      <c r="L1570" t="s">
        <v>2830</v>
      </c>
      <c r="M1570" t="s">
        <v>8</v>
      </c>
      <c r="N1570" t="s">
        <v>913</v>
      </c>
      <c r="O1570" t="s">
        <v>414</v>
      </c>
      <c r="Q1570" t="s">
        <v>415</v>
      </c>
      <c r="R1570" s="52">
        <f>_xlfn.NUMBERVALUE(convertNumberStringPointToNumberComma(LEFT(Q1570,FIND("x",Q1570)-2)))</f>
        <v>89</v>
      </c>
      <c r="S1570" s="52">
        <f>_xlfn.NUMBERVALUE(convertNumberStringPointToNumberComma(LEFT(RIGHT(Q1570,LEN(Q1570)-FIND("x",Q1570)-1),LEN(RIGHT(Q1570,LEN(Q1570)-FIND("x",Q1570)-1))-2)))</f>
        <v>124</v>
      </c>
    </row>
    <row r="1571" spans="1:19" x14ac:dyDescent="0.25">
      <c r="A1571" t="s">
        <v>2468</v>
      </c>
      <c r="B1571" t="s">
        <v>927</v>
      </c>
      <c r="E1571" t="s">
        <v>2634</v>
      </c>
      <c r="H1571" t="s">
        <v>56</v>
      </c>
      <c r="L1571" t="s">
        <v>2679</v>
      </c>
      <c r="M1571" t="s">
        <v>2682</v>
      </c>
      <c r="N1571" t="s">
        <v>913</v>
      </c>
      <c r="O1571" t="s">
        <v>2942</v>
      </c>
      <c r="Q1571" t="s">
        <v>4011</v>
      </c>
      <c r="R1571" s="52">
        <f>_xlfn.NUMBERVALUE(convertNumberStringPointToNumberComma(LEFT(Q1571,FIND("x",Q1571)-2)))</f>
        <v>89</v>
      </c>
      <c r="S1571" s="52">
        <f>_xlfn.NUMBERVALUE(convertNumberStringPointToNumberComma(LEFT(RIGHT(Q1571,LEN(Q1571)-FIND("x",Q1571)-1),LEN(RIGHT(Q1571,LEN(Q1571)-FIND("x",Q1571)-1))-2)))</f>
        <v>143</v>
      </c>
    </row>
    <row r="1572" spans="1:19" x14ac:dyDescent="0.25">
      <c r="A1572" t="s">
        <v>1059</v>
      </c>
      <c r="B1572" t="s">
        <v>572</v>
      </c>
      <c r="C1572" s="5">
        <f>convertNumberStringPointToNumberComma(IFERROR(LEFT(B1572,(FIND("-",B1572)-1)),LEFT(B1572,FIND("mm",B1572)-1)))</f>
        <v>300</v>
      </c>
      <c r="D1572" s="5">
        <f>convertNumberStringPointToNumberComma(IFERROR(RIGHT(LEFT(B1572,FIND("m",B1572)-1),LEN(LEFT(B1572,FIND("m",B1572)-1))-FIND("-",LEFT(B1572,FIND("m",B1572)-1))-1),C1572))</f>
        <v>300</v>
      </c>
      <c r="E1572" t="s">
        <v>2633</v>
      </c>
      <c r="F1572" s="9">
        <f>convertNumberStringPointToNumberComma(LEFT(MID(E1572,3,9),IFERROR(FIND("-",MID(E1572,3,9))-2,3)))</f>
        <v>4</v>
      </c>
      <c r="G1572" s="9">
        <f>convertNumberStringPointToNumberComma(RIGHT(E1572,IF(ISERROR(FIND(".",RIGHT(E1572,3))),1,3)))</f>
        <v>4</v>
      </c>
      <c r="H1572" t="s">
        <v>27</v>
      </c>
      <c r="I1572" s="5" t="str">
        <f>IF(H1572="none",0,LEFT(H1572,LEN(H1572)-2))</f>
        <v>77</v>
      </c>
      <c r="J1572" s="5" t="s">
        <v>36</v>
      </c>
      <c r="K1572" s="10">
        <f>IF(J1572="",0,convertNumberStringPointToNumberComma(LEFT(J1572,LEN(J1572)-1)))</f>
        <v>0.18</v>
      </c>
      <c r="L1572" t="s">
        <v>2769</v>
      </c>
      <c r="M1572" t="s">
        <v>8</v>
      </c>
      <c r="N1572" t="s">
        <v>913</v>
      </c>
      <c r="O1572" t="s">
        <v>287</v>
      </c>
      <c r="P1572" s="5" t="str">
        <f>LEFT(O1572,LEN(O1572)-1)</f>
        <v>755</v>
      </c>
      <c r="Q1572" t="s">
        <v>3287</v>
      </c>
      <c r="R1572" s="52">
        <f>_xlfn.NUMBERVALUE(convertNumberStringPointToNumberComma(LEFT(Q1572,FIND("x",Q1572)-2)))</f>
        <v>89</v>
      </c>
      <c r="S1572" s="52">
        <f>_xlfn.NUMBERVALUE(convertNumberStringPointToNumberComma(LEFT(RIGHT(Q1572,LEN(Q1572)-FIND("x",Q1572)-1),LEN(RIGHT(Q1572,LEN(Q1572)-FIND("x",Q1572)-1))-2)))</f>
        <v>147.5</v>
      </c>
    </row>
    <row r="1573" spans="1:19" x14ac:dyDescent="0.25">
      <c r="A1573" t="s">
        <v>2132</v>
      </c>
      <c r="B1573" t="s">
        <v>2133</v>
      </c>
      <c r="E1573" t="s">
        <v>2632</v>
      </c>
      <c r="H1573" t="s">
        <v>21</v>
      </c>
      <c r="L1573" t="s">
        <v>3077</v>
      </c>
      <c r="M1573" t="s">
        <v>2708</v>
      </c>
      <c r="N1573" t="s">
        <v>903</v>
      </c>
      <c r="O1573" t="s">
        <v>111</v>
      </c>
      <c r="Q1573" t="s">
        <v>112</v>
      </c>
      <c r="R1573" s="52">
        <f>_xlfn.NUMBERVALUE(convertNumberStringPointToNumberComma(LEFT(Q1573,FIND("x",Q1573)-2)))</f>
        <v>89</v>
      </c>
      <c r="S1573" s="52">
        <f>_xlfn.NUMBERVALUE(convertNumberStringPointToNumberComma(LEFT(RIGHT(Q1573,LEN(Q1573)-FIND("x",Q1573)-1),LEN(RIGHT(Q1573,LEN(Q1573)-FIND("x",Q1573)-1))-2)))</f>
        <v>92</v>
      </c>
    </row>
    <row r="1574" spans="1:19" x14ac:dyDescent="0.25">
      <c r="A1574" t="s">
        <v>2514</v>
      </c>
      <c r="B1574" t="s">
        <v>2133</v>
      </c>
      <c r="E1574" t="s">
        <v>2632</v>
      </c>
      <c r="H1574" t="s">
        <v>21</v>
      </c>
      <c r="L1574" t="s">
        <v>3077</v>
      </c>
      <c r="M1574" t="s">
        <v>8</v>
      </c>
      <c r="N1574" t="s">
        <v>903</v>
      </c>
      <c r="O1574" t="s">
        <v>111</v>
      </c>
      <c r="Q1574" t="s">
        <v>112</v>
      </c>
      <c r="R1574" s="52">
        <f>_xlfn.NUMBERVALUE(convertNumberStringPointToNumberComma(LEFT(Q1574,FIND("x",Q1574)-2)))</f>
        <v>89</v>
      </c>
      <c r="S1574" s="52">
        <f>_xlfn.NUMBERVALUE(convertNumberStringPointToNumberComma(LEFT(RIGHT(Q1574,LEN(Q1574)-FIND("x",Q1574)-1),LEN(RIGHT(Q1574,LEN(Q1574)-FIND("x",Q1574)-1))-2)))</f>
        <v>92</v>
      </c>
    </row>
    <row r="1575" spans="1:19" x14ac:dyDescent="0.25">
      <c r="A1575" t="s">
        <v>2028</v>
      </c>
      <c r="B1575" t="s">
        <v>1273</v>
      </c>
      <c r="E1575" t="s">
        <v>2633</v>
      </c>
      <c r="L1575" t="s">
        <v>3058</v>
      </c>
      <c r="M1575" t="s">
        <v>8</v>
      </c>
      <c r="N1575" t="s">
        <v>913</v>
      </c>
      <c r="O1575" t="s">
        <v>123</v>
      </c>
      <c r="Q1575" t="s">
        <v>3802</v>
      </c>
      <c r="R1575" s="52">
        <f>_xlfn.NUMBERVALUE(convertNumberStringPointToNumberComma(LEFT(Q1575,FIND("x",Q1575)-2)))</f>
        <v>89</v>
      </c>
      <c r="S1575" s="52">
        <f>_xlfn.NUMBERVALUE(convertNumberStringPointToNumberComma(LEFT(RIGHT(Q1575,LEN(Q1575)-FIND("x",Q1575)-1),LEN(RIGHT(Q1575,LEN(Q1575)-FIND("x",Q1575)-1))-2)))</f>
        <v>94</v>
      </c>
    </row>
    <row r="1576" spans="1:19" x14ac:dyDescent="0.25">
      <c r="A1576" t="s">
        <v>2435</v>
      </c>
      <c r="B1576" t="s">
        <v>822</v>
      </c>
      <c r="E1576" t="s">
        <v>2643</v>
      </c>
      <c r="H1576" t="s">
        <v>27</v>
      </c>
      <c r="L1576" t="s">
        <v>2753</v>
      </c>
      <c r="M1576" t="s">
        <v>2674</v>
      </c>
      <c r="N1576" t="s">
        <v>913</v>
      </c>
      <c r="O1576" t="s">
        <v>226</v>
      </c>
      <c r="Q1576" t="s">
        <v>3994</v>
      </c>
      <c r="R1576" s="52">
        <f>_xlfn.NUMBERVALUE(convertNumberStringPointToNumberComma(LEFT(Q1576,FIND("x",Q1576)-2)))</f>
        <v>89.5</v>
      </c>
      <c r="S1576" s="52">
        <f>_xlfn.NUMBERVALUE(convertNumberStringPointToNumberComma(LEFT(RIGHT(Q1576,LEN(Q1576)-FIND("x",Q1576)-1),LEN(RIGHT(Q1576,LEN(Q1576)-FIND("x",Q1576)-1))-2)))</f>
        <v>107.5</v>
      </c>
    </row>
    <row r="1577" spans="1:19" x14ac:dyDescent="0.25">
      <c r="A1577" t="s">
        <v>1237</v>
      </c>
      <c r="B1577" t="s">
        <v>933</v>
      </c>
      <c r="C1577" s="5">
        <f>convertNumberStringPointToNumberComma(IFERROR(LEFT(B1577,(FIND("-",B1577)-1)),LEFT(B1577,FIND("mm",B1577)-1)))</f>
        <v>70</v>
      </c>
      <c r="D1577" s="5">
        <f>convertNumberStringPointToNumberComma(IFERROR(RIGHT(LEFT(B1577,FIND("m",B1577)-1),LEN(LEFT(B1577,FIND("m",B1577)-1))-FIND("-",LEFT(B1577,FIND("m",B1577)-1))-1),C1577))</f>
        <v>0</v>
      </c>
      <c r="E1577" t="s">
        <v>2632</v>
      </c>
      <c r="F1577" s="9">
        <f>convertNumberStringPointToNumberComma(LEFT(MID(E1577,3,9),IFERROR(FIND("-",MID(E1577,3,9))-2,3)))</f>
        <v>2.8</v>
      </c>
      <c r="G1577" s="9">
        <f>convertNumberStringPointToNumberComma(RIGHT(E1577,IF(ISERROR(FIND(".",RIGHT(E1577,3))),1,3)))</f>
        <v>2.8</v>
      </c>
      <c r="H1577" t="s">
        <v>27</v>
      </c>
      <c r="I1577" s="5" t="str">
        <f>IF(H1577="none",0,LEFT(H1577,LEN(H1577)-2))</f>
        <v>77</v>
      </c>
      <c r="J1577" s="5" t="s">
        <v>32</v>
      </c>
      <c r="K1577" s="10">
        <f>IF(J1577="",0,convertNumberStringPointToNumberComma(LEFT(J1577,LEN(J1577)-1)))</f>
        <v>0.12</v>
      </c>
      <c r="L1577" t="s">
        <v>2814</v>
      </c>
      <c r="M1577" t="s">
        <v>2682</v>
      </c>
      <c r="N1577" t="s">
        <v>913</v>
      </c>
      <c r="O1577" t="s">
        <v>2811</v>
      </c>
      <c r="P1577" s="5" t="str">
        <f>LEFT(O1577,LEN(O1577)-1)</f>
        <v>1.15k</v>
      </c>
      <c r="Q1577" t="s">
        <v>3383</v>
      </c>
      <c r="R1577" s="52">
        <f>_xlfn.NUMBERVALUE(convertNumberStringPointToNumberComma(LEFT(Q1577,FIND("x",Q1577)-2)))</f>
        <v>89.5</v>
      </c>
      <c r="S1577" s="52">
        <f>_xlfn.NUMBERVALUE(convertNumberStringPointToNumberComma(LEFT(RIGHT(Q1577,LEN(Q1577)-FIND("x",Q1577)-1),LEN(RIGHT(Q1577,LEN(Q1577)-FIND("x",Q1577)-1))-2)))</f>
        <v>194.3</v>
      </c>
    </row>
    <row r="1578" spans="1:19" x14ac:dyDescent="0.25">
      <c r="A1578" t="s">
        <v>1238</v>
      </c>
      <c r="B1578" t="s">
        <v>933</v>
      </c>
      <c r="C1578" s="5">
        <f>convertNumberStringPointToNumberComma(IFERROR(LEFT(B1578,(FIND("-",B1578)-1)),LEFT(B1578,FIND("mm",B1578)-1)))</f>
        <v>70</v>
      </c>
      <c r="D1578" s="5">
        <f>convertNumberStringPointToNumberComma(IFERROR(RIGHT(LEFT(B1578,FIND("m",B1578)-1),LEN(LEFT(B1578,FIND("m",B1578)-1))-FIND("-",LEFT(B1578,FIND("m",B1578)-1))-1),C1578))</f>
        <v>0</v>
      </c>
      <c r="E1578" t="s">
        <v>2632</v>
      </c>
      <c r="F1578" s="9">
        <f>convertNumberStringPointToNumberComma(LEFT(MID(E1578,3,9),IFERROR(FIND("-",MID(E1578,3,9))-2,3)))</f>
        <v>2.8</v>
      </c>
      <c r="G1578" s="9">
        <f>convertNumberStringPointToNumberComma(RIGHT(E1578,IF(ISERROR(FIND(".",RIGHT(E1578,3))),1,3)))</f>
        <v>2.8</v>
      </c>
      <c r="H1578" t="s">
        <v>27</v>
      </c>
      <c r="I1578" s="5" t="str">
        <f>IF(H1578="none",0,LEFT(H1578,LEN(H1578)-2))</f>
        <v>77</v>
      </c>
      <c r="J1578" s="5" t="s">
        <v>122</v>
      </c>
      <c r="K1578" s="10">
        <f>IF(J1578="",0,convertNumberStringPointToNumberComma(LEFT(J1578,LEN(J1578)-1)))</f>
        <v>0.14000000000000001</v>
      </c>
      <c r="L1578" t="s">
        <v>2814</v>
      </c>
      <c r="M1578" t="s">
        <v>2757</v>
      </c>
      <c r="N1578" t="s">
        <v>913</v>
      </c>
      <c r="O1578" t="s">
        <v>2811</v>
      </c>
      <c r="P1578" s="5" t="str">
        <f>LEFT(O1578,LEN(O1578)-1)</f>
        <v>1.15k</v>
      </c>
      <c r="Q1578" t="s">
        <v>3383</v>
      </c>
      <c r="R1578" s="52">
        <f>_xlfn.NUMBERVALUE(convertNumberStringPointToNumberComma(LEFT(Q1578,FIND("x",Q1578)-2)))</f>
        <v>89.5</v>
      </c>
      <c r="S1578" s="52">
        <f>_xlfn.NUMBERVALUE(convertNumberStringPointToNumberComma(LEFT(RIGHT(Q1578,LEN(Q1578)-FIND("x",Q1578)-1),LEN(RIGHT(Q1578,LEN(Q1578)-FIND("x",Q1578)-1))-2)))</f>
        <v>194.3</v>
      </c>
    </row>
    <row r="1579" spans="1:19" x14ac:dyDescent="0.25">
      <c r="A1579" t="s">
        <v>2461</v>
      </c>
      <c r="B1579" t="s">
        <v>933</v>
      </c>
      <c r="E1579" t="s">
        <v>2632</v>
      </c>
      <c r="H1579" t="s">
        <v>27</v>
      </c>
      <c r="L1579" t="s">
        <v>2814</v>
      </c>
      <c r="M1579" t="s">
        <v>8</v>
      </c>
      <c r="N1579" t="s">
        <v>913</v>
      </c>
      <c r="O1579" t="s">
        <v>2811</v>
      </c>
      <c r="Q1579" t="s">
        <v>3383</v>
      </c>
      <c r="R1579" s="52">
        <f>_xlfn.NUMBERVALUE(convertNumberStringPointToNumberComma(LEFT(Q1579,FIND("x",Q1579)-2)))</f>
        <v>89.5</v>
      </c>
      <c r="S1579" s="52">
        <f>_xlfn.NUMBERVALUE(convertNumberStringPointToNumberComma(LEFT(RIGHT(Q1579,LEN(Q1579)-FIND("x",Q1579)-1),LEN(RIGHT(Q1579,LEN(Q1579)-FIND("x",Q1579)-1))-2)))</f>
        <v>194.3</v>
      </c>
    </row>
    <row r="1580" spans="1:19" x14ac:dyDescent="0.25">
      <c r="A1580" t="s">
        <v>2563</v>
      </c>
      <c r="B1580" t="s">
        <v>933</v>
      </c>
      <c r="E1580" t="s">
        <v>2632</v>
      </c>
      <c r="H1580" t="s">
        <v>27</v>
      </c>
      <c r="L1580" t="s">
        <v>2814</v>
      </c>
      <c r="M1580" t="s">
        <v>2802</v>
      </c>
      <c r="N1580" t="s">
        <v>913</v>
      </c>
      <c r="O1580" t="s">
        <v>2811</v>
      </c>
      <c r="Q1580" t="s">
        <v>3383</v>
      </c>
      <c r="R1580" s="52">
        <f>_xlfn.NUMBERVALUE(convertNumberStringPointToNumberComma(LEFT(Q1580,FIND("x",Q1580)-2)))</f>
        <v>89.5</v>
      </c>
      <c r="S1580" s="52">
        <f>_xlfn.NUMBERVALUE(convertNumberStringPointToNumberComma(LEFT(RIGHT(Q1580,LEN(Q1580)-FIND("x",Q1580)-1),LEN(RIGHT(Q1580,LEN(Q1580)-FIND("x",Q1580)-1))-2)))</f>
        <v>194.3</v>
      </c>
    </row>
    <row r="1581" spans="1:19" x14ac:dyDescent="0.25">
      <c r="A1581" t="s">
        <v>1619</v>
      </c>
      <c r="B1581" t="s">
        <v>919</v>
      </c>
      <c r="E1581" t="s">
        <v>2632</v>
      </c>
      <c r="H1581" t="s">
        <v>21</v>
      </c>
      <c r="L1581" t="s">
        <v>2954</v>
      </c>
      <c r="M1581" t="s">
        <v>2682</v>
      </c>
      <c r="N1581" t="s">
        <v>913</v>
      </c>
      <c r="O1581" t="s">
        <v>2955</v>
      </c>
      <c r="Q1581" t="s">
        <v>3579</v>
      </c>
      <c r="R1581" s="52">
        <f>_xlfn.NUMBERVALUE(convertNumberStringPointToNumberComma(LEFT(Q1581,FIND("x",Q1581)-2)))</f>
        <v>89.6</v>
      </c>
      <c r="S1581" s="52">
        <f>_xlfn.NUMBERVALUE(convertNumberStringPointToNumberComma(LEFT(RIGHT(Q1581,LEN(Q1581)-FIND("x",Q1581)-1),LEN(RIGHT(Q1581,LEN(Q1581)-FIND("x",Q1581)-1))-2)))</f>
        <v>107.5</v>
      </c>
    </row>
    <row r="1582" spans="1:19" x14ac:dyDescent="0.25">
      <c r="A1582" t="s">
        <v>2310</v>
      </c>
      <c r="B1582" t="s">
        <v>919</v>
      </c>
      <c r="E1582" t="s">
        <v>2632</v>
      </c>
      <c r="H1582" t="s">
        <v>21</v>
      </c>
      <c r="L1582" t="s">
        <v>2954</v>
      </c>
      <c r="M1582" t="s">
        <v>8</v>
      </c>
      <c r="N1582" t="s">
        <v>913</v>
      </c>
      <c r="O1582" t="s">
        <v>2955</v>
      </c>
      <c r="Q1582" t="s">
        <v>3579</v>
      </c>
      <c r="R1582" s="52">
        <f>_xlfn.NUMBERVALUE(convertNumberStringPointToNumberComma(LEFT(Q1582,FIND("x",Q1582)-2)))</f>
        <v>89.6</v>
      </c>
      <c r="S1582" s="52">
        <f>_xlfn.NUMBERVALUE(convertNumberStringPointToNumberComma(LEFT(RIGHT(Q1582,LEN(Q1582)-FIND("x",Q1582)-1),LEN(RIGHT(Q1582,LEN(Q1582)-FIND("x",Q1582)-1))-2)))</f>
        <v>107.5</v>
      </c>
    </row>
    <row r="1583" spans="1:19" x14ac:dyDescent="0.25">
      <c r="A1583" t="s">
        <v>2080</v>
      </c>
      <c r="B1583" t="s">
        <v>148</v>
      </c>
      <c r="E1583" t="s">
        <v>2638</v>
      </c>
      <c r="H1583" t="s">
        <v>27</v>
      </c>
      <c r="L1583" t="s">
        <v>2728</v>
      </c>
      <c r="M1583" t="s">
        <v>8</v>
      </c>
      <c r="N1583" t="s">
        <v>913</v>
      </c>
      <c r="O1583" t="s">
        <v>3063</v>
      </c>
      <c r="Q1583" t="s">
        <v>3827</v>
      </c>
      <c r="R1583" s="52">
        <f>_xlfn.NUMBERVALUE(convertNumberStringPointToNumberComma(LEFT(Q1583,FIND("x",Q1583)-2)))</f>
        <v>89.7</v>
      </c>
      <c r="S1583" s="52">
        <f>_xlfn.NUMBERVALUE(convertNumberStringPointToNumberComma(LEFT(RIGHT(Q1583,LEN(Q1583)-FIND("x",Q1583)-1),LEN(RIGHT(Q1583,LEN(Q1583)-FIND("x",Q1583)-1))-2)))</f>
        <v>114</v>
      </c>
    </row>
    <row r="1584" spans="1:19" x14ac:dyDescent="0.25">
      <c r="A1584" t="s">
        <v>2000</v>
      </c>
      <c r="B1584" t="s">
        <v>822</v>
      </c>
      <c r="E1584" t="s">
        <v>2643</v>
      </c>
      <c r="H1584" t="s">
        <v>27</v>
      </c>
      <c r="L1584" t="s">
        <v>2759</v>
      </c>
      <c r="M1584" t="s">
        <v>8</v>
      </c>
      <c r="N1584" t="s">
        <v>913</v>
      </c>
      <c r="O1584" t="s">
        <v>3056</v>
      </c>
      <c r="Q1584" t="s">
        <v>848</v>
      </c>
      <c r="R1584" s="52">
        <f>_xlfn.NUMBERVALUE(convertNumberStringPointToNumberComma(LEFT(Q1584,FIND("x",Q1584)-2)))</f>
        <v>90</v>
      </c>
      <c r="S1584" s="52">
        <f>_xlfn.NUMBERVALUE(convertNumberStringPointToNumberComma(LEFT(RIGHT(Q1584,LEN(Q1584)-FIND("x",Q1584)-1),LEN(RIGHT(Q1584,LEN(Q1584)-FIND("x",Q1584)-1))-2)))</f>
        <v>110</v>
      </c>
    </row>
    <row r="1585" spans="1:19" x14ac:dyDescent="0.25">
      <c r="A1585" t="s">
        <v>1311</v>
      </c>
      <c r="B1585" t="s">
        <v>1312</v>
      </c>
      <c r="E1585" t="s">
        <v>2632</v>
      </c>
      <c r="L1585" t="s">
        <v>2870</v>
      </c>
      <c r="M1585" t="s">
        <v>2682</v>
      </c>
      <c r="N1585" t="s">
        <v>913</v>
      </c>
      <c r="O1585" t="s">
        <v>233</v>
      </c>
      <c r="Q1585" t="s">
        <v>3425</v>
      </c>
      <c r="R1585" s="52">
        <f>_xlfn.NUMBERVALUE(convertNumberStringPointToNumberComma(LEFT(Q1585,FIND("x",Q1585)-2)))</f>
        <v>90</v>
      </c>
      <c r="S1585" s="52">
        <f>_xlfn.NUMBERVALUE(convertNumberStringPointToNumberComma(LEFT(RIGHT(Q1585,LEN(Q1585)-FIND("x",Q1585)-1),LEN(RIGHT(Q1585,LEN(Q1585)-FIND("x",Q1585)-1))-2)))</f>
        <v>133.30000000000001</v>
      </c>
    </row>
    <row r="1586" spans="1:19" x14ac:dyDescent="0.25">
      <c r="A1586" t="s">
        <v>2521</v>
      </c>
      <c r="B1586" t="s">
        <v>1312</v>
      </c>
      <c r="E1586" t="s">
        <v>2632</v>
      </c>
      <c r="L1586" t="s">
        <v>2870</v>
      </c>
      <c r="M1586" t="s">
        <v>8</v>
      </c>
      <c r="N1586" t="s">
        <v>913</v>
      </c>
      <c r="O1586" t="s">
        <v>233</v>
      </c>
      <c r="Q1586" t="s">
        <v>3425</v>
      </c>
      <c r="R1586" s="52">
        <f>_xlfn.NUMBERVALUE(convertNumberStringPointToNumberComma(LEFT(Q1586,FIND("x",Q1586)-2)))</f>
        <v>90</v>
      </c>
      <c r="S1586" s="52">
        <f>_xlfn.NUMBERVALUE(convertNumberStringPointToNumberComma(LEFT(RIGHT(Q1586,LEN(Q1586)-FIND("x",Q1586)-1),LEN(RIGHT(Q1586,LEN(Q1586)-FIND("x",Q1586)-1))-2)))</f>
        <v>133.30000000000001</v>
      </c>
    </row>
    <row r="1587" spans="1:19" x14ac:dyDescent="0.25">
      <c r="A1587" t="s">
        <v>2037</v>
      </c>
      <c r="B1587" t="s">
        <v>526</v>
      </c>
      <c r="E1587" t="s">
        <v>2633</v>
      </c>
      <c r="H1587" t="s">
        <v>2670</v>
      </c>
      <c r="L1587" t="s">
        <v>2692</v>
      </c>
      <c r="M1587" t="s">
        <v>2989</v>
      </c>
      <c r="N1587" t="s">
        <v>903</v>
      </c>
      <c r="O1587" t="s">
        <v>2895</v>
      </c>
      <c r="Q1587" t="s">
        <v>3807</v>
      </c>
      <c r="R1587" s="52">
        <f>_xlfn.NUMBERVALUE(convertNumberStringPointToNumberComma(LEFT(Q1587,FIND("x",Q1587)-2)))</f>
        <v>90</v>
      </c>
      <c r="S1587" s="52">
        <f>_xlfn.NUMBERVALUE(convertNumberStringPointToNumberComma(LEFT(RIGHT(Q1587,LEN(Q1587)-FIND("x",Q1587)-1),LEN(RIGHT(Q1587,LEN(Q1587)-FIND("x",Q1587)-1))-2)))</f>
        <v>149</v>
      </c>
    </row>
    <row r="1588" spans="1:19" x14ac:dyDescent="0.25">
      <c r="A1588" t="s">
        <v>1253</v>
      </c>
      <c r="B1588" t="s">
        <v>572</v>
      </c>
      <c r="C1588" s="5">
        <f>convertNumberStringPointToNumberComma(IFERROR(LEFT(B1588,(FIND("-",B1588)-1)),LEFT(B1588,FIND("mm",B1588)-1)))</f>
        <v>300</v>
      </c>
      <c r="D1588" s="5">
        <f>convertNumberStringPointToNumberComma(IFERROR(RIGHT(LEFT(B1588,FIND("m",B1588)-1),LEN(LEFT(B1588,FIND("m",B1588)-1))-FIND("-",LEFT(B1588,FIND("m",B1588)-1))-1),C1588))</f>
        <v>300</v>
      </c>
      <c r="E1588" t="s">
        <v>2633</v>
      </c>
      <c r="F1588" s="9">
        <f>convertNumberStringPointToNumberComma(LEFT(MID(E1588,3,9),IFERROR(FIND("-",MID(E1588,3,9))-2,3)))</f>
        <v>4</v>
      </c>
      <c r="G1588" s="9">
        <f>convertNumberStringPointToNumberComma(RIGHT(E1588,IF(ISERROR(FIND(".",RIGHT(E1588,3))),1,3)))</f>
        <v>4</v>
      </c>
      <c r="H1588" t="s">
        <v>27</v>
      </c>
      <c r="I1588" s="5" t="str">
        <f>IF(H1588="none",0,LEFT(H1588,LEN(H1588)-2))</f>
        <v>77</v>
      </c>
      <c r="J1588" s="5" t="s">
        <v>22</v>
      </c>
      <c r="K1588" s="10">
        <f>IF(J1588="",0,convertNumberStringPointToNumberComma(LEFT(J1588,LEN(J1588)-1)))</f>
        <v>0.15</v>
      </c>
      <c r="L1588" t="s">
        <v>2677</v>
      </c>
      <c r="M1588" t="s">
        <v>2682</v>
      </c>
      <c r="N1588" t="s">
        <v>913</v>
      </c>
      <c r="O1588" t="s">
        <v>2856</v>
      </c>
      <c r="P1588" s="5" t="str">
        <f>LEFT(O1588,LEN(O1588)-1)</f>
        <v>1.19k</v>
      </c>
      <c r="Q1588" t="s">
        <v>3394</v>
      </c>
      <c r="R1588" s="52">
        <f>_xlfn.NUMBERVALUE(convertNumberStringPointToNumberComma(LEFT(Q1588,FIND("x",Q1588)-2)))</f>
        <v>90</v>
      </c>
      <c r="S1588" s="52">
        <f>_xlfn.NUMBERVALUE(convertNumberStringPointToNumberComma(LEFT(RIGHT(Q1588,LEN(Q1588)-FIND("x",Q1588)-1),LEN(RIGHT(Q1588,LEN(Q1588)-FIND("x",Q1588)-1))-2)))</f>
        <v>221</v>
      </c>
    </row>
    <row r="1589" spans="1:19" x14ac:dyDescent="0.25">
      <c r="A1589" t="s">
        <v>1104</v>
      </c>
      <c r="B1589" t="s">
        <v>572</v>
      </c>
      <c r="C1589" s="5">
        <f>convertNumberStringPointToNumberComma(IFERROR(LEFT(B1589,(FIND("-",B1589)-1)),LEFT(B1589,FIND("mm",B1589)-1)))</f>
        <v>300</v>
      </c>
      <c r="D1589" s="5">
        <f>convertNumberStringPointToNumberComma(IFERROR(RIGHT(LEFT(B1589,FIND("m",B1589)-1),LEN(LEFT(B1589,FIND("m",B1589)-1))-FIND("-",LEFT(B1589,FIND("m",B1589)-1))-1),C1589))</f>
        <v>300</v>
      </c>
      <c r="E1589" t="s">
        <v>2633</v>
      </c>
      <c r="F1589" s="9">
        <f>convertNumberStringPointToNumberComma(LEFT(MID(E1589,3,9),IFERROR(FIND("-",MID(E1589,3,9))-2,3)))</f>
        <v>4</v>
      </c>
      <c r="G1589" s="9">
        <f>convertNumberStringPointToNumberComma(RIGHT(E1589,IF(ISERROR(FIND(".",RIGHT(E1589,3))),1,3)))</f>
        <v>4</v>
      </c>
      <c r="H1589" t="s">
        <v>27</v>
      </c>
      <c r="I1589" s="5" t="str">
        <f>IF(H1589="none",0,LEFT(H1589,LEN(H1589)-2))</f>
        <v>77</v>
      </c>
      <c r="J1589" s="5" t="s">
        <v>198</v>
      </c>
      <c r="K1589" s="10">
        <f>IF(J1589="",0,convertNumberStringPointToNumberComma(LEFT(J1589,LEN(J1589)-1)))</f>
        <v>0.19</v>
      </c>
      <c r="L1589" t="s">
        <v>2725</v>
      </c>
      <c r="M1589" t="s">
        <v>8</v>
      </c>
      <c r="N1589" t="s">
        <v>913</v>
      </c>
      <c r="O1589" t="s">
        <v>2791</v>
      </c>
      <c r="P1589" s="5" t="str">
        <f>LEFT(O1589,LEN(O1589)-1)</f>
        <v>1.44k</v>
      </c>
      <c r="Q1589" t="s">
        <v>3311</v>
      </c>
      <c r="R1589" s="52">
        <f>_xlfn.NUMBERVALUE(convertNumberStringPointToNumberComma(LEFT(Q1589,FIND("x",Q1589)-2)))</f>
        <v>90</v>
      </c>
      <c r="S1589" s="52">
        <f>_xlfn.NUMBERVALUE(convertNumberStringPointToNumberComma(LEFT(RIGHT(Q1589,LEN(Q1589)-FIND("x",Q1589)-1),LEN(RIGHT(Q1589,LEN(Q1589)-FIND("x",Q1589)-1))-2)))</f>
        <v>222.5</v>
      </c>
    </row>
    <row r="1590" spans="1:19" x14ac:dyDescent="0.25">
      <c r="A1590" t="s">
        <v>2559</v>
      </c>
      <c r="B1590" t="s">
        <v>624</v>
      </c>
      <c r="E1590" t="s">
        <v>2647</v>
      </c>
      <c r="H1590" t="s">
        <v>27</v>
      </c>
      <c r="L1590" t="s">
        <v>2753</v>
      </c>
      <c r="M1590" t="s">
        <v>2682</v>
      </c>
      <c r="N1590" t="s">
        <v>913</v>
      </c>
      <c r="O1590" t="s">
        <v>3018</v>
      </c>
      <c r="Q1590" t="s">
        <v>4048</v>
      </c>
      <c r="R1590" s="52">
        <f>_xlfn.NUMBERVALUE(convertNumberStringPointToNumberComma(LEFT(Q1590,FIND("x",Q1590)-2)))</f>
        <v>90</v>
      </c>
      <c r="S1590" s="52">
        <f>_xlfn.NUMBERVALUE(convertNumberStringPointToNumberComma(LEFT(RIGHT(Q1590,LEN(Q1590)-FIND("x",Q1590)-1),LEN(RIGHT(Q1590,LEN(Q1590)-FIND("x",Q1590)-1))-2)))</f>
        <v>256.5</v>
      </c>
    </row>
    <row r="1591" spans="1:19" x14ac:dyDescent="0.25">
      <c r="A1591" t="s">
        <v>2079</v>
      </c>
      <c r="B1591" t="s">
        <v>407</v>
      </c>
      <c r="E1591" t="s">
        <v>2632</v>
      </c>
      <c r="H1591" t="s">
        <v>27</v>
      </c>
      <c r="L1591" t="s">
        <v>2864</v>
      </c>
      <c r="M1591" t="s">
        <v>8</v>
      </c>
      <c r="N1591" t="s">
        <v>913</v>
      </c>
      <c r="O1591" t="s">
        <v>410</v>
      </c>
      <c r="Q1591" t="s">
        <v>411</v>
      </c>
      <c r="R1591" s="52">
        <f>_xlfn.NUMBERVALUE(convertNumberStringPointToNumberComma(LEFT(Q1591,FIND("x",Q1591)-2)))</f>
        <v>90</v>
      </c>
      <c r="S1591" s="52">
        <f>_xlfn.NUMBERVALUE(convertNumberStringPointToNumberComma(LEFT(RIGHT(Q1591,LEN(Q1591)-FIND("x",Q1591)-1),LEN(RIGHT(Q1591,LEN(Q1591)-FIND("x",Q1591)-1))-2)))</f>
        <v>92</v>
      </c>
    </row>
    <row r="1592" spans="1:19" x14ac:dyDescent="0.25">
      <c r="A1592" t="s">
        <v>1966</v>
      </c>
      <c r="B1592" t="s">
        <v>793</v>
      </c>
      <c r="E1592" t="s">
        <v>2658</v>
      </c>
      <c r="H1592" t="s">
        <v>21</v>
      </c>
      <c r="L1592" t="s">
        <v>3046</v>
      </c>
      <c r="M1592" t="s">
        <v>3047</v>
      </c>
      <c r="N1592" t="s">
        <v>913</v>
      </c>
      <c r="O1592" t="s">
        <v>636</v>
      </c>
      <c r="Q1592" t="s">
        <v>3777</v>
      </c>
      <c r="R1592" s="52">
        <f>_xlfn.NUMBERVALUE(convertNumberStringPointToNumberComma(LEFT(Q1592,FIND("x",Q1592)-2)))</f>
        <v>90</v>
      </c>
      <c r="S1592" s="52">
        <f>_xlfn.NUMBERVALUE(convertNumberStringPointToNumberComma(LEFT(RIGHT(Q1592,LEN(Q1592)-FIND("x",Q1592)-1),LEN(RIGHT(Q1592,LEN(Q1592)-FIND("x",Q1592)-1))-2)))</f>
        <v>93</v>
      </c>
    </row>
    <row r="1593" spans="1:19" x14ac:dyDescent="0.25">
      <c r="A1593" t="s">
        <v>1977</v>
      </c>
      <c r="B1593" t="s">
        <v>793</v>
      </c>
      <c r="E1593" t="s">
        <v>2658</v>
      </c>
      <c r="H1593" t="s">
        <v>21</v>
      </c>
      <c r="L1593" t="s">
        <v>3046</v>
      </c>
      <c r="M1593" t="s">
        <v>3047</v>
      </c>
      <c r="N1593" t="s">
        <v>913</v>
      </c>
      <c r="O1593" t="s">
        <v>636</v>
      </c>
      <c r="Q1593" t="s">
        <v>3777</v>
      </c>
      <c r="R1593" s="52">
        <f>_xlfn.NUMBERVALUE(convertNumberStringPointToNumberComma(LEFT(Q1593,FIND("x",Q1593)-2)))</f>
        <v>90</v>
      </c>
      <c r="S1593" s="52">
        <f>_xlfn.NUMBERVALUE(convertNumberStringPointToNumberComma(LEFT(RIGHT(Q1593,LEN(Q1593)-FIND("x",Q1593)-1),LEN(RIGHT(Q1593,LEN(Q1593)-FIND("x",Q1593)-1))-2)))</f>
        <v>93</v>
      </c>
    </row>
    <row r="1594" spans="1:19" x14ac:dyDescent="0.25">
      <c r="A1594" t="s">
        <v>2232</v>
      </c>
      <c r="B1594" t="s">
        <v>863</v>
      </c>
      <c r="E1594" t="s">
        <v>2632</v>
      </c>
      <c r="H1594" t="s">
        <v>56</v>
      </c>
      <c r="L1594" t="s">
        <v>2703</v>
      </c>
      <c r="M1594" t="s">
        <v>2989</v>
      </c>
      <c r="N1594" t="s">
        <v>913</v>
      </c>
      <c r="O1594" t="s">
        <v>2895</v>
      </c>
      <c r="Q1594" t="s">
        <v>3876</v>
      </c>
      <c r="R1594" s="52">
        <f>_xlfn.NUMBERVALUE(convertNumberStringPointToNumberComma(LEFT(Q1594,FIND("x",Q1594)-2)))</f>
        <v>90.5</v>
      </c>
      <c r="S1594" s="52">
        <f>_xlfn.NUMBERVALUE(convertNumberStringPointToNumberComma(LEFT(RIGHT(Q1594,LEN(Q1594)-FIND("x",Q1594)-1),LEN(RIGHT(Q1594,LEN(Q1594)-FIND("x",Q1594)-1))-2)))</f>
        <v>111.6</v>
      </c>
    </row>
    <row r="1595" spans="1:19" x14ac:dyDescent="0.25">
      <c r="A1595" t="s">
        <v>1133</v>
      </c>
      <c r="B1595" t="s">
        <v>441</v>
      </c>
      <c r="C1595" s="5">
        <f>convertNumberStringPointToNumberComma(IFERROR(LEFT(B1595,(FIND("-",B1595)-1)),LEFT(B1595,FIND("mm",B1595)-1)))</f>
        <v>20</v>
      </c>
      <c r="D1595" s="5">
        <f>convertNumberStringPointToNumberComma(IFERROR(RIGHT(LEFT(B1595,FIND("m",B1595)-1),LEN(LEFT(B1595,FIND("m",B1595)-1))-FIND("-",LEFT(B1595,FIND("m",B1595)-1))-1),C1595))</f>
        <v>20</v>
      </c>
      <c r="E1595" t="s">
        <v>2643</v>
      </c>
      <c r="F1595" s="9">
        <f>convertNumberStringPointToNumberComma(LEFT(MID(E1595,3,9),IFERROR(FIND("-",MID(E1595,3,9))-2,3)))</f>
        <v>1.4</v>
      </c>
      <c r="G1595" s="9">
        <f>convertNumberStringPointToNumberComma(RIGHT(E1595,IF(ISERROR(FIND(".",RIGHT(E1595,3))),1,3)))</f>
        <v>1.4</v>
      </c>
      <c r="H1595" t="s">
        <v>2668</v>
      </c>
      <c r="I1595" s="5" t="str">
        <f>IF(H1595="none",0,LEFT(H1595,LEN(H1595)-2))</f>
        <v>ne</v>
      </c>
      <c r="J1595" s="5" t="s">
        <v>16</v>
      </c>
      <c r="K1595" s="10">
        <f>IF(J1595="",0,convertNumberStringPointToNumberComma(LEFT(J1595,LEN(J1595)-1)))</f>
        <v>0.17</v>
      </c>
      <c r="L1595" t="s">
        <v>2803</v>
      </c>
      <c r="M1595" t="s">
        <v>8</v>
      </c>
      <c r="N1595" t="s">
        <v>913</v>
      </c>
      <c r="O1595" t="s">
        <v>233</v>
      </c>
      <c r="P1595" s="5" t="str">
        <f>LEFT(O1595,LEN(O1595)-1)</f>
        <v>950</v>
      </c>
      <c r="Q1595" t="s">
        <v>3324</v>
      </c>
      <c r="R1595" s="52">
        <f>_xlfn.NUMBERVALUE(convertNumberStringPointToNumberComma(LEFT(Q1595,FIND("x",Q1595)-2)))</f>
        <v>90.7</v>
      </c>
      <c r="S1595" s="52">
        <f>_xlfn.NUMBERVALUE(convertNumberStringPointToNumberComma(LEFT(RIGHT(Q1595,LEN(Q1595)-FIND("x",Q1595)-1),LEN(RIGHT(Q1595,LEN(Q1595)-FIND("x",Q1595)-1))-2)))</f>
        <v>129.80000000000001</v>
      </c>
    </row>
    <row r="1596" spans="1:19" x14ac:dyDescent="0.25">
      <c r="A1596" t="s">
        <v>1701</v>
      </c>
      <c r="B1596" t="s">
        <v>441</v>
      </c>
      <c r="E1596" t="s">
        <v>2643</v>
      </c>
      <c r="H1596" t="s">
        <v>2668</v>
      </c>
      <c r="L1596" t="s">
        <v>2803</v>
      </c>
      <c r="M1596" t="s">
        <v>2793</v>
      </c>
      <c r="N1596" t="s">
        <v>913</v>
      </c>
      <c r="O1596" t="s">
        <v>233</v>
      </c>
      <c r="Q1596" t="s">
        <v>3324</v>
      </c>
      <c r="R1596" s="52">
        <f>_xlfn.NUMBERVALUE(convertNumberStringPointToNumberComma(LEFT(Q1596,FIND("x",Q1596)-2)))</f>
        <v>90.7</v>
      </c>
      <c r="S1596" s="52">
        <f>_xlfn.NUMBERVALUE(convertNumberStringPointToNumberComma(LEFT(RIGHT(Q1596,LEN(Q1596)-FIND("x",Q1596)-1),LEN(RIGHT(Q1596,LEN(Q1596)-FIND("x",Q1596)-1))-2)))</f>
        <v>129.80000000000001</v>
      </c>
    </row>
    <row r="1597" spans="1:19" x14ac:dyDescent="0.25">
      <c r="A1597" t="s">
        <v>2432</v>
      </c>
      <c r="B1597" t="s">
        <v>441</v>
      </c>
      <c r="E1597" t="s">
        <v>2643</v>
      </c>
      <c r="H1597" t="s">
        <v>2668</v>
      </c>
      <c r="L1597" t="s">
        <v>2803</v>
      </c>
      <c r="M1597" t="s">
        <v>2682</v>
      </c>
      <c r="N1597" t="s">
        <v>913</v>
      </c>
      <c r="O1597" t="s">
        <v>233</v>
      </c>
      <c r="Q1597" t="s">
        <v>3324</v>
      </c>
      <c r="R1597" s="52">
        <f>_xlfn.NUMBERVALUE(convertNumberStringPointToNumberComma(LEFT(Q1597,FIND("x",Q1597)-2)))</f>
        <v>90.7</v>
      </c>
      <c r="S1597" s="52">
        <f>_xlfn.NUMBERVALUE(convertNumberStringPointToNumberComma(LEFT(RIGHT(Q1597,LEN(Q1597)-FIND("x",Q1597)-1),LEN(RIGHT(Q1597,LEN(Q1597)-FIND("x",Q1597)-1))-2)))</f>
        <v>129.80000000000001</v>
      </c>
    </row>
    <row r="1598" spans="1:19" x14ac:dyDescent="0.25">
      <c r="A1598" t="s">
        <v>2432</v>
      </c>
      <c r="B1598" t="s">
        <v>441</v>
      </c>
      <c r="E1598" t="s">
        <v>2643</v>
      </c>
      <c r="H1598" t="s">
        <v>2668</v>
      </c>
      <c r="L1598" t="s">
        <v>2803</v>
      </c>
      <c r="M1598" t="s">
        <v>2682</v>
      </c>
      <c r="N1598" t="s">
        <v>913</v>
      </c>
      <c r="O1598" t="s">
        <v>233</v>
      </c>
      <c r="Q1598" t="s">
        <v>3324</v>
      </c>
      <c r="R1598" s="52">
        <f>_xlfn.NUMBERVALUE(convertNumberStringPointToNumberComma(LEFT(Q1598,FIND("x",Q1598)-2)))</f>
        <v>90.7</v>
      </c>
      <c r="S1598" s="52">
        <f>_xlfn.NUMBERVALUE(convertNumberStringPointToNumberComma(LEFT(RIGHT(Q1598,LEN(Q1598)-FIND("x",Q1598)-1),LEN(RIGHT(Q1598,LEN(Q1598)-FIND("x",Q1598)-1))-2)))</f>
        <v>129.80000000000001</v>
      </c>
    </row>
    <row r="1599" spans="1:19" x14ac:dyDescent="0.25">
      <c r="B1599" t="s">
        <v>61</v>
      </c>
      <c r="E1599" t="s">
        <v>2638</v>
      </c>
      <c r="M1599" t="s">
        <v>3047</v>
      </c>
      <c r="N1599" t="s">
        <v>913</v>
      </c>
      <c r="O1599" t="s">
        <v>3154</v>
      </c>
      <c r="Q1599" t="s">
        <v>3970</v>
      </c>
      <c r="R1599" s="52">
        <f>_xlfn.NUMBERVALUE(convertNumberStringPointToNumberComma(LEFT(Q1599,FIND("x",Q1599)-2)))</f>
        <v>91</v>
      </c>
      <c r="S1599" s="52">
        <f>_xlfn.NUMBERVALUE(convertNumberStringPointToNumberComma(LEFT(RIGHT(Q1599,LEN(Q1599)-FIND("x",Q1599)-1),LEN(RIGHT(Q1599,LEN(Q1599)-FIND("x",Q1599)-1))-2)))</f>
        <v>102</v>
      </c>
    </row>
    <row r="1600" spans="1:19" x14ac:dyDescent="0.25">
      <c r="A1600" t="s">
        <v>1077</v>
      </c>
      <c r="B1600" t="s">
        <v>148</v>
      </c>
      <c r="C1600" s="5">
        <f>convertNumberStringPointToNumberComma(IFERROR(LEFT(B1600,(FIND("-",B1600)-1)),LEFT(B1600,FIND("mm",B1600)-1)))</f>
        <v>135</v>
      </c>
      <c r="D1600" s="5">
        <f>convertNumberStringPointToNumberComma(IFERROR(RIGHT(LEFT(B1600,FIND("m",B1600)-1),LEN(LEFT(B1600,FIND("m",B1600)-1))-FIND("-",LEFT(B1600,FIND("m",B1600)-1))-1),C1600))</f>
        <v>135</v>
      </c>
      <c r="E1600" t="s">
        <v>2635</v>
      </c>
      <c r="F1600" s="9">
        <f>convertNumberStringPointToNumberComma(LEFT(MID(E1600,3,9),IFERROR(FIND("-",MID(E1600,3,9))-2,3)))</f>
        <v>1.8</v>
      </c>
      <c r="G1600" s="9">
        <f>convertNumberStringPointToNumberComma(RIGHT(E1600,IF(ISERROR(FIND(".",RIGHT(E1600,3))),1,3)))</f>
        <v>1.8</v>
      </c>
      <c r="H1600" t="s">
        <v>21</v>
      </c>
      <c r="I1600" s="5" t="str">
        <f>IF(H1600="none",0,LEFT(H1600,LEN(H1600)-2))</f>
        <v>82</v>
      </c>
      <c r="J1600" s="12"/>
      <c r="K1600" s="10">
        <f>IF(J1600="",0,convertNumberStringPointToNumberComma(LEFT(J1600,LEN(J1600)-1)))</f>
        <v>0</v>
      </c>
      <c r="L1600" t="s">
        <v>2698</v>
      </c>
      <c r="M1600" t="s">
        <v>8</v>
      </c>
      <c r="N1600" t="s">
        <v>913</v>
      </c>
      <c r="O1600" t="s">
        <v>2774</v>
      </c>
      <c r="P1600" s="5" t="str">
        <f>LEFT(O1600,LEN(O1600)-1)</f>
        <v>1.13k</v>
      </c>
      <c r="Q1600" t="s">
        <v>3299</v>
      </c>
      <c r="R1600" s="52">
        <f>_xlfn.NUMBERVALUE(convertNumberStringPointToNumberComma(LEFT(Q1600,FIND("x",Q1600)-2)))</f>
        <v>91.4</v>
      </c>
      <c r="S1600" s="52">
        <f>_xlfn.NUMBERVALUE(convertNumberStringPointToNumberComma(LEFT(RIGHT(Q1600,LEN(Q1600)-FIND("x",Q1600)-1),LEN(RIGHT(Q1600,LEN(Q1600)-FIND("x",Q1600)-1))-2)))</f>
        <v>114.9</v>
      </c>
    </row>
    <row r="1601" spans="1:19" x14ac:dyDescent="0.25">
      <c r="A1601" t="s">
        <v>1405</v>
      </c>
      <c r="B1601" t="s">
        <v>148</v>
      </c>
      <c r="E1601" t="s">
        <v>2635</v>
      </c>
      <c r="H1601" t="s">
        <v>21</v>
      </c>
      <c r="L1601" t="s">
        <v>2698</v>
      </c>
      <c r="M1601" t="s">
        <v>2682</v>
      </c>
      <c r="N1601" t="s">
        <v>913</v>
      </c>
      <c r="O1601" t="s">
        <v>2774</v>
      </c>
      <c r="Q1601" t="s">
        <v>3299</v>
      </c>
      <c r="R1601" s="52">
        <f>_xlfn.NUMBERVALUE(convertNumberStringPointToNumberComma(LEFT(Q1601,FIND("x",Q1601)-2)))</f>
        <v>91.4</v>
      </c>
      <c r="S1601" s="52">
        <f>_xlfn.NUMBERVALUE(convertNumberStringPointToNumberComma(LEFT(RIGHT(Q1601,LEN(Q1601)-FIND("x",Q1601)-1),LEN(RIGHT(Q1601,LEN(Q1601)-FIND("x",Q1601)-1))-2)))</f>
        <v>114.9</v>
      </c>
    </row>
    <row r="1602" spans="1:19" x14ac:dyDescent="0.25">
      <c r="A1602" t="s">
        <v>1698</v>
      </c>
      <c r="B1602" t="s">
        <v>148</v>
      </c>
      <c r="E1602" t="s">
        <v>2635</v>
      </c>
      <c r="H1602" t="s">
        <v>21</v>
      </c>
      <c r="L1602" t="s">
        <v>2698</v>
      </c>
      <c r="M1602" t="s">
        <v>2793</v>
      </c>
      <c r="N1602" t="s">
        <v>913</v>
      </c>
      <c r="O1602" t="s">
        <v>2774</v>
      </c>
      <c r="Q1602" t="s">
        <v>3299</v>
      </c>
      <c r="R1602" s="52">
        <f>_xlfn.NUMBERVALUE(convertNumberStringPointToNumberComma(LEFT(Q1602,FIND("x",Q1602)-2)))</f>
        <v>91.4</v>
      </c>
      <c r="S1602" s="52">
        <f>_xlfn.NUMBERVALUE(convertNumberStringPointToNumberComma(LEFT(RIGHT(Q1602,LEN(Q1602)-FIND("x",Q1602)-1),LEN(RIGHT(Q1602,LEN(Q1602)-FIND("x",Q1602)-1))-2)))</f>
        <v>114.9</v>
      </c>
    </row>
    <row r="1603" spans="1:19" x14ac:dyDescent="0.25">
      <c r="A1603" t="s">
        <v>2385</v>
      </c>
      <c r="B1603" t="s">
        <v>933</v>
      </c>
      <c r="E1603" t="s">
        <v>2632</v>
      </c>
      <c r="H1603" t="s">
        <v>27</v>
      </c>
      <c r="L1603" t="s">
        <v>2684</v>
      </c>
      <c r="M1603" t="s">
        <v>2802</v>
      </c>
      <c r="N1603" t="s">
        <v>913</v>
      </c>
      <c r="O1603" t="s">
        <v>3128</v>
      </c>
      <c r="Q1603" t="s">
        <v>3936</v>
      </c>
      <c r="R1603" s="52">
        <f>_xlfn.NUMBERVALUE(convertNumberStringPointToNumberComma(LEFT(Q1603,FIND("x",Q1603)-2)))</f>
        <v>91.5</v>
      </c>
      <c r="S1603" s="52">
        <f>_xlfn.NUMBERVALUE(convertNumberStringPointToNumberComma(LEFT(RIGHT(Q1603,LEN(Q1603)-FIND("x",Q1603)-1),LEN(RIGHT(Q1603,LEN(Q1603)-FIND("x",Q1603)-1))-2)))</f>
        <v>203</v>
      </c>
    </row>
    <row r="1604" spans="1:19" x14ac:dyDescent="0.25">
      <c r="A1604" t="s">
        <v>1066</v>
      </c>
      <c r="B1604" t="s">
        <v>822</v>
      </c>
      <c r="C1604" s="5">
        <f>convertNumberStringPointToNumberComma(IFERROR(LEFT(B1604,(FIND("-",B1604)-1)),LEFT(B1604,FIND("mm",B1604)-1)))</f>
        <v>85</v>
      </c>
      <c r="D1604" s="5">
        <f>convertNumberStringPointToNumberComma(IFERROR(RIGHT(LEFT(B1604,FIND("m",B1604)-1),LEN(LEFT(B1604,FIND("m",B1604)-1))-FIND("-",LEFT(B1604,FIND("m",B1604)-1))-1),C1604))</f>
        <v>85</v>
      </c>
      <c r="E1604" t="s">
        <v>2648</v>
      </c>
      <c r="F1604" s="9">
        <f>convertNumberStringPointToNumberComma(LEFT(MID(E1604,3,9),IFERROR(FIND("-",MID(E1604,3,9))-2,3)))</f>
        <v>1.2</v>
      </c>
      <c r="G1604" s="9">
        <f>convertNumberStringPointToNumberComma(RIGHT(E1604,IF(ISERROR(FIND(".",RIGHT(E1604,3))),1,3)))</f>
        <v>1.2</v>
      </c>
      <c r="H1604" t="s">
        <v>15</v>
      </c>
      <c r="I1604" s="5" t="str">
        <f>IF(H1604="none",0,LEFT(H1604,LEN(H1604)-2))</f>
        <v>72</v>
      </c>
      <c r="J1604" s="5" t="s">
        <v>251</v>
      </c>
      <c r="K1604" s="10">
        <f>IF(J1604="",0,convertNumberStringPointToNumberComma(LEFT(J1604,LEN(J1604)-1)))</f>
        <v>0.22</v>
      </c>
      <c r="L1604" t="s">
        <v>2692</v>
      </c>
      <c r="M1604" t="s">
        <v>2682</v>
      </c>
      <c r="N1604" t="s">
        <v>913</v>
      </c>
      <c r="O1604" t="s">
        <v>2737</v>
      </c>
      <c r="P1604" s="5" t="str">
        <f>LEFT(O1604,LEN(O1604)-1)</f>
        <v>1.02k</v>
      </c>
      <c r="Q1604" t="s">
        <v>3292</v>
      </c>
      <c r="R1604" s="52">
        <f>_xlfn.NUMBERVALUE(convertNumberStringPointToNumberComma(LEFT(Q1604,FIND("x",Q1604)-2)))</f>
        <v>91.5</v>
      </c>
      <c r="S1604" s="52">
        <f>_xlfn.NUMBERVALUE(convertNumberStringPointToNumberComma(LEFT(RIGHT(Q1604,LEN(Q1604)-FIND("x",Q1604)-1),LEN(RIGHT(Q1604,LEN(Q1604)-FIND("x",Q1604)-1))-2)))</f>
        <v>84</v>
      </c>
    </row>
    <row r="1605" spans="1:19" x14ac:dyDescent="0.25">
      <c r="A1605" t="s">
        <v>2046</v>
      </c>
      <c r="B1605" t="s">
        <v>176</v>
      </c>
      <c r="E1605" t="s">
        <v>2632</v>
      </c>
      <c r="H1605" t="s">
        <v>2668</v>
      </c>
      <c r="M1605" t="s">
        <v>2680</v>
      </c>
      <c r="N1605" t="s">
        <v>2681</v>
      </c>
      <c r="O1605" t="s">
        <v>105</v>
      </c>
      <c r="Q1605" t="s">
        <v>3813</v>
      </c>
      <c r="R1605" s="52">
        <f>_xlfn.NUMBERVALUE(convertNumberStringPointToNumberComma(LEFT(Q1605,FIND("x",Q1605)-2)))</f>
        <v>92</v>
      </c>
      <c r="S1605" s="52">
        <f>_xlfn.NUMBERVALUE(convertNumberStringPointToNumberComma(LEFT(RIGHT(Q1605,LEN(Q1605)-FIND("x",Q1605)-1),LEN(RIGHT(Q1605,LEN(Q1605)-FIND("x",Q1605)-1))-2)))</f>
        <v>120.9</v>
      </c>
    </row>
    <row r="1606" spans="1:19" x14ac:dyDescent="0.25">
      <c r="A1606" t="s">
        <v>2375</v>
      </c>
      <c r="B1606" t="s">
        <v>176</v>
      </c>
      <c r="E1606" t="s">
        <v>2632</v>
      </c>
      <c r="H1606" t="s">
        <v>2668</v>
      </c>
      <c r="M1606" t="s">
        <v>2748</v>
      </c>
      <c r="N1606" t="s">
        <v>903</v>
      </c>
      <c r="O1606" t="s">
        <v>472</v>
      </c>
      <c r="Q1606" t="s">
        <v>3931</v>
      </c>
      <c r="R1606" s="52">
        <f>_xlfn.NUMBERVALUE(convertNumberStringPointToNumberComma(LEFT(Q1606,FIND("x",Q1606)-2)))</f>
        <v>92</v>
      </c>
      <c r="S1606" s="52">
        <f>_xlfn.NUMBERVALUE(convertNumberStringPointToNumberComma(LEFT(RIGHT(Q1606,LEN(Q1606)-FIND("x",Q1606)-1),LEN(RIGHT(Q1606,LEN(Q1606)-FIND("x",Q1606)-1))-2)))</f>
        <v>122.4</v>
      </c>
    </row>
    <row r="1607" spans="1:19" x14ac:dyDescent="0.25">
      <c r="A1607" t="s">
        <v>2166</v>
      </c>
      <c r="B1607" t="s">
        <v>176</v>
      </c>
      <c r="E1607" t="s">
        <v>2632</v>
      </c>
      <c r="H1607" t="s">
        <v>2668</v>
      </c>
      <c r="M1607" t="s">
        <v>2804</v>
      </c>
      <c r="N1607" t="s">
        <v>903</v>
      </c>
      <c r="O1607" t="s">
        <v>105</v>
      </c>
      <c r="Q1607" t="s">
        <v>3855</v>
      </c>
      <c r="R1607" s="52">
        <f>_xlfn.NUMBERVALUE(convertNumberStringPointToNumberComma(LEFT(Q1607,FIND("x",Q1607)-2)))</f>
        <v>92</v>
      </c>
      <c r="S1607" s="52">
        <f>_xlfn.NUMBERVALUE(convertNumberStringPointToNumberComma(LEFT(RIGHT(Q1607,LEN(Q1607)-FIND("x",Q1607)-1),LEN(RIGHT(Q1607,LEN(Q1607)-FIND("x",Q1607)-1))-2)))</f>
        <v>122</v>
      </c>
    </row>
    <row r="1608" spans="1:19" x14ac:dyDescent="0.25">
      <c r="A1608" t="s">
        <v>1195</v>
      </c>
      <c r="B1608" t="s">
        <v>1044</v>
      </c>
      <c r="C1608" s="5">
        <f>convertNumberStringPointToNumberComma(IFERROR(LEFT(B1608,(FIND("-",B1608)-1)),LEFT(B1608,FIND("mm",B1608)-1)))</f>
        <v>28</v>
      </c>
      <c r="D1608" s="5">
        <f>convertNumberStringPointToNumberComma(IFERROR(RIGHT(LEFT(B1608,FIND("m",B1608)-1),LEN(LEFT(B1608,FIND("m",B1608)-1))-FIND("-",LEFT(B1608,FIND("m",B1608)-1))-1),C1608))</f>
        <v>0</v>
      </c>
      <c r="E1608" t="s">
        <v>2639</v>
      </c>
      <c r="F1608" s="9">
        <f>convertNumberStringPointToNumberComma(LEFT(MID(E1608,3,9),IFERROR(FIND("-",MID(E1608,3,9))-2,3)))</f>
        <v>3</v>
      </c>
      <c r="G1608" s="9">
        <f>convertNumberStringPointToNumberComma(RIGHT(E1608,IF(ISERROR(FIND(".",RIGHT(E1608,3))),1,3)))</f>
        <v>5.6</v>
      </c>
      <c r="H1608" t="s">
        <v>27</v>
      </c>
      <c r="I1608" s="5" t="str">
        <f>IF(H1608="none",0,LEFT(H1608,LEN(H1608)-2))</f>
        <v>77</v>
      </c>
      <c r="J1608" s="5" t="s">
        <v>63</v>
      </c>
      <c r="K1608" s="10">
        <f>IF(J1608="",0,convertNumberStringPointToNumberComma(LEFT(J1608,LEN(J1608)-1)))</f>
        <v>1</v>
      </c>
      <c r="L1608" t="s">
        <v>2701</v>
      </c>
      <c r="M1608" t="s">
        <v>2682</v>
      </c>
      <c r="N1608" t="s">
        <v>913</v>
      </c>
      <c r="O1608" t="s">
        <v>2835</v>
      </c>
      <c r="P1608" s="5" t="str">
        <f>LEFT(O1608,LEN(O1608)-1)</f>
        <v>1.67k</v>
      </c>
      <c r="Q1608" t="s">
        <v>3357</v>
      </c>
      <c r="R1608" s="52">
        <f>_xlfn.NUMBERVALUE(convertNumberStringPointToNumberComma(LEFT(Q1608,FIND("x",Q1608)-2)))</f>
        <v>92</v>
      </c>
      <c r="S1608" s="52">
        <f>_xlfn.NUMBERVALUE(convertNumberStringPointToNumberComma(LEFT(RIGHT(Q1608,LEN(Q1608)-FIND("x",Q1608)-1),LEN(RIGHT(Q1608,LEN(Q1608)-FIND("x",Q1608)-1))-2)))</f>
        <v>184</v>
      </c>
    </row>
    <row r="1609" spans="1:19" x14ac:dyDescent="0.25">
      <c r="A1609" t="s">
        <v>2564</v>
      </c>
      <c r="B1609" t="s">
        <v>929</v>
      </c>
      <c r="E1609" t="s">
        <v>2636</v>
      </c>
      <c r="H1609" t="s">
        <v>27</v>
      </c>
      <c r="L1609" t="s">
        <v>2698</v>
      </c>
      <c r="M1609" t="s">
        <v>2682</v>
      </c>
      <c r="N1609" t="s">
        <v>913</v>
      </c>
      <c r="O1609" t="s">
        <v>3012</v>
      </c>
      <c r="Q1609" t="s">
        <v>4049</v>
      </c>
      <c r="R1609" s="52">
        <f>_xlfn.NUMBERVALUE(convertNumberStringPointToNumberComma(LEFT(Q1609,FIND("x",Q1609)-2)))</f>
        <v>92</v>
      </c>
      <c r="S1609" s="52">
        <f>_xlfn.NUMBERVALUE(convertNumberStringPointToNumberComma(LEFT(RIGHT(Q1609,LEN(Q1609)-FIND("x",Q1609)-1),LEN(RIGHT(Q1609,LEN(Q1609)-FIND("x",Q1609)-1))-2)))</f>
        <v>189</v>
      </c>
    </row>
    <row r="1610" spans="1:19" x14ac:dyDescent="0.25">
      <c r="A1610" t="s">
        <v>1341</v>
      </c>
      <c r="B1610" t="s">
        <v>1342</v>
      </c>
      <c r="E1610" t="s">
        <v>2636</v>
      </c>
      <c r="H1610" t="s">
        <v>27</v>
      </c>
      <c r="L1610" t="s">
        <v>2769</v>
      </c>
      <c r="M1610" t="s">
        <v>2757</v>
      </c>
      <c r="N1610" t="s">
        <v>913</v>
      </c>
      <c r="O1610" t="s">
        <v>2878</v>
      </c>
      <c r="Q1610" t="s">
        <v>3441</v>
      </c>
      <c r="R1610" s="52">
        <f>_xlfn.NUMBERVALUE(convertNumberStringPointToNumberComma(LEFT(Q1610,FIND("x",Q1610)-2)))</f>
        <v>92</v>
      </c>
      <c r="S1610" s="52">
        <f>_xlfn.NUMBERVALUE(convertNumberStringPointToNumberComma(LEFT(RIGHT(Q1610,LEN(Q1610)-FIND("x",Q1610)-1),LEN(RIGHT(Q1610,LEN(Q1610)-FIND("x",Q1610)-1))-2)))</f>
        <v>203.5</v>
      </c>
    </row>
    <row r="1611" spans="1:19" x14ac:dyDescent="0.25">
      <c r="A1611" t="s">
        <v>2178</v>
      </c>
      <c r="B1611" t="s">
        <v>176</v>
      </c>
      <c r="E1611" t="s">
        <v>2632</v>
      </c>
      <c r="H1611" t="s">
        <v>2668</v>
      </c>
      <c r="M1611" t="s">
        <v>2682</v>
      </c>
      <c r="N1611" t="s">
        <v>913</v>
      </c>
      <c r="O1611" t="s">
        <v>545</v>
      </c>
      <c r="Q1611" t="s">
        <v>3859</v>
      </c>
      <c r="R1611" s="52">
        <f>_xlfn.NUMBERVALUE(convertNumberStringPointToNumberComma(LEFT(Q1611,FIND("x",Q1611)-2)))</f>
        <v>92</v>
      </c>
      <c r="S1611" s="52">
        <f>_xlfn.NUMBERVALUE(convertNumberStringPointToNumberComma(LEFT(RIGHT(Q1611,LEN(Q1611)-FIND("x",Q1611)-1),LEN(RIGHT(Q1611,LEN(Q1611)-FIND("x",Q1611)-1))-2)))</f>
        <v>86</v>
      </c>
    </row>
    <row r="1612" spans="1:19" x14ac:dyDescent="0.25">
      <c r="A1612" t="s">
        <v>2179</v>
      </c>
      <c r="B1612" t="s">
        <v>176</v>
      </c>
      <c r="E1612" t="s">
        <v>2632</v>
      </c>
      <c r="H1612" t="s">
        <v>2668</v>
      </c>
      <c r="M1612" t="s">
        <v>8</v>
      </c>
      <c r="N1612" t="s">
        <v>913</v>
      </c>
      <c r="O1612" t="s">
        <v>545</v>
      </c>
      <c r="Q1612" t="s">
        <v>3859</v>
      </c>
      <c r="R1612" s="52">
        <f>_xlfn.NUMBERVALUE(convertNumberStringPointToNumberComma(LEFT(Q1612,FIND("x",Q1612)-2)))</f>
        <v>92</v>
      </c>
      <c r="S1612" s="52">
        <f>_xlfn.NUMBERVALUE(convertNumberStringPointToNumberComma(LEFT(RIGHT(Q1612,LEN(Q1612)-FIND("x",Q1612)-1),LEN(RIGHT(Q1612,LEN(Q1612)-FIND("x",Q1612)-1))-2)))</f>
        <v>86</v>
      </c>
    </row>
    <row r="1613" spans="1:19" x14ac:dyDescent="0.25">
      <c r="A1613" t="s">
        <v>2180</v>
      </c>
      <c r="B1613" t="s">
        <v>176</v>
      </c>
      <c r="E1613" t="s">
        <v>2632</v>
      </c>
      <c r="H1613" t="s">
        <v>2668</v>
      </c>
      <c r="M1613" t="s">
        <v>2802</v>
      </c>
      <c r="N1613" t="s">
        <v>913</v>
      </c>
      <c r="O1613" t="s">
        <v>545</v>
      </c>
      <c r="Q1613" t="s">
        <v>3859</v>
      </c>
      <c r="R1613" s="52">
        <f>_xlfn.NUMBERVALUE(convertNumberStringPointToNumberComma(LEFT(Q1613,FIND("x",Q1613)-2)))</f>
        <v>92</v>
      </c>
      <c r="S1613" s="52">
        <f>_xlfn.NUMBERVALUE(convertNumberStringPointToNumberComma(LEFT(RIGHT(Q1613,LEN(Q1613)-FIND("x",Q1613)-1),LEN(RIGHT(Q1613,LEN(Q1613)-FIND("x",Q1613)-1))-2)))</f>
        <v>86</v>
      </c>
    </row>
    <row r="1614" spans="1:19" x14ac:dyDescent="0.25">
      <c r="A1614" t="s">
        <v>2181</v>
      </c>
      <c r="B1614" t="s">
        <v>176</v>
      </c>
      <c r="E1614" t="s">
        <v>2632</v>
      </c>
      <c r="H1614" t="s">
        <v>2668</v>
      </c>
      <c r="M1614" t="s">
        <v>2757</v>
      </c>
      <c r="N1614" t="s">
        <v>913</v>
      </c>
      <c r="O1614" t="s">
        <v>545</v>
      </c>
      <c r="Q1614" t="s">
        <v>3859</v>
      </c>
      <c r="R1614" s="52">
        <f>_xlfn.NUMBERVALUE(convertNumberStringPointToNumberComma(LEFT(Q1614,FIND("x",Q1614)-2)))</f>
        <v>92</v>
      </c>
      <c r="S1614" s="52">
        <f>_xlfn.NUMBERVALUE(convertNumberStringPointToNumberComma(LEFT(RIGHT(Q1614,LEN(Q1614)-FIND("x",Q1614)-1),LEN(RIGHT(Q1614,LEN(Q1614)-FIND("x",Q1614)-1))-2)))</f>
        <v>86</v>
      </c>
    </row>
    <row r="1615" spans="1:19" x14ac:dyDescent="0.25">
      <c r="A1615" t="s">
        <v>2217</v>
      </c>
      <c r="B1615" t="s">
        <v>176</v>
      </c>
      <c r="E1615" t="s">
        <v>2632</v>
      </c>
      <c r="H1615" t="s">
        <v>2668</v>
      </c>
      <c r="M1615" t="s">
        <v>2681</v>
      </c>
      <c r="N1615" t="s">
        <v>2681</v>
      </c>
      <c r="O1615" t="s">
        <v>545</v>
      </c>
      <c r="Q1615" t="s">
        <v>3859</v>
      </c>
      <c r="R1615" s="52">
        <f>_xlfn.NUMBERVALUE(convertNumberStringPointToNumberComma(LEFT(Q1615,FIND("x",Q1615)-2)))</f>
        <v>92</v>
      </c>
      <c r="S1615" s="52">
        <f>_xlfn.NUMBERVALUE(convertNumberStringPointToNumberComma(LEFT(RIGHT(Q1615,LEN(Q1615)-FIND("x",Q1615)-1),LEN(RIGHT(Q1615,LEN(Q1615)-FIND("x",Q1615)-1))-2)))</f>
        <v>86</v>
      </c>
    </row>
    <row r="1616" spans="1:19" x14ac:dyDescent="0.25">
      <c r="A1616" t="s">
        <v>2350</v>
      </c>
      <c r="B1616" t="s">
        <v>176</v>
      </c>
      <c r="E1616" t="s">
        <v>2632</v>
      </c>
      <c r="H1616" t="s">
        <v>2668</v>
      </c>
      <c r="M1616" t="s">
        <v>2674</v>
      </c>
      <c r="N1616" t="s">
        <v>913</v>
      </c>
      <c r="O1616" t="s">
        <v>545</v>
      </c>
      <c r="Q1616" t="s">
        <v>3859</v>
      </c>
      <c r="R1616" s="52">
        <f>_xlfn.NUMBERVALUE(convertNumberStringPointToNumberComma(LEFT(Q1616,FIND("x",Q1616)-2)))</f>
        <v>92</v>
      </c>
      <c r="S1616" s="52">
        <f>_xlfn.NUMBERVALUE(convertNumberStringPointToNumberComma(LEFT(RIGHT(Q1616,LEN(Q1616)-FIND("x",Q1616)-1),LEN(RIGHT(Q1616,LEN(Q1616)-FIND("x",Q1616)-1))-2)))</f>
        <v>86</v>
      </c>
    </row>
    <row r="1617" spans="1:19" x14ac:dyDescent="0.25">
      <c r="A1617" t="s">
        <v>2508</v>
      </c>
      <c r="B1617" t="s">
        <v>572</v>
      </c>
      <c r="E1617" t="s">
        <v>2633</v>
      </c>
      <c r="H1617" t="s">
        <v>27</v>
      </c>
      <c r="L1617" t="s">
        <v>2798</v>
      </c>
      <c r="M1617" t="s">
        <v>2680</v>
      </c>
      <c r="N1617" t="s">
        <v>2681</v>
      </c>
      <c r="O1617" t="s">
        <v>3163</v>
      </c>
      <c r="Q1617" t="s">
        <v>4026</v>
      </c>
      <c r="R1617" s="52">
        <f>_xlfn.NUMBERVALUE(convertNumberStringPointToNumberComma(LEFT(Q1617,FIND("x",Q1617)-2)))</f>
        <v>92.5</v>
      </c>
      <c r="S1617" s="52">
        <f>_xlfn.NUMBERVALUE(convertNumberStringPointToNumberComma(LEFT(RIGHT(Q1617,LEN(Q1617)-FIND("x",Q1617)-1),LEN(RIGHT(Q1617,LEN(Q1617)-FIND("x",Q1617)-1))-2)))</f>
        <v>227</v>
      </c>
    </row>
    <row r="1618" spans="1:19" x14ac:dyDescent="0.25">
      <c r="A1618" t="s">
        <v>2226</v>
      </c>
      <c r="B1618" t="s">
        <v>822</v>
      </c>
      <c r="E1618" t="s">
        <v>2648</v>
      </c>
      <c r="H1618" t="s">
        <v>197</v>
      </c>
      <c r="L1618" t="s">
        <v>2684</v>
      </c>
      <c r="M1618" t="s">
        <v>2682</v>
      </c>
      <c r="N1618" t="s">
        <v>913</v>
      </c>
      <c r="O1618" t="s">
        <v>2942</v>
      </c>
      <c r="Q1618" t="s">
        <v>3874</v>
      </c>
      <c r="R1618" s="52">
        <f>_xlfn.NUMBERVALUE(convertNumberStringPointToNumberComma(LEFT(Q1618,FIND("x",Q1618)-2)))</f>
        <v>93</v>
      </c>
      <c r="S1618" s="52">
        <f>_xlfn.NUMBERVALUE(convertNumberStringPointToNumberComma(LEFT(RIGHT(Q1618,LEN(Q1618)-FIND("x",Q1618)-1),LEN(RIGHT(Q1618,LEN(Q1618)-FIND("x",Q1618)-1))-2)))</f>
        <v>98.4</v>
      </c>
    </row>
    <row r="1619" spans="1:19" x14ac:dyDescent="0.25">
      <c r="A1619" t="s">
        <v>2068</v>
      </c>
      <c r="B1619" t="s">
        <v>1001</v>
      </c>
      <c r="E1619" t="s">
        <v>2644</v>
      </c>
      <c r="H1619" t="s">
        <v>56</v>
      </c>
      <c r="L1619" t="s">
        <v>2690</v>
      </c>
      <c r="M1619" t="s">
        <v>2674</v>
      </c>
      <c r="N1619" t="s">
        <v>903</v>
      </c>
      <c r="O1619" t="s">
        <v>3055</v>
      </c>
      <c r="Q1619" t="s">
        <v>3823</v>
      </c>
      <c r="R1619" s="52">
        <f>_xlfn.NUMBERVALUE(convertNumberStringPointToNumberComma(LEFT(Q1619,FIND("x",Q1619)-2)))</f>
        <v>93.2</v>
      </c>
      <c r="S1619" s="52">
        <f>_xlfn.NUMBERVALUE(convertNumberStringPointToNumberComma(LEFT(RIGHT(Q1619,LEN(Q1619)-FIND("x",Q1619)-1),LEN(RIGHT(Q1619,LEN(Q1619)-FIND("x",Q1619)-1))-2)))</f>
        <v>99</v>
      </c>
    </row>
    <row r="1620" spans="1:19" x14ac:dyDescent="0.25">
      <c r="A1620" t="s">
        <v>1367</v>
      </c>
      <c r="B1620" t="s">
        <v>1368</v>
      </c>
      <c r="E1620" t="s">
        <v>2635</v>
      </c>
      <c r="H1620" t="s">
        <v>21</v>
      </c>
      <c r="L1620" t="s">
        <v>2687</v>
      </c>
      <c r="M1620" t="s">
        <v>2708</v>
      </c>
      <c r="N1620" t="s">
        <v>903</v>
      </c>
      <c r="O1620" t="s">
        <v>2694</v>
      </c>
      <c r="Q1620" t="s">
        <v>3453</v>
      </c>
      <c r="R1620" s="52">
        <f>_xlfn.NUMBERVALUE(convertNumberStringPointToNumberComma(LEFT(Q1620,FIND("x",Q1620)-2)))</f>
        <v>93.5</v>
      </c>
      <c r="S1620" s="52">
        <f>_xlfn.NUMBERVALUE(convertNumberStringPointToNumberComma(LEFT(RIGHT(Q1620,LEN(Q1620)-FIND("x",Q1620)-1),LEN(RIGHT(Q1620,LEN(Q1620)-FIND("x",Q1620)-1))-2)))</f>
        <v>170.7</v>
      </c>
    </row>
    <row r="1621" spans="1:19" x14ac:dyDescent="0.25">
      <c r="A1621" t="s">
        <v>2333</v>
      </c>
      <c r="B1621" t="s">
        <v>1368</v>
      </c>
      <c r="E1621" t="s">
        <v>2635</v>
      </c>
      <c r="H1621" t="s">
        <v>21</v>
      </c>
      <c r="L1621" t="s">
        <v>2687</v>
      </c>
      <c r="M1621" t="s">
        <v>2793</v>
      </c>
      <c r="N1621" t="s">
        <v>903</v>
      </c>
      <c r="O1621" t="s">
        <v>2694</v>
      </c>
      <c r="Q1621" t="s">
        <v>3453</v>
      </c>
      <c r="R1621" s="52">
        <f>_xlfn.NUMBERVALUE(convertNumberStringPointToNumberComma(LEFT(Q1621,FIND("x",Q1621)-2)))</f>
        <v>93.5</v>
      </c>
      <c r="S1621" s="52">
        <f>_xlfn.NUMBERVALUE(convertNumberStringPointToNumberComma(LEFT(RIGHT(Q1621,LEN(Q1621)-FIND("x",Q1621)-1),LEN(RIGHT(Q1621,LEN(Q1621)-FIND("x",Q1621)-1))-2)))</f>
        <v>170.7</v>
      </c>
    </row>
    <row r="1622" spans="1:19" x14ac:dyDescent="0.25">
      <c r="A1622" t="s">
        <v>2580</v>
      </c>
      <c r="B1622" t="s">
        <v>1368</v>
      </c>
      <c r="E1622" t="s">
        <v>2635</v>
      </c>
      <c r="H1622" t="s">
        <v>21</v>
      </c>
      <c r="L1622" t="s">
        <v>2687</v>
      </c>
      <c r="M1622" t="s">
        <v>8</v>
      </c>
      <c r="N1622" t="s">
        <v>903</v>
      </c>
      <c r="O1622" t="s">
        <v>2694</v>
      </c>
      <c r="Q1622" t="s">
        <v>3453</v>
      </c>
      <c r="R1622" s="52">
        <f>_xlfn.NUMBERVALUE(convertNumberStringPointToNumberComma(LEFT(Q1622,FIND("x",Q1622)-2)))</f>
        <v>93.5</v>
      </c>
      <c r="S1622" s="52">
        <f>_xlfn.NUMBERVALUE(convertNumberStringPointToNumberComma(LEFT(RIGHT(Q1622,LEN(Q1622)-FIND("x",Q1622)-1),LEN(RIGHT(Q1622,LEN(Q1622)-FIND("x",Q1622)-1))-2)))</f>
        <v>170.7</v>
      </c>
    </row>
    <row r="1623" spans="1:19" x14ac:dyDescent="0.25">
      <c r="A1623" t="s">
        <v>1176</v>
      </c>
      <c r="B1623" t="s">
        <v>1023</v>
      </c>
      <c r="C1623" s="5">
        <f>convertNumberStringPointToNumberComma(IFERROR(LEFT(B1623,(FIND("-",B1623)-1)),LEFT(B1623,FIND("mm",B1623)-1)))</f>
        <v>200</v>
      </c>
      <c r="D1623" s="5">
        <f>convertNumberStringPointToNumberComma(IFERROR(RIGHT(LEFT(B1623,FIND("m",B1623)-1),LEN(LEFT(B1623,FIND("m",B1623)-1))-FIND("-",LEFT(B1623,FIND("m",B1623)-1))-1),C1623))</f>
        <v>0</v>
      </c>
      <c r="E1623" t="s">
        <v>2650</v>
      </c>
      <c r="F1623" s="9">
        <f>convertNumberStringPointToNumberComma(LEFT(MID(E1623,3,9),IFERROR(FIND("-",MID(E1623,3,9))-2,3)))</f>
        <v>5</v>
      </c>
      <c r="G1623" s="9">
        <f>convertNumberStringPointToNumberComma(RIGHT(E1623,IF(ISERROR(FIND(".",RIGHT(E1623,3))),1,3)))</f>
        <v>6.3</v>
      </c>
      <c r="H1623" t="s">
        <v>197</v>
      </c>
      <c r="I1623" s="5" t="str">
        <f>IF(H1623="none",0,LEFT(H1623,LEN(H1623)-2))</f>
        <v>86</v>
      </c>
      <c r="J1623" s="5" t="s">
        <v>188</v>
      </c>
      <c r="K1623" s="10">
        <f>IF(J1623="",0,convertNumberStringPointToNumberComma(LEFT(J1623,LEN(J1623)-1)))</f>
        <v>0.11</v>
      </c>
      <c r="L1623" t="s">
        <v>2698</v>
      </c>
      <c r="M1623" t="s">
        <v>2682</v>
      </c>
      <c r="N1623" t="s">
        <v>913</v>
      </c>
      <c r="O1623" t="s">
        <v>2828</v>
      </c>
      <c r="P1623" s="5" t="str">
        <f>LEFT(O1623,LEN(O1623)-1)</f>
        <v>1.24k</v>
      </c>
      <c r="Q1623" t="s">
        <v>3347</v>
      </c>
      <c r="R1623" s="52">
        <f>_xlfn.NUMBERVALUE(convertNumberStringPointToNumberComma(LEFT(Q1623,FIND("x",Q1623)-2)))</f>
        <v>93.5</v>
      </c>
      <c r="S1623" s="52">
        <f>_xlfn.NUMBERVALUE(convertNumberStringPointToNumberComma(LEFT(RIGHT(Q1623,LEN(Q1623)-FIND("x",Q1623)-1),LEN(RIGHT(Q1623,LEN(Q1623)-FIND("x",Q1623)-1))-2)))</f>
        <v>227</v>
      </c>
    </row>
    <row r="1624" spans="1:19" x14ac:dyDescent="0.25">
      <c r="A1624" t="s">
        <v>1177</v>
      </c>
      <c r="B1624" t="s">
        <v>1023</v>
      </c>
      <c r="C1624" s="5">
        <f>convertNumberStringPointToNumberComma(IFERROR(LEFT(B1624,(FIND("-",B1624)-1)),LEFT(B1624,FIND("mm",B1624)-1)))</f>
        <v>200</v>
      </c>
      <c r="D1624" s="5">
        <f>convertNumberStringPointToNumberComma(IFERROR(RIGHT(LEFT(B1624,FIND("m",B1624)-1),LEN(LEFT(B1624,FIND("m",B1624)-1))-FIND("-",LEFT(B1624,FIND("m",B1624)-1))-1),C1624))</f>
        <v>0</v>
      </c>
      <c r="E1624" t="s">
        <v>2650</v>
      </c>
      <c r="F1624" s="9">
        <f>convertNumberStringPointToNumberComma(LEFT(MID(E1624,3,9),IFERROR(FIND("-",MID(E1624,3,9))-2,3)))</f>
        <v>5</v>
      </c>
      <c r="G1624" s="9">
        <f>convertNumberStringPointToNumberComma(RIGHT(E1624,IF(ISERROR(FIND(".",RIGHT(E1624,3))),1,3)))</f>
        <v>6.3</v>
      </c>
      <c r="H1624" t="s">
        <v>197</v>
      </c>
      <c r="I1624" s="5" t="str">
        <f>IF(H1624="none",0,LEFT(H1624,LEN(H1624)-2))</f>
        <v>86</v>
      </c>
      <c r="J1624" s="5" t="s">
        <v>188</v>
      </c>
      <c r="K1624" s="10">
        <f>IF(J1624="",0,convertNumberStringPointToNumberComma(LEFT(J1624,LEN(J1624)-1)))</f>
        <v>0.11</v>
      </c>
      <c r="L1624" t="s">
        <v>2698</v>
      </c>
      <c r="M1624" t="s">
        <v>8</v>
      </c>
      <c r="N1624" t="s">
        <v>913</v>
      </c>
      <c r="O1624" t="s">
        <v>2828</v>
      </c>
      <c r="P1624" s="5" t="str">
        <f>LEFT(O1624,LEN(O1624)-1)</f>
        <v>1.24k</v>
      </c>
      <c r="Q1624" t="s">
        <v>3347</v>
      </c>
      <c r="R1624" s="52">
        <f>_xlfn.NUMBERVALUE(convertNumberStringPointToNumberComma(LEFT(Q1624,FIND("x",Q1624)-2)))</f>
        <v>93.5</v>
      </c>
      <c r="S1624" s="52">
        <f>_xlfn.NUMBERVALUE(convertNumberStringPointToNumberComma(LEFT(RIGHT(Q1624,LEN(Q1624)-FIND("x",Q1624)-1),LEN(RIGHT(Q1624,LEN(Q1624)-FIND("x",Q1624)-1))-2)))</f>
        <v>227</v>
      </c>
    </row>
    <row r="1625" spans="1:19" x14ac:dyDescent="0.25">
      <c r="A1625" t="s">
        <v>1481</v>
      </c>
      <c r="B1625" t="s">
        <v>1023</v>
      </c>
      <c r="E1625" t="s">
        <v>2650</v>
      </c>
      <c r="H1625" t="s">
        <v>197</v>
      </c>
      <c r="L1625" t="s">
        <v>2698</v>
      </c>
      <c r="M1625" t="s">
        <v>2757</v>
      </c>
      <c r="N1625" t="s">
        <v>913</v>
      </c>
      <c r="O1625" t="s">
        <v>2828</v>
      </c>
      <c r="Q1625" t="s">
        <v>3347</v>
      </c>
      <c r="R1625" s="52">
        <f>_xlfn.NUMBERVALUE(convertNumberStringPointToNumberComma(LEFT(Q1625,FIND("x",Q1625)-2)))</f>
        <v>93.5</v>
      </c>
      <c r="S1625" s="52">
        <f>_xlfn.NUMBERVALUE(convertNumberStringPointToNumberComma(LEFT(RIGHT(Q1625,LEN(Q1625)-FIND("x",Q1625)-1),LEN(RIGHT(Q1625,LEN(Q1625)-FIND("x",Q1625)-1))-2)))</f>
        <v>227</v>
      </c>
    </row>
    <row r="1626" spans="1:19" x14ac:dyDescent="0.25">
      <c r="A1626" t="s">
        <v>1318</v>
      </c>
      <c r="B1626" t="s">
        <v>505</v>
      </c>
      <c r="E1626" t="s">
        <v>2643</v>
      </c>
      <c r="H1626" t="s">
        <v>27</v>
      </c>
      <c r="L1626" t="s">
        <v>2706</v>
      </c>
      <c r="M1626" t="s">
        <v>2682</v>
      </c>
      <c r="N1626" t="s">
        <v>913</v>
      </c>
      <c r="O1626" t="s">
        <v>2872</v>
      </c>
      <c r="Q1626" t="s">
        <v>3429</v>
      </c>
      <c r="R1626" s="52">
        <f>_xlfn.NUMBERVALUE(convertNumberStringPointToNumberComma(LEFT(Q1626,FIND("x",Q1626)-2)))</f>
        <v>93.5</v>
      </c>
      <c r="S1626" s="52">
        <f>_xlfn.NUMBERVALUE(convertNumberStringPointToNumberComma(LEFT(RIGHT(Q1626,LEN(Q1626)-FIND("x",Q1626)-1),LEN(RIGHT(Q1626,LEN(Q1626)-FIND("x",Q1626)-1))-2)))</f>
        <v>86.9</v>
      </c>
    </row>
    <row r="1627" spans="1:19" x14ac:dyDescent="0.25">
      <c r="A1627" t="s">
        <v>928</v>
      </c>
      <c r="B1627" t="s">
        <v>929</v>
      </c>
      <c r="C1627" s="5">
        <f>convertNumberStringPointToNumberComma(IFERROR(LEFT(B1627,(FIND("-",B1627)-1)),LEFT(B1627,FIND("mm",B1627)-1)))</f>
        <v>100</v>
      </c>
      <c r="D1627" s="5">
        <f>convertNumberStringPointToNumberComma(IFERROR(RIGHT(LEFT(B1627,FIND("m",B1627)-1),LEN(LEFT(B1627,FIND("m",B1627)-1))-FIND("-",LEFT(B1627,FIND("m",B1627)-1))-1),C1627))</f>
        <v>0</v>
      </c>
      <c r="E1627" t="s">
        <v>2636</v>
      </c>
      <c r="F1627" s="9">
        <f>convertNumberStringPointToNumberComma(LEFT(MID(E1627,3,9),IFERROR(FIND("-",MID(E1627,3,9))-2,3)))</f>
        <v>4</v>
      </c>
      <c r="G1627" s="9">
        <f>convertNumberStringPointToNumberComma(RIGHT(E1627,IF(ISERROR(FIND(".",RIGHT(E1627,3))),1,3)))</f>
        <v>5.6</v>
      </c>
      <c r="H1627" t="s">
        <v>27</v>
      </c>
      <c r="I1627" s="5" t="str">
        <f>IF(H1627="none",0,LEFT(H1627,LEN(H1627)-2))</f>
        <v>77</v>
      </c>
      <c r="J1627" s="5" t="s">
        <v>22</v>
      </c>
      <c r="K1627" s="10">
        <f>IF(J1627="",0,convertNumberStringPointToNumberComma(LEFT(J1627,LEN(J1627)-1)))</f>
        <v>0.15</v>
      </c>
      <c r="L1627" t="s">
        <v>2690</v>
      </c>
      <c r="M1627" t="s">
        <v>2674</v>
      </c>
      <c r="N1627" t="s">
        <v>913</v>
      </c>
      <c r="O1627" t="s">
        <v>2691</v>
      </c>
      <c r="P1627" s="5" t="str">
        <f>LEFT(O1627,LEN(O1627)-1)</f>
        <v>1.40k</v>
      </c>
      <c r="Q1627" t="s">
        <v>3205</v>
      </c>
      <c r="R1627" s="52">
        <f>_xlfn.NUMBERVALUE(convertNumberStringPointToNumberComma(LEFT(Q1627,FIND("x",Q1627)-2)))</f>
        <v>93.9</v>
      </c>
      <c r="S1627" s="52">
        <f>_xlfn.NUMBERVALUE(convertNumberStringPointToNumberComma(LEFT(RIGHT(Q1627,LEN(Q1627)-FIND("x",Q1627)-1),LEN(RIGHT(Q1627,LEN(Q1627)-FIND("x",Q1627)-1))-2)))</f>
        <v>205</v>
      </c>
    </row>
    <row r="1628" spans="1:19" x14ac:dyDescent="0.25">
      <c r="A1628" t="s">
        <v>938</v>
      </c>
      <c r="B1628" t="s">
        <v>929</v>
      </c>
      <c r="C1628" s="5">
        <f>convertNumberStringPointToNumberComma(IFERROR(LEFT(B1628,(FIND("-",B1628)-1)),LEFT(B1628,FIND("mm",B1628)-1)))</f>
        <v>100</v>
      </c>
      <c r="D1628" s="5">
        <f>convertNumberStringPointToNumberComma(IFERROR(RIGHT(LEFT(B1628,FIND("m",B1628)-1),LEN(LEFT(B1628,FIND("m",B1628)-1))-FIND("-",LEFT(B1628,FIND("m",B1628)-1))-1),C1628))</f>
        <v>0</v>
      </c>
      <c r="E1628" t="s">
        <v>2636</v>
      </c>
      <c r="F1628" s="9">
        <f>convertNumberStringPointToNumberComma(LEFT(MID(E1628,3,9),IFERROR(FIND("-",MID(E1628,3,9))-2,3)))</f>
        <v>4</v>
      </c>
      <c r="G1628" s="9">
        <f>convertNumberStringPointToNumberComma(RIGHT(E1628,IF(ISERROR(FIND(".",RIGHT(E1628,3))),1,3)))</f>
        <v>5.6</v>
      </c>
      <c r="H1628" t="s">
        <v>27</v>
      </c>
      <c r="I1628" s="5" t="str">
        <f>IF(H1628="none",0,LEFT(H1628,LEN(H1628)-2))</f>
        <v>77</v>
      </c>
      <c r="J1628" s="5" t="s">
        <v>104</v>
      </c>
      <c r="K1628" s="10">
        <f>IF(J1628="",0,convertNumberStringPointToNumberComma(LEFT(J1628,LEN(J1628)-1)))</f>
        <v>0.08</v>
      </c>
      <c r="L1628" t="s">
        <v>2688</v>
      </c>
      <c r="M1628" t="s">
        <v>2682</v>
      </c>
      <c r="N1628" t="s">
        <v>913</v>
      </c>
      <c r="O1628" t="s">
        <v>2700</v>
      </c>
      <c r="P1628" s="5" t="str">
        <f>LEFT(O1628,LEN(O1628)-1)</f>
        <v>1.57k</v>
      </c>
      <c r="Q1628" t="s">
        <v>3212</v>
      </c>
      <c r="R1628" s="52">
        <f>_xlfn.NUMBERVALUE(convertNumberStringPointToNumberComma(LEFT(Q1628,FIND("x",Q1628)-2)))</f>
        <v>94</v>
      </c>
      <c r="S1628" s="52">
        <f>_xlfn.NUMBERVALUE(convertNumberStringPointToNumberComma(LEFT(RIGHT(Q1628,LEN(Q1628)-FIND("x",Q1628)-1),LEN(RIGHT(Q1628,LEN(Q1628)-FIND("x",Q1628)-1))-2)))</f>
        <v>193</v>
      </c>
    </row>
    <row r="1629" spans="1:19" x14ac:dyDescent="0.25">
      <c r="A1629" t="s">
        <v>2060</v>
      </c>
      <c r="B1629" t="s">
        <v>176</v>
      </c>
      <c r="E1629" t="s">
        <v>2981</v>
      </c>
      <c r="M1629" t="s">
        <v>8</v>
      </c>
      <c r="N1629" t="s">
        <v>913</v>
      </c>
      <c r="O1629" t="s">
        <v>3061</v>
      </c>
      <c r="Q1629" t="s">
        <v>180</v>
      </c>
      <c r="R1629" s="52">
        <f>_xlfn.NUMBERVALUE(convertNumberStringPointToNumberComma(LEFT(Q1629,FIND("x",Q1629)-2)))</f>
        <v>94</v>
      </c>
      <c r="S1629" s="52">
        <f>_xlfn.NUMBERVALUE(convertNumberStringPointToNumberComma(LEFT(RIGHT(Q1629,LEN(Q1629)-FIND("x",Q1629)-1),LEN(RIGHT(Q1629,LEN(Q1629)-FIND("x",Q1629)-1))-2)))</f>
        <v>87</v>
      </c>
    </row>
    <row r="1630" spans="1:19" x14ac:dyDescent="0.25">
      <c r="A1630" t="s">
        <v>2061</v>
      </c>
      <c r="B1630" t="s">
        <v>176</v>
      </c>
      <c r="E1630" t="s">
        <v>2981</v>
      </c>
      <c r="M1630" t="s">
        <v>2682</v>
      </c>
      <c r="N1630" t="s">
        <v>913</v>
      </c>
      <c r="O1630" t="s">
        <v>3061</v>
      </c>
      <c r="Q1630" t="s">
        <v>180</v>
      </c>
      <c r="R1630" s="52">
        <f>_xlfn.NUMBERVALUE(convertNumberStringPointToNumberComma(LEFT(Q1630,FIND("x",Q1630)-2)))</f>
        <v>94</v>
      </c>
      <c r="S1630" s="52">
        <f>_xlfn.NUMBERVALUE(convertNumberStringPointToNumberComma(LEFT(RIGHT(Q1630,LEN(Q1630)-FIND("x",Q1630)-1),LEN(RIGHT(Q1630,LEN(Q1630)-FIND("x",Q1630)-1))-2)))</f>
        <v>87</v>
      </c>
    </row>
    <row r="1631" spans="1:19" x14ac:dyDescent="0.25">
      <c r="A1631" t="s">
        <v>2393</v>
      </c>
      <c r="B1631" t="s">
        <v>176</v>
      </c>
      <c r="E1631" t="s">
        <v>2981</v>
      </c>
      <c r="M1631" t="s">
        <v>2802</v>
      </c>
      <c r="N1631" t="s">
        <v>913</v>
      </c>
      <c r="O1631" t="s">
        <v>3061</v>
      </c>
      <c r="Q1631" t="s">
        <v>180</v>
      </c>
      <c r="R1631" s="52">
        <f>_xlfn.NUMBERVALUE(convertNumberStringPointToNumberComma(LEFT(Q1631,FIND("x",Q1631)-2)))</f>
        <v>94</v>
      </c>
      <c r="S1631" s="52">
        <f>_xlfn.NUMBERVALUE(convertNumberStringPointToNumberComma(LEFT(RIGHT(Q1631,LEN(Q1631)-FIND("x",Q1631)-1),LEN(RIGHT(Q1631,LEN(Q1631)-FIND("x",Q1631)-1))-2)))</f>
        <v>87</v>
      </c>
    </row>
    <row r="1632" spans="1:19" x14ac:dyDescent="0.25">
      <c r="A1632" t="s">
        <v>1054</v>
      </c>
      <c r="B1632" t="s">
        <v>75</v>
      </c>
      <c r="C1632" s="5">
        <f>convertNumberStringPointToNumberComma(IFERROR(LEFT(B1632,(FIND("-",B1632)-1)),LEFT(B1632,FIND("mm",B1632)-1)))</f>
        <v>105</v>
      </c>
      <c r="D1632" s="5">
        <f>convertNumberStringPointToNumberComma(IFERROR(RIGHT(LEFT(B1632,FIND("m",B1632)-1),LEN(LEFT(B1632,FIND("m",B1632)-1))-FIND("-",LEFT(B1632,FIND("m",B1632)-1))-1),C1632))</f>
        <v>105</v>
      </c>
      <c r="E1632" t="s">
        <v>2643</v>
      </c>
      <c r="F1632" s="9">
        <f>convertNumberStringPointToNumberComma(LEFT(MID(E1632,3,9),IFERROR(FIND("-",MID(E1632,3,9))-2,3)))</f>
        <v>1.4</v>
      </c>
      <c r="G1632" s="9">
        <f>convertNumberStringPointToNumberComma(RIGHT(E1632,IF(ISERROR(FIND(".",RIGHT(E1632,3))),1,3)))</f>
        <v>1.4</v>
      </c>
      <c r="H1632" t="s">
        <v>21</v>
      </c>
      <c r="I1632" s="5" t="str">
        <f>IF(H1632="none",0,LEFT(H1632,LEN(H1632)-2))</f>
        <v>82</v>
      </c>
      <c r="J1632" s="5" t="s">
        <v>251</v>
      </c>
      <c r="K1632" s="10">
        <f>IF(J1632="",0,convertNumberStringPointToNumberComma(LEFT(J1632,LEN(J1632)-1)))</f>
        <v>0.22</v>
      </c>
      <c r="L1632" t="s">
        <v>2766</v>
      </c>
      <c r="M1632" t="s">
        <v>8</v>
      </c>
      <c r="N1632" t="s">
        <v>913</v>
      </c>
      <c r="O1632" t="s">
        <v>81</v>
      </c>
      <c r="P1632" s="5" t="str">
        <f>LEFT(O1632,LEN(O1632)-1)</f>
        <v>985</v>
      </c>
      <c r="Q1632" t="s">
        <v>3285</v>
      </c>
      <c r="R1632" s="52">
        <f>_xlfn.NUMBERVALUE(convertNumberStringPointToNumberComma(LEFT(Q1632,FIND("x",Q1632)-2)))</f>
        <v>94.5</v>
      </c>
      <c r="S1632" s="52">
        <f>_xlfn.NUMBERVALUE(convertNumberStringPointToNumberComma(LEFT(RIGHT(Q1632,LEN(Q1632)-FIND("x",Q1632)-1),LEN(RIGHT(Q1632,LEN(Q1632)-FIND("x",Q1632)-1))-2)))</f>
        <v>106</v>
      </c>
    </row>
    <row r="1633" spans="1:19" x14ac:dyDescent="0.25">
      <c r="A1633" t="s">
        <v>1315</v>
      </c>
      <c r="B1633" t="s">
        <v>1316</v>
      </c>
      <c r="E1633" t="s">
        <v>2634</v>
      </c>
      <c r="H1633" t="s">
        <v>27</v>
      </c>
      <c r="L1633" t="s">
        <v>2725</v>
      </c>
      <c r="M1633" t="s">
        <v>2757</v>
      </c>
      <c r="N1633" t="s">
        <v>913</v>
      </c>
      <c r="O1633" t="s">
        <v>2745</v>
      </c>
      <c r="Q1633" t="s">
        <v>3427</v>
      </c>
      <c r="R1633" s="52">
        <f>_xlfn.NUMBERVALUE(convertNumberStringPointToNumberComma(LEFT(Q1633,FIND("x",Q1633)-2)))</f>
        <v>94.5</v>
      </c>
      <c r="S1633" s="52">
        <f>_xlfn.NUMBERVALUE(convertNumberStringPointToNumberComma(LEFT(RIGHT(Q1633,LEN(Q1633)-FIND("x",Q1633)-1),LEN(RIGHT(Q1633,LEN(Q1633)-FIND("x",Q1633)-1))-2)))</f>
        <v>196</v>
      </c>
    </row>
    <row r="1634" spans="1:19" x14ac:dyDescent="0.25">
      <c r="B1634" t="s">
        <v>1316</v>
      </c>
      <c r="E1634" t="s">
        <v>2634</v>
      </c>
      <c r="H1634" t="s">
        <v>27</v>
      </c>
      <c r="L1634" t="s">
        <v>2725</v>
      </c>
      <c r="M1634" t="s">
        <v>2757</v>
      </c>
      <c r="N1634" t="s">
        <v>913</v>
      </c>
      <c r="O1634" t="s">
        <v>2694</v>
      </c>
      <c r="Q1634" t="s">
        <v>3427</v>
      </c>
      <c r="R1634" s="52">
        <f>_xlfn.NUMBERVALUE(convertNumberStringPointToNumberComma(LEFT(Q1634,FIND("x",Q1634)-2)))</f>
        <v>94.5</v>
      </c>
      <c r="S1634" s="52">
        <f>_xlfn.NUMBERVALUE(convertNumberStringPointToNumberComma(LEFT(RIGHT(Q1634,LEN(Q1634)-FIND("x",Q1634)-1),LEN(RIGHT(Q1634,LEN(Q1634)-FIND("x",Q1634)-1))-2)))</f>
        <v>196</v>
      </c>
    </row>
    <row r="1635" spans="1:19" x14ac:dyDescent="0.25">
      <c r="A1635" t="s">
        <v>1068</v>
      </c>
      <c r="B1635" t="s">
        <v>822</v>
      </c>
      <c r="C1635" s="5">
        <f>convertNumberStringPointToNumberComma(IFERROR(LEFT(B1635,(FIND("-",B1635)-1)),LEFT(B1635,FIND("mm",B1635)-1)))</f>
        <v>85</v>
      </c>
      <c r="D1635" s="5">
        <f>convertNumberStringPointToNumberComma(IFERROR(RIGHT(LEFT(B1635,FIND("m",B1635)-1),LEN(LEFT(B1635,FIND("m",B1635)-1))-FIND("-",LEFT(B1635,FIND("m",B1635)-1))-1),C1635))</f>
        <v>85</v>
      </c>
      <c r="E1635" t="s">
        <v>2643</v>
      </c>
      <c r="F1635" s="9">
        <f>convertNumberStringPointToNumberComma(LEFT(MID(E1635,3,9),IFERROR(FIND("-",MID(E1635,3,9))-2,3)))</f>
        <v>1.4</v>
      </c>
      <c r="G1635" s="9">
        <f>convertNumberStringPointToNumberComma(RIGHT(E1635,IF(ISERROR(FIND(".",RIGHT(E1635,3))),1,3)))</f>
        <v>1.4</v>
      </c>
      <c r="H1635" t="s">
        <v>197</v>
      </c>
      <c r="I1635" s="5" t="str">
        <f>IF(H1635="none",0,LEFT(H1635,LEN(H1635)-2))</f>
        <v>86</v>
      </c>
      <c r="J1635" s="5" t="s">
        <v>36</v>
      </c>
      <c r="K1635" s="10">
        <f>IF(J1635="",0,convertNumberStringPointToNumberComma(LEFT(J1635,LEN(J1635)-1)))</f>
        <v>0.18</v>
      </c>
      <c r="L1635" t="s">
        <v>2773</v>
      </c>
      <c r="M1635" t="s">
        <v>8</v>
      </c>
      <c r="N1635" t="s">
        <v>913</v>
      </c>
      <c r="O1635" t="s">
        <v>2774</v>
      </c>
      <c r="P1635" s="5" t="str">
        <f>LEFT(O1635,LEN(O1635)-1)</f>
        <v>1.13k</v>
      </c>
      <c r="Q1635" t="s">
        <v>3294</v>
      </c>
      <c r="R1635" s="52">
        <f>_xlfn.NUMBERVALUE(convertNumberStringPointToNumberComma(LEFT(Q1635,FIND("x",Q1635)-2)))</f>
        <v>94.7</v>
      </c>
      <c r="S1635" s="52">
        <f>_xlfn.NUMBERVALUE(convertNumberStringPointToNumberComma(LEFT(RIGHT(Q1635,LEN(Q1635)-FIND("x",Q1635)-1),LEN(RIGHT(Q1635,LEN(Q1635)-FIND("x",Q1635)-1))-2)))</f>
        <v>126.2</v>
      </c>
    </row>
    <row r="1636" spans="1:19" x14ac:dyDescent="0.25">
      <c r="A1636" t="s">
        <v>1745</v>
      </c>
      <c r="B1636" t="s">
        <v>822</v>
      </c>
      <c r="E1636" t="s">
        <v>2643</v>
      </c>
      <c r="H1636" t="s">
        <v>197</v>
      </c>
      <c r="L1636" t="s">
        <v>2773</v>
      </c>
      <c r="M1636" t="s">
        <v>2793</v>
      </c>
      <c r="N1636" t="s">
        <v>913</v>
      </c>
      <c r="O1636" t="s">
        <v>2774</v>
      </c>
      <c r="Q1636" t="s">
        <v>3294</v>
      </c>
      <c r="R1636" s="52">
        <f>_xlfn.NUMBERVALUE(convertNumberStringPointToNumberComma(LEFT(Q1636,FIND("x",Q1636)-2)))</f>
        <v>94.7</v>
      </c>
      <c r="S1636" s="52">
        <f>_xlfn.NUMBERVALUE(convertNumberStringPointToNumberComma(LEFT(RIGHT(Q1636,LEN(Q1636)-FIND("x",Q1636)-1),LEN(RIGHT(Q1636,LEN(Q1636)-FIND("x",Q1636)-1))-2)))</f>
        <v>126.2</v>
      </c>
    </row>
    <row r="1637" spans="1:19" x14ac:dyDescent="0.25">
      <c r="A1637" t="s">
        <v>2519</v>
      </c>
      <c r="B1637" t="s">
        <v>822</v>
      </c>
      <c r="E1637" t="s">
        <v>2643</v>
      </c>
      <c r="H1637" t="s">
        <v>197</v>
      </c>
      <c r="L1637" t="s">
        <v>2773</v>
      </c>
      <c r="M1637" t="s">
        <v>2682</v>
      </c>
      <c r="N1637" t="s">
        <v>913</v>
      </c>
      <c r="O1637" t="s">
        <v>2774</v>
      </c>
      <c r="Q1637" t="s">
        <v>3294</v>
      </c>
      <c r="R1637" s="52">
        <f>_xlfn.NUMBERVALUE(convertNumberStringPointToNumberComma(LEFT(Q1637,FIND("x",Q1637)-2)))</f>
        <v>94.7</v>
      </c>
      <c r="S1637" s="52">
        <f>_xlfn.NUMBERVALUE(convertNumberStringPointToNumberComma(LEFT(RIGHT(Q1637,LEN(Q1637)-FIND("x",Q1637)-1),LEN(RIGHT(Q1637,LEN(Q1637)-FIND("x",Q1637)-1))-2)))</f>
        <v>126.2</v>
      </c>
    </row>
    <row r="1638" spans="1:19" x14ac:dyDescent="0.25">
      <c r="A1638" t="s">
        <v>1339</v>
      </c>
      <c r="B1638" t="s">
        <v>1340</v>
      </c>
      <c r="E1638" t="s">
        <v>2650</v>
      </c>
      <c r="H1638" t="s">
        <v>197</v>
      </c>
      <c r="L1638" t="s">
        <v>2846</v>
      </c>
      <c r="M1638" t="s">
        <v>8</v>
      </c>
      <c r="N1638" t="s">
        <v>913</v>
      </c>
      <c r="O1638" t="s">
        <v>2877</v>
      </c>
      <c r="Q1638" t="s">
        <v>3440</v>
      </c>
      <c r="R1638" s="52">
        <f>_xlfn.NUMBERVALUE(convertNumberStringPointToNumberComma(LEFT(Q1638,FIND("x",Q1638)-2)))</f>
        <v>94.7</v>
      </c>
      <c r="S1638" s="52">
        <f>_xlfn.NUMBERVALUE(convertNumberStringPointToNumberComma(LEFT(RIGHT(Q1638,LEN(Q1638)-FIND("x",Q1638)-1),LEN(RIGHT(Q1638,LEN(Q1638)-FIND("x",Q1638)-1))-2)))</f>
        <v>252</v>
      </c>
    </row>
    <row r="1639" spans="1:19" x14ac:dyDescent="0.25">
      <c r="A1639" t="s">
        <v>1618</v>
      </c>
      <c r="B1639" t="s">
        <v>1340</v>
      </c>
      <c r="E1639" t="s">
        <v>2650</v>
      </c>
      <c r="H1639" t="s">
        <v>197</v>
      </c>
      <c r="L1639" t="s">
        <v>2846</v>
      </c>
      <c r="M1639" t="s">
        <v>2682</v>
      </c>
      <c r="N1639" t="s">
        <v>913</v>
      </c>
      <c r="O1639" t="s">
        <v>2877</v>
      </c>
      <c r="Q1639" t="s">
        <v>3440</v>
      </c>
      <c r="R1639" s="52">
        <f>_xlfn.NUMBERVALUE(convertNumberStringPointToNumberComma(LEFT(Q1639,FIND("x",Q1639)-2)))</f>
        <v>94.7</v>
      </c>
      <c r="S1639" s="52">
        <f>_xlfn.NUMBERVALUE(convertNumberStringPointToNumberComma(LEFT(RIGHT(Q1639,LEN(Q1639)-FIND("x",Q1639)-1),LEN(RIGHT(Q1639,LEN(Q1639)-FIND("x",Q1639)-1))-2)))</f>
        <v>252</v>
      </c>
    </row>
    <row r="1640" spans="1:19" x14ac:dyDescent="0.25">
      <c r="A1640" t="s">
        <v>2309</v>
      </c>
      <c r="B1640" t="s">
        <v>1340</v>
      </c>
      <c r="E1640" t="s">
        <v>2650</v>
      </c>
      <c r="H1640" t="s">
        <v>197</v>
      </c>
      <c r="L1640" t="s">
        <v>2846</v>
      </c>
      <c r="M1640" t="s">
        <v>2793</v>
      </c>
      <c r="N1640" t="s">
        <v>903</v>
      </c>
      <c r="O1640" t="s">
        <v>2877</v>
      </c>
      <c r="Q1640" t="s">
        <v>3440</v>
      </c>
      <c r="R1640" s="52">
        <f>_xlfn.NUMBERVALUE(convertNumberStringPointToNumberComma(LEFT(Q1640,FIND("x",Q1640)-2)))</f>
        <v>94.7</v>
      </c>
      <c r="S1640" s="52">
        <f>_xlfn.NUMBERVALUE(convertNumberStringPointToNumberComma(LEFT(RIGHT(Q1640,LEN(Q1640)-FIND("x",Q1640)-1),LEN(RIGHT(Q1640,LEN(Q1640)-FIND("x",Q1640)-1))-2)))</f>
        <v>252</v>
      </c>
    </row>
    <row r="1641" spans="1:19" x14ac:dyDescent="0.25">
      <c r="A1641" t="s">
        <v>1122</v>
      </c>
      <c r="B1641" t="s">
        <v>929</v>
      </c>
      <c r="C1641" s="5">
        <f>convertNumberStringPointToNumberComma(IFERROR(LEFT(B1641,(FIND("-",B1641)-1)),LEFT(B1641,FIND("mm",B1641)-1)))</f>
        <v>100</v>
      </c>
      <c r="D1641" s="5">
        <f>convertNumberStringPointToNumberComma(IFERROR(RIGHT(LEFT(B1641,FIND("m",B1641)-1),LEN(LEFT(B1641,FIND("m",B1641)-1))-FIND("-",LEFT(B1641,FIND("m",B1641)-1))-1),C1641))</f>
        <v>0</v>
      </c>
      <c r="E1641" t="s">
        <v>2636</v>
      </c>
      <c r="F1641" s="9">
        <f>convertNumberStringPointToNumberComma(LEFT(MID(E1641,3,9),IFERROR(FIND("-",MID(E1641,3,9))-2,3)))</f>
        <v>4</v>
      </c>
      <c r="G1641" s="9">
        <f>convertNumberStringPointToNumberComma(RIGHT(E1641,IF(ISERROR(FIND(".",RIGHT(E1641,3))),1,3)))</f>
        <v>5.6</v>
      </c>
      <c r="H1641" t="s">
        <v>27</v>
      </c>
      <c r="I1641" s="5" t="str">
        <f>IF(H1641="none",0,LEFT(H1641,LEN(H1641)-2))</f>
        <v>77</v>
      </c>
      <c r="J1641" s="5" t="s">
        <v>36</v>
      </c>
      <c r="K1641" s="10">
        <f>IF(J1641="",0,convertNumberStringPointToNumberComma(LEFT(J1641,LEN(J1641)-1)))</f>
        <v>0.18</v>
      </c>
      <c r="L1641" t="s">
        <v>2673</v>
      </c>
      <c r="M1641" t="s">
        <v>2748</v>
      </c>
      <c r="N1641" t="s">
        <v>903</v>
      </c>
      <c r="O1641" t="s">
        <v>2801</v>
      </c>
      <c r="P1641" s="5" t="str">
        <f>LEFT(O1641,LEN(O1641)-1)</f>
        <v>1.38k</v>
      </c>
      <c r="Q1641" t="s">
        <v>3321</v>
      </c>
      <c r="R1641" s="52">
        <f>_xlfn.NUMBERVALUE(convertNumberStringPointToNumberComma(LEFT(Q1641,FIND("x",Q1641)-2)))</f>
        <v>94.8</v>
      </c>
      <c r="S1641" s="52">
        <f>_xlfn.NUMBERVALUE(convertNumberStringPointToNumberComma(LEFT(RIGHT(Q1641,LEN(Q1641)-FIND("x",Q1641)-1),LEN(RIGHT(Q1641,LEN(Q1641)-FIND("x",Q1641)-1))-2)))</f>
        <v>210.5</v>
      </c>
    </row>
    <row r="1642" spans="1:19" x14ac:dyDescent="0.25">
      <c r="A1642" t="s">
        <v>1607</v>
      </c>
      <c r="B1642" t="s">
        <v>929</v>
      </c>
      <c r="E1642" t="s">
        <v>2636</v>
      </c>
      <c r="H1642" t="s">
        <v>27</v>
      </c>
      <c r="L1642" t="s">
        <v>2673</v>
      </c>
      <c r="M1642" t="s">
        <v>2748</v>
      </c>
      <c r="N1642" t="s">
        <v>903</v>
      </c>
      <c r="O1642" t="s">
        <v>2801</v>
      </c>
      <c r="Q1642" t="s">
        <v>3321</v>
      </c>
      <c r="R1642" s="52">
        <f>_xlfn.NUMBERVALUE(convertNumberStringPointToNumberComma(LEFT(Q1642,FIND("x",Q1642)-2)))</f>
        <v>94.8</v>
      </c>
      <c r="S1642" s="52">
        <f>_xlfn.NUMBERVALUE(convertNumberStringPointToNumberComma(LEFT(RIGHT(Q1642,LEN(Q1642)-FIND("x",Q1642)-1),LEN(RIGHT(Q1642,LEN(Q1642)-FIND("x",Q1642)-1))-2)))</f>
        <v>210.5</v>
      </c>
    </row>
    <row r="1643" spans="1:19" x14ac:dyDescent="0.25">
      <c r="A1643" t="s">
        <v>2221</v>
      </c>
      <c r="B1643" t="s">
        <v>176</v>
      </c>
      <c r="E1643" t="s">
        <v>2656</v>
      </c>
      <c r="H1643" t="s">
        <v>2668</v>
      </c>
      <c r="L1643" t="s">
        <v>2910</v>
      </c>
      <c r="M1643" t="s">
        <v>2682</v>
      </c>
      <c r="N1643" t="s">
        <v>913</v>
      </c>
      <c r="O1643" t="s">
        <v>183</v>
      </c>
      <c r="Q1643" t="s">
        <v>3873</v>
      </c>
      <c r="R1643" s="52">
        <f>_xlfn.NUMBERVALUE(convertNumberStringPointToNumberComma(LEFT(Q1643,FIND("x",Q1643)-2)))</f>
        <v>95</v>
      </c>
      <c r="S1643" s="52">
        <f>_xlfn.NUMBERVALUE(convertNumberStringPointToNumberComma(LEFT(RIGHT(Q1643,LEN(Q1643)-FIND("x",Q1643)-1),LEN(RIGHT(Q1643,LEN(Q1643)-FIND("x",Q1643)-1))-2)))</f>
        <v>109.4</v>
      </c>
    </row>
    <row r="1644" spans="1:19" x14ac:dyDescent="0.25">
      <c r="A1644" t="s">
        <v>2223</v>
      </c>
      <c r="B1644" t="s">
        <v>176</v>
      </c>
      <c r="E1644" t="s">
        <v>2656</v>
      </c>
      <c r="H1644" t="s">
        <v>2668</v>
      </c>
      <c r="L1644" t="s">
        <v>2910</v>
      </c>
      <c r="M1644" t="s">
        <v>8</v>
      </c>
      <c r="N1644" t="s">
        <v>913</v>
      </c>
      <c r="O1644" t="s">
        <v>183</v>
      </c>
      <c r="Q1644" t="s">
        <v>3873</v>
      </c>
      <c r="R1644" s="52">
        <f>_xlfn.NUMBERVALUE(convertNumberStringPointToNumberComma(LEFT(Q1644,FIND("x",Q1644)-2)))</f>
        <v>95</v>
      </c>
      <c r="S1644" s="52">
        <f>_xlfn.NUMBERVALUE(convertNumberStringPointToNumberComma(LEFT(RIGHT(Q1644,LEN(Q1644)-FIND("x",Q1644)-1),LEN(RIGHT(Q1644,LEN(Q1644)-FIND("x",Q1644)-1))-2)))</f>
        <v>109.4</v>
      </c>
    </row>
    <row r="1645" spans="1:19" x14ac:dyDescent="0.25">
      <c r="A1645" t="s">
        <v>2076</v>
      </c>
      <c r="B1645" t="s">
        <v>664</v>
      </c>
      <c r="E1645" t="s">
        <v>2665</v>
      </c>
      <c r="H1645" t="s">
        <v>3062</v>
      </c>
      <c r="M1645" t="s">
        <v>2763</v>
      </c>
      <c r="N1645" t="s">
        <v>913</v>
      </c>
      <c r="O1645" t="s">
        <v>907</v>
      </c>
      <c r="Q1645" t="s">
        <v>3825</v>
      </c>
      <c r="R1645" s="52">
        <f>_xlfn.NUMBERVALUE(convertNumberStringPointToNumberComma(LEFT(Q1645,FIND("x",Q1645)-2)))</f>
        <v>95</v>
      </c>
      <c r="S1645" s="52">
        <f>_xlfn.NUMBERVALUE(convertNumberStringPointToNumberComma(LEFT(RIGHT(Q1645,LEN(Q1645)-FIND("x",Q1645)-1),LEN(RIGHT(Q1645,LEN(Q1645)-FIND("x",Q1645)-1))-2)))</f>
        <v>120</v>
      </c>
    </row>
    <row r="1646" spans="1:19" x14ac:dyDescent="0.25">
      <c r="A1646" t="s">
        <v>2077</v>
      </c>
      <c r="B1646" t="s">
        <v>664</v>
      </c>
      <c r="E1646" t="s">
        <v>2665</v>
      </c>
      <c r="H1646" t="s">
        <v>3062</v>
      </c>
      <c r="M1646" t="s">
        <v>8</v>
      </c>
      <c r="N1646" t="s">
        <v>913</v>
      </c>
      <c r="O1646" t="s">
        <v>907</v>
      </c>
      <c r="Q1646" t="s">
        <v>3825</v>
      </c>
      <c r="R1646" s="52">
        <f>_xlfn.NUMBERVALUE(convertNumberStringPointToNumberComma(LEFT(Q1646,FIND("x",Q1646)-2)))</f>
        <v>95</v>
      </c>
      <c r="S1646" s="52">
        <f>_xlfn.NUMBERVALUE(convertNumberStringPointToNumberComma(LEFT(RIGHT(Q1646,LEN(Q1646)-FIND("x",Q1646)-1),LEN(RIGHT(Q1646,LEN(Q1646)-FIND("x",Q1646)-1))-2)))</f>
        <v>120</v>
      </c>
    </row>
    <row r="1647" spans="1:19" x14ac:dyDescent="0.25">
      <c r="A1647" t="s">
        <v>1247</v>
      </c>
      <c r="B1647" t="s">
        <v>398</v>
      </c>
      <c r="C1647" s="5">
        <f>convertNumberStringPointToNumberComma(IFERROR(LEFT(B1647,(FIND("-",B1647)-1)),LEFT(B1647,FIND("mm",B1647)-1)))</f>
        <v>180</v>
      </c>
      <c r="D1647" s="5">
        <f>convertNumberStringPointToNumberComma(IFERROR(RIGHT(LEFT(B1647,FIND("m",B1647)-1),LEN(LEFT(B1647,FIND("m",B1647)-1))-FIND("-",LEFT(B1647,FIND("m",B1647)-1))-1),C1647))</f>
        <v>180</v>
      </c>
      <c r="E1647" t="s">
        <v>2632</v>
      </c>
      <c r="F1647" s="9">
        <f>convertNumberStringPointToNumberComma(LEFT(MID(E1647,3,9),IFERROR(FIND("-",MID(E1647,3,9))-2,3)))</f>
        <v>2.8</v>
      </c>
      <c r="G1647" s="9">
        <f>convertNumberStringPointToNumberComma(RIGHT(E1647,IF(ISERROR(FIND(".",RIGHT(E1647,3))),1,3)))</f>
        <v>2.8</v>
      </c>
      <c r="H1647" t="s">
        <v>197</v>
      </c>
      <c r="I1647" s="5" t="str">
        <f>IF(H1647="none",0,LEFT(H1647,LEN(H1647)-2))</f>
        <v>86</v>
      </c>
      <c r="J1647" s="5" t="s">
        <v>118</v>
      </c>
      <c r="K1647" s="10">
        <f>IF(J1647="",0,convertNumberStringPointToNumberComma(LEFT(J1647,LEN(J1647)-1)))</f>
        <v>0.16</v>
      </c>
      <c r="L1647" t="s">
        <v>2707</v>
      </c>
      <c r="M1647" t="s">
        <v>2682</v>
      </c>
      <c r="N1647" t="s">
        <v>913</v>
      </c>
      <c r="O1647" t="s">
        <v>2855</v>
      </c>
      <c r="P1647" s="5" t="str">
        <f>LEFT(O1647,LEN(O1647)-1)</f>
        <v>1.64k</v>
      </c>
      <c r="Q1647" t="s">
        <v>3390</v>
      </c>
      <c r="R1647" s="52">
        <f>_xlfn.NUMBERVALUE(convertNumberStringPointToNumberComma(LEFT(Q1647,FIND("x",Q1647)-2)))</f>
        <v>95</v>
      </c>
      <c r="S1647" s="52">
        <f>_xlfn.NUMBERVALUE(convertNumberStringPointToNumberComma(LEFT(RIGHT(Q1647,LEN(Q1647)-FIND("x",Q1647)-1),LEN(RIGHT(Q1647,LEN(Q1647)-FIND("x",Q1647)-1))-2)))</f>
        <v>203.9</v>
      </c>
    </row>
    <row r="1648" spans="1:19" x14ac:dyDescent="0.25">
      <c r="A1648" t="s">
        <v>2040</v>
      </c>
      <c r="B1648" t="s">
        <v>398</v>
      </c>
      <c r="E1648" t="s">
        <v>2632</v>
      </c>
      <c r="H1648" t="s">
        <v>197</v>
      </c>
      <c r="L1648" t="s">
        <v>2707</v>
      </c>
      <c r="M1648" t="s">
        <v>2793</v>
      </c>
      <c r="N1648" t="s">
        <v>903</v>
      </c>
      <c r="O1648" t="s">
        <v>2855</v>
      </c>
      <c r="Q1648" t="s">
        <v>3390</v>
      </c>
      <c r="R1648" s="52">
        <f>_xlfn.NUMBERVALUE(convertNumberStringPointToNumberComma(LEFT(Q1648,FIND("x",Q1648)-2)))</f>
        <v>95</v>
      </c>
      <c r="S1648" s="52">
        <f>_xlfn.NUMBERVALUE(convertNumberStringPointToNumberComma(LEFT(RIGHT(Q1648,LEN(Q1648)-FIND("x",Q1648)-1),LEN(RIGHT(Q1648,LEN(Q1648)-FIND("x",Q1648)-1))-2)))</f>
        <v>203.9</v>
      </c>
    </row>
    <row r="1649" spans="1:19" x14ac:dyDescent="0.25">
      <c r="A1649" t="s">
        <v>2041</v>
      </c>
      <c r="B1649" t="s">
        <v>398</v>
      </c>
      <c r="E1649" t="s">
        <v>2632</v>
      </c>
      <c r="H1649" t="s">
        <v>197</v>
      </c>
      <c r="L1649" t="s">
        <v>2707</v>
      </c>
      <c r="M1649" t="s">
        <v>2757</v>
      </c>
      <c r="N1649" t="s">
        <v>913</v>
      </c>
      <c r="O1649" t="s">
        <v>2855</v>
      </c>
      <c r="Q1649" t="s">
        <v>3390</v>
      </c>
      <c r="R1649" s="52">
        <f>_xlfn.NUMBERVALUE(convertNumberStringPointToNumberComma(LEFT(Q1649,FIND("x",Q1649)-2)))</f>
        <v>95</v>
      </c>
      <c r="S1649" s="52">
        <f>_xlfn.NUMBERVALUE(convertNumberStringPointToNumberComma(LEFT(RIGHT(Q1649,LEN(Q1649)-FIND("x",Q1649)-1),LEN(RIGHT(Q1649,LEN(Q1649)-FIND("x",Q1649)-1))-2)))</f>
        <v>203.9</v>
      </c>
    </row>
    <row r="1650" spans="1:19" x14ac:dyDescent="0.25">
      <c r="A1650" t="s">
        <v>2620</v>
      </c>
      <c r="B1650" t="s">
        <v>398</v>
      </c>
      <c r="E1650" t="s">
        <v>2632</v>
      </c>
      <c r="H1650" t="s">
        <v>197</v>
      </c>
      <c r="L1650" t="s">
        <v>2707</v>
      </c>
      <c r="M1650" t="s">
        <v>8</v>
      </c>
      <c r="N1650" t="s">
        <v>913</v>
      </c>
      <c r="O1650" t="s">
        <v>2855</v>
      </c>
      <c r="Q1650" t="s">
        <v>3390</v>
      </c>
      <c r="R1650" s="52">
        <f>_xlfn.NUMBERVALUE(convertNumberStringPointToNumberComma(LEFT(Q1650,FIND("x",Q1650)-2)))</f>
        <v>95</v>
      </c>
      <c r="S1650" s="52">
        <f>_xlfn.NUMBERVALUE(convertNumberStringPointToNumberComma(LEFT(RIGHT(Q1650,LEN(Q1650)-FIND("x",Q1650)-1),LEN(RIGHT(Q1650,LEN(Q1650)-FIND("x",Q1650)-1))-2)))</f>
        <v>203.9</v>
      </c>
    </row>
    <row r="1651" spans="1:19" x14ac:dyDescent="0.25">
      <c r="A1651" t="s">
        <v>1395</v>
      </c>
      <c r="B1651" t="s">
        <v>1153</v>
      </c>
      <c r="E1651" t="s">
        <v>2641</v>
      </c>
      <c r="H1651" t="s">
        <v>197</v>
      </c>
      <c r="L1651" t="s">
        <v>2893</v>
      </c>
      <c r="M1651" t="s">
        <v>8</v>
      </c>
      <c r="N1651" t="s">
        <v>913</v>
      </c>
      <c r="O1651" t="s">
        <v>2894</v>
      </c>
      <c r="Q1651" t="s">
        <v>3470</v>
      </c>
      <c r="R1651" s="52">
        <f>_xlfn.NUMBERVALUE(convertNumberStringPointToNumberComma(LEFT(Q1651,FIND("x",Q1651)-2)))</f>
        <v>95</v>
      </c>
      <c r="S1651" s="52">
        <f>_xlfn.NUMBERVALUE(convertNumberStringPointToNumberComma(LEFT(RIGHT(Q1651,LEN(Q1651)-FIND("x",Q1651)-1),LEN(RIGHT(Q1651,LEN(Q1651)-FIND("x",Q1651)-1))-2)))</f>
        <v>218.5</v>
      </c>
    </row>
    <row r="1652" spans="1:19" x14ac:dyDescent="0.25">
      <c r="A1652" t="s">
        <v>1994</v>
      </c>
      <c r="B1652" t="s">
        <v>459</v>
      </c>
      <c r="E1652" t="s">
        <v>2632</v>
      </c>
      <c r="H1652" t="s">
        <v>21</v>
      </c>
      <c r="L1652" t="s">
        <v>2698</v>
      </c>
      <c r="M1652" t="s">
        <v>8</v>
      </c>
      <c r="N1652" t="s">
        <v>913</v>
      </c>
      <c r="O1652" t="s">
        <v>462</v>
      </c>
      <c r="Q1652" t="s">
        <v>3786</v>
      </c>
      <c r="R1652" s="52">
        <f>_xlfn.NUMBERVALUE(convertNumberStringPointToNumberComma(LEFT(Q1652,FIND("x",Q1652)-2)))</f>
        <v>95.3</v>
      </c>
      <c r="S1652" s="52">
        <f>_xlfn.NUMBERVALUE(convertNumberStringPointToNumberComma(LEFT(RIGHT(Q1652,LEN(Q1652)-FIND("x",Q1652)-1),LEN(RIGHT(Q1652,LEN(Q1652)-FIND("x",Q1652)-1))-2)))</f>
        <v>92.5</v>
      </c>
    </row>
    <row r="1653" spans="1:19" x14ac:dyDescent="0.25">
      <c r="A1653" t="s">
        <v>1697</v>
      </c>
      <c r="B1653" t="s">
        <v>176</v>
      </c>
      <c r="E1653" t="s">
        <v>2635</v>
      </c>
      <c r="H1653" t="s">
        <v>2668</v>
      </c>
      <c r="L1653" t="s">
        <v>2982</v>
      </c>
      <c r="M1653" t="s">
        <v>2793</v>
      </c>
      <c r="N1653" t="s">
        <v>913</v>
      </c>
      <c r="O1653" t="s">
        <v>2983</v>
      </c>
      <c r="Q1653" t="s">
        <v>3637</v>
      </c>
      <c r="R1653" s="52">
        <f>_xlfn.NUMBERVALUE(convertNumberStringPointToNumberComma(LEFT(Q1653,FIND("x",Q1653)-2)))</f>
        <v>95.4</v>
      </c>
      <c r="S1653" s="52">
        <f>_xlfn.NUMBERVALUE(convertNumberStringPointToNumberComma(LEFT(RIGHT(Q1653,LEN(Q1653)-FIND("x",Q1653)-1),LEN(RIGHT(Q1653,LEN(Q1653)-FIND("x",Q1653)-1))-2)))</f>
        <v>126</v>
      </c>
    </row>
    <row r="1654" spans="1:19" x14ac:dyDescent="0.25">
      <c r="A1654" t="s">
        <v>2513</v>
      </c>
      <c r="B1654" t="s">
        <v>176</v>
      </c>
      <c r="E1654" t="s">
        <v>2635</v>
      </c>
      <c r="H1654" t="s">
        <v>2668</v>
      </c>
      <c r="L1654" t="s">
        <v>2982</v>
      </c>
      <c r="M1654" t="s">
        <v>2682</v>
      </c>
      <c r="N1654" t="s">
        <v>913</v>
      </c>
      <c r="O1654" t="s">
        <v>2983</v>
      </c>
      <c r="Q1654" t="s">
        <v>3637</v>
      </c>
      <c r="R1654" s="52">
        <f>_xlfn.NUMBERVALUE(convertNumberStringPointToNumberComma(LEFT(Q1654,FIND("x",Q1654)-2)))</f>
        <v>95.4</v>
      </c>
      <c r="S1654" s="52">
        <f>_xlfn.NUMBERVALUE(convertNumberStringPointToNumberComma(LEFT(RIGHT(Q1654,LEN(Q1654)-FIND("x",Q1654)-1),LEN(RIGHT(Q1654,LEN(Q1654)-FIND("x",Q1654)-1))-2)))</f>
        <v>126</v>
      </c>
    </row>
    <row r="1655" spans="1:19" x14ac:dyDescent="0.25">
      <c r="A1655" t="s">
        <v>2604</v>
      </c>
      <c r="B1655" t="s">
        <v>176</v>
      </c>
      <c r="E1655" t="s">
        <v>2635</v>
      </c>
      <c r="H1655" t="s">
        <v>2668</v>
      </c>
      <c r="L1655" t="s">
        <v>2982</v>
      </c>
      <c r="M1655" t="s">
        <v>8</v>
      </c>
      <c r="N1655" t="s">
        <v>913</v>
      </c>
      <c r="O1655" t="s">
        <v>2983</v>
      </c>
      <c r="Q1655" t="s">
        <v>3637</v>
      </c>
      <c r="R1655" s="52">
        <f>_xlfn.NUMBERVALUE(convertNumberStringPointToNumberComma(LEFT(Q1655,FIND("x",Q1655)-2)))</f>
        <v>95.4</v>
      </c>
      <c r="S1655" s="52">
        <f>_xlfn.NUMBERVALUE(convertNumberStringPointToNumberComma(LEFT(RIGHT(Q1655,LEN(Q1655)-FIND("x",Q1655)-1),LEN(RIGHT(Q1655,LEN(Q1655)-FIND("x",Q1655)-1))-2)))</f>
        <v>126</v>
      </c>
    </row>
    <row r="1656" spans="1:19" x14ac:dyDescent="0.25">
      <c r="A1656" t="s">
        <v>1993</v>
      </c>
      <c r="B1656" t="s">
        <v>459</v>
      </c>
      <c r="E1656" t="s">
        <v>2632</v>
      </c>
      <c r="H1656" t="s">
        <v>21</v>
      </c>
      <c r="L1656" t="s">
        <v>2698</v>
      </c>
      <c r="M1656" t="s">
        <v>2682</v>
      </c>
      <c r="N1656" t="s">
        <v>913</v>
      </c>
      <c r="O1656" t="s">
        <v>3054</v>
      </c>
      <c r="Q1656" t="s">
        <v>3785</v>
      </c>
      <c r="R1656" s="52">
        <f>_xlfn.NUMBERVALUE(convertNumberStringPointToNumberComma(LEFT(Q1656,FIND("x",Q1656)-2)))</f>
        <v>95.5</v>
      </c>
      <c r="S1656" s="52">
        <f>_xlfn.NUMBERVALUE(convertNumberStringPointToNumberComma(LEFT(RIGHT(Q1656,LEN(Q1656)-FIND("x",Q1656)-1),LEN(RIGHT(Q1656,LEN(Q1656)-FIND("x",Q1656)-1))-2)))</f>
        <v>95</v>
      </c>
    </row>
    <row r="1657" spans="1:19" x14ac:dyDescent="0.25">
      <c r="A1657" t="s">
        <v>1165</v>
      </c>
      <c r="B1657" t="s">
        <v>1065</v>
      </c>
      <c r="C1657" s="5">
        <f>convertNumberStringPointToNumberComma(IFERROR(LEFT(B1657,(FIND("-",B1657)-1)),LEFT(B1657,FIND("mm",B1657)-1)))</f>
        <v>35</v>
      </c>
      <c r="D1657" s="5">
        <f>convertNumberStringPointToNumberComma(IFERROR(RIGHT(LEFT(B1657,FIND("m",B1657)-1),LEN(LEFT(B1657,FIND("m",B1657)-1))-FIND("-",LEFT(B1657,FIND("m",B1657)-1))-1),C1657))</f>
        <v>0</v>
      </c>
      <c r="E1657" t="s">
        <v>2638</v>
      </c>
      <c r="F1657" s="9">
        <f>convertNumberStringPointToNumberComma(LEFT(MID(E1657,3,9),IFERROR(FIND("-",MID(E1657,3,9))-2,3)))</f>
        <v>2</v>
      </c>
      <c r="G1657" s="9">
        <f>convertNumberStringPointToNumberComma(RIGHT(E1657,IF(ISERROR(FIND(".",RIGHT(E1657,3))),1,3)))</f>
        <v>2</v>
      </c>
      <c r="H1657" t="s">
        <v>27</v>
      </c>
      <c r="I1657" s="5" t="str">
        <f>IF(H1657="none",0,LEFT(H1657,LEN(H1657)-2))</f>
        <v>77</v>
      </c>
      <c r="J1657" s="5" t="s">
        <v>162</v>
      </c>
      <c r="K1657" s="10">
        <f>IF(J1657="",0,convertNumberStringPointToNumberComma(LEFT(J1657,LEN(J1657)-1)))</f>
        <v>0.25</v>
      </c>
      <c r="L1657" t="s">
        <v>2822</v>
      </c>
      <c r="M1657" t="s">
        <v>2681</v>
      </c>
      <c r="N1657" t="s">
        <v>2681</v>
      </c>
      <c r="O1657" t="s">
        <v>2823</v>
      </c>
      <c r="P1657" s="5" t="str">
        <f>LEFT(O1657,LEN(O1657)-1)</f>
        <v>1.65k</v>
      </c>
      <c r="Q1657" t="s">
        <v>3340</v>
      </c>
      <c r="R1657" s="52">
        <f>_xlfn.NUMBERVALUE(convertNumberStringPointToNumberComma(LEFT(Q1657,FIND("x",Q1657)-2)))</f>
        <v>96.5</v>
      </c>
      <c r="S1657" s="52">
        <f>_xlfn.NUMBERVALUE(convertNumberStringPointToNumberComma(LEFT(RIGHT(Q1657,LEN(Q1657)-FIND("x",Q1657)-1),LEN(RIGHT(Q1657,LEN(Q1657)-FIND("x",Q1657)-1))-2)))</f>
        <v>213.5</v>
      </c>
    </row>
    <row r="1658" spans="1:19" x14ac:dyDescent="0.25">
      <c r="A1658" t="s">
        <v>2285</v>
      </c>
      <c r="B1658" t="s">
        <v>664</v>
      </c>
      <c r="E1658" t="s">
        <v>2665</v>
      </c>
      <c r="H1658" t="s">
        <v>203</v>
      </c>
      <c r="M1658" t="s">
        <v>3106</v>
      </c>
      <c r="O1658" t="s">
        <v>3108</v>
      </c>
      <c r="Q1658" t="s">
        <v>3898</v>
      </c>
      <c r="R1658" s="52">
        <f>_xlfn.NUMBERVALUE(convertNumberStringPointToNumberComma(LEFT(Q1658,FIND("x",Q1658)-2)))</f>
        <v>97</v>
      </c>
      <c r="S1658" s="52">
        <f>_xlfn.NUMBERVALUE(convertNumberStringPointToNumberComma(LEFT(RIGHT(Q1658,LEN(Q1658)-FIND("x",Q1658)-1),LEN(RIGHT(Q1658,LEN(Q1658)-FIND("x",Q1658)-1))-2)))</f>
        <v>115</v>
      </c>
    </row>
    <row r="1659" spans="1:19" x14ac:dyDescent="0.25">
      <c r="A1659" t="s">
        <v>2038</v>
      </c>
      <c r="B1659" t="s">
        <v>148</v>
      </c>
      <c r="E1659" t="s">
        <v>2632</v>
      </c>
      <c r="H1659" t="s">
        <v>56</v>
      </c>
      <c r="L1659" t="s">
        <v>2732</v>
      </c>
      <c r="M1659" t="s">
        <v>2674</v>
      </c>
      <c r="N1659" t="s">
        <v>913</v>
      </c>
      <c r="O1659" t="s">
        <v>3060</v>
      </c>
      <c r="Q1659" t="s">
        <v>3808</v>
      </c>
      <c r="R1659" s="52">
        <f>_xlfn.NUMBERVALUE(convertNumberStringPointToNumberComma(LEFT(Q1659,FIND("x",Q1659)-2)))</f>
        <v>98</v>
      </c>
      <c r="S1659" s="52">
        <f>_xlfn.NUMBERVALUE(convertNumberStringPointToNumberComma(LEFT(RIGHT(Q1659,LEN(Q1659)-FIND("x",Q1659)-1),LEN(RIGHT(Q1659,LEN(Q1659)-FIND("x",Q1659)-1))-2)))</f>
        <v>120</v>
      </c>
    </row>
    <row r="1660" spans="1:19" x14ac:dyDescent="0.25">
      <c r="A1660" t="s">
        <v>1020</v>
      </c>
      <c r="B1660" t="s">
        <v>1021</v>
      </c>
      <c r="C1660" s="5">
        <f>convertNumberStringPointToNumberComma(IFERROR(LEFT(B1660,(FIND("-",B1660)-1)),LEFT(B1660,FIND("mm",B1660)-1)))</f>
        <v>14</v>
      </c>
      <c r="D1660" s="5">
        <f>convertNumberStringPointToNumberComma(IFERROR(RIGHT(LEFT(B1660,FIND("m",B1660)-1),LEN(LEFT(B1660,FIND("m",B1660)-1))-FIND("-",LEFT(B1660,FIND("m",B1660)-1))-1),C1660))</f>
        <v>4</v>
      </c>
      <c r="E1660" t="s">
        <v>2632</v>
      </c>
      <c r="F1660" s="9">
        <f>convertNumberStringPointToNumberComma(LEFT(MID(E1660,3,9),IFERROR(FIND("-",MID(E1660,3,9))-2,3)))</f>
        <v>2.8</v>
      </c>
      <c r="G1660" s="9">
        <f>convertNumberStringPointToNumberComma(RIGHT(E1660,IF(ISERROR(FIND(".",RIGHT(E1660,3))),1,3)))</f>
        <v>2.8</v>
      </c>
      <c r="I1660" s="5" t="e">
        <f>IF(H1660="none",0,LEFT(H1660,LEN(H1660)-2))</f>
        <v>#VALUE!</v>
      </c>
      <c r="J1660" s="5" t="s">
        <v>326</v>
      </c>
      <c r="K1660" s="10">
        <f>IF(J1660="",0,convertNumberStringPointToNumberComma(LEFT(J1660,LEN(J1660)-1)))</f>
        <v>0.33</v>
      </c>
      <c r="L1660" t="s">
        <v>2687</v>
      </c>
      <c r="M1660" t="s">
        <v>8</v>
      </c>
      <c r="N1660" t="s">
        <v>913</v>
      </c>
      <c r="O1660" t="s">
        <v>2751</v>
      </c>
      <c r="P1660" s="5" t="str">
        <f>LEFT(O1660,LEN(O1660)-1)</f>
        <v>1.00k</v>
      </c>
      <c r="Q1660" t="s">
        <v>3268</v>
      </c>
      <c r="R1660" s="52">
        <f>_xlfn.NUMBERVALUE(convertNumberStringPointToNumberComma(LEFT(Q1660,FIND("x",Q1660)-2)))</f>
        <v>98</v>
      </c>
      <c r="S1660" s="52">
        <f>_xlfn.NUMBERVALUE(convertNumberStringPointToNumberComma(LEFT(RIGHT(Q1660,LEN(Q1660)-FIND("x",Q1660)-1),LEN(RIGHT(Q1660,LEN(Q1660)-FIND("x",Q1660)-1))-2)))</f>
        <v>131.5</v>
      </c>
    </row>
    <row r="1661" spans="1:19" x14ac:dyDescent="0.25">
      <c r="A1661" t="s">
        <v>1045</v>
      </c>
      <c r="B1661" t="s">
        <v>1046</v>
      </c>
      <c r="C1661" s="5">
        <f>convertNumberStringPointToNumberComma(IFERROR(LEFT(B1661,(FIND("-",B1661)-1)),LEFT(B1661,FIND("mm",B1661)-1)))</f>
        <v>15</v>
      </c>
      <c r="D1661" s="5">
        <f>convertNumberStringPointToNumberComma(IFERROR(RIGHT(LEFT(B1661,FIND("m",B1661)-1),LEN(LEFT(B1661,FIND("m",B1661)-1))-FIND("-",LEFT(B1661,FIND("m",B1661)-1))-1),C1661))</f>
        <v>0</v>
      </c>
      <c r="E1661" t="s">
        <v>2632</v>
      </c>
      <c r="F1661" s="9">
        <f>convertNumberStringPointToNumberComma(LEFT(MID(E1661,3,9),IFERROR(FIND("-",MID(E1661,3,9))-2,3)))</f>
        <v>2.8</v>
      </c>
      <c r="G1661" s="9">
        <f>convertNumberStringPointToNumberComma(RIGHT(E1661,IF(ISERROR(FIND(".",RIGHT(E1661,3))),1,3)))</f>
        <v>2.8</v>
      </c>
      <c r="I1661" s="5" t="e">
        <f>IF(H1661="none",0,LEFT(H1661,LEN(H1661)-2))</f>
        <v>#VALUE!</v>
      </c>
      <c r="J1661" s="5"/>
      <c r="K1661" s="10">
        <f>IF(J1661="",0,convertNumberStringPointToNumberComma(LEFT(J1661,LEN(J1661)-1)))</f>
        <v>0</v>
      </c>
      <c r="L1661" t="s">
        <v>2698</v>
      </c>
      <c r="M1661" t="s">
        <v>8</v>
      </c>
      <c r="N1661" t="s">
        <v>913</v>
      </c>
      <c r="O1661" t="s">
        <v>2762</v>
      </c>
      <c r="P1661" s="5" t="str">
        <f>LEFT(O1661,LEN(O1661)-1)</f>
        <v>1.10k</v>
      </c>
      <c r="Q1661" t="s">
        <v>3282</v>
      </c>
      <c r="R1661" s="52">
        <f>_xlfn.NUMBERVALUE(convertNumberStringPointToNumberComma(LEFT(Q1661,FIND("x",Q1661)-2)))</f>
        <v>98.4</v>
      </c>
      <c r="S1661" s="52">
        <f>_xlfn.NUMBERVALUE(convertNumberStringPointToNumberComma(LEFT(RIGHT(Q1661,LEN(Q1661)-FIND("x",Q1661)-1),LEN(RIGHT(Q1661,LEN(Q1661)-FIND("x",Q1661)-1))-2)))</f>
        <v>145</v>
      </c>
    </row>
    <row r="1662" spans="1:19" x14ac:dyDescent="0.25">
      <c r="A1662" t="s">
        <v>2481</v>
      </c>
      <c r="B1662" t="s">
        <v>1046</v>
      </c>
      <c r="E1662" t="s">
        <v>2632</v>
      </c>
      <c r="L1662" t="s">
        <v>2698</v>
      </c>
      <c r="M1662" t="s">
        <v>2682</v>
      </c>
      <c r="N1662" t="s">
        <v>913</v>
      </c>
      <c r="O1662" t="s">
        <v>2762</v>
      </c>
      <c r="Q1662" t="s">
        <v>3282</v>
      </c>
      <c r="R1662" s="52">
        <f>_xlfn.NUMBERVALUE(convertNumberStringPointToNumberComma(LEFT(Q1662,FIND("x",Q1662)-2)))</f>
        <v>98.4</v>
      </c>
      <c r="S1662" s="52">
        <f>_xlfn.NUMBERVALUE(convertNumberStringPointToNumberComma(LEFT(RIGHT(Q1662,LEN(Q1662)-FIND("x",Q1662)-1),LEN(RIGHT(Q1662,LEN(Q1662)-FIND("x",Q1662)-1))-2)))</f>
        <v>145</v>
      </c>
    </row>
    <row r="1663" spans="1:19" x14ac:dyDescent="0.25">
      <c r="A1663" t="s">
        <v>2541</v>
      </c>
      <c r="B1663" t="s">
        <v>1046</v>
      </c>
      <c r="E1663" t="s">
        <v>2632</v>
      </c>
      <c r="L1663" t="s">
        <v>2698</v>
      </c>
      <c r="M1663" t="s">
        <v>2757</v>
      </c>
      <c r="N1663" t="s">
        <v>913</v>
      </c>
      <c r="O1663" t="s">
        <v>2762</v>
      </c>
      <c r="Q1663" t="s">
        <v>3282</v>
      </c>
      <c r="R1663" s="52">
        <f>_xlfn.NUMBERVALUE(convertNumberStringPointToNumberComma(LEFT(Q1663,FIND("x",Q1663)-2)))</f>
        <v>98.4</v>
      </c>
      <c r="S1663" s="52">
        <f>_xlfn.NUMBERVALUE(convertNumberStringPointToNumberComma(LEFT(RIGHT(Q1663,LEN(Q1663)-FIND("x",Q1663)-1),LEN(RIGHT(Q1663,LEN(Q1663)-FIND("x",Q1663)-1))-2)))</f>
        <v>145</v>
      </c>
    </row>
    <row r="1664" spans="1:19" x14ac:dyDescent="0.25">
      <c r="A1664" t="s">
        <v>1586</v>
      </c>
      <c r="B1664" t="s">
        <v>1046</v>
      </c>
      <c r="E1664" t="s">
        <v>2632</v>
      </c>
      <c r="H1664" t="s">
        <v>2668</v>
      </c>
      <c r="L1664" t="s">
        <v>2698</v>
      </c>
      <c r="M1664" t="s">
        <v>2802</v>
      </c>
      <c r="N1664" t="s">
        <v>913</v>
      </c>
      <c r="O1664" t="s">
        <v>2895</v>
      </c>
      <c r="Q1664" t="s">
        <v>3571</v>
      </c>
      <c r="R1664" s="52">
        <f>_xlfn.NUMBERVALUE(convertNumberStringPointToNumberComma(LEFT(Q1664,FIND("x",Q1664)-2)))</f>
        <v>98.5</v>
      </c>
      <c r="S1664" s="52">
        <f>_xlfn.NUMBERVALUE(convertNumberStringPointToNumberComma(LEFT(RIGHT(Q1664,LEN(Q1664)-FIND("x",Q1664)-1),LEN(RIGHT(Q1664,LEN(Q1664)-FIND("x",Q1664)-1))-2)))</f>
        <v>143.5</v>
      </c>
    </row>
    <row r="1665" spans="1:19" x14ac:dyDescent="0.25">
      <c r="A1665" t="s">
        <v>2383</v>
      </c>
      <c r="B1665" t="s">
        <v>2384</v>
      </c>
      <c r="E1665" t="s">
        <v>2961</v>
      </c>
      <c r="H1665" t="s">
        <v>21</v>
      </c>
      <c r="L1665" t="s">
        <v>2679</v>
      </c>
      <c r="M1665" t="s">
        <v>2989</v>
      </c>
      <c r="N1665" t="s">
        <v>903</v>
      </c>
      <c r="O1665" t="s">
        <v>3116</v>
      </c>
      <c r="Q1665" t="s">
        <v>3935</v>
      </c>
      <c r="R1665" s="52">
        <f>_xlfn.NUMBERVALUE(convertNumberStringPointToNumberComma(LEFT(Q1665,FIND("x",Q1665)-2)))</f>
        <v>99</v>
      </c>
      <c r="S1665" s="52">
        <f>_xlfn.NUMBERVALUE(convertNumberStringPointToNumberComma(LEFT(RIGHT(Q1665,LEN(Q1665)-FIND("x",Q1665)-1),LEN(RIGHT(Q1665,LEN(Q1665)-FIND("x",Q1665)-1))-2)))</f>
        <v>152</v>
      </c>
    </row>
    <row r="1666" spans="1:19" x14ac:dyDescent="0.25">
      <c r="A1666" t="s">
        <v>1075</v>
      </c>
      <c r="B1666" t="s">
        <v>441</v>
      </c>
      <c r="C1666" s="5">
        <f>convertNumberStringPointToNumberComma(IFERROR(LEFT(B1666,(FIND("-",B1666)-1)),LEFT(B1666,FIND("mm",B1666)-1)))</f>
        <v>20</v>
      </c>
      <c r="D1666" s="5">
        <f>convertNumberStringPointToNumberComma(IFERROR(RIGHT(LEFT(B1666,FIND("m",B1666)-1),LEN(LEFT(B1666,FIND("m",B1666)-1))-FIND("-",LEFT(B1666,FIND("m",B1666)-1))-1),C1666))</f>
        <v>20</v>
      </c>
      <c r="E1666" t="s">
        <v>2635</v>
      </c>
      <c r="F1666" s="9">
        <f>convertNumberStringPointToNumberComma(LEFT(MID(E1666,3,9),IFERROR(FIND("-",MID(E1666,3,9))-2,3)))</f>
        <v>1.8</v>
      </c>
      <c r="G1666" s="9">
        <f>convertNumberStringPointToNumberComma(RIGHT(E1666,IF(ISERROR(FIND(".",RIGHT(E1666,3))),1,3)))</f>
        <v>1.8</v>
      </c>
      <c r="H1666" t="s">
        <v>27</v>
      </c>
      <c r="I1666" s="5" t="str">
        <f>IF(H1666="none",0,LEFT(H1666,LEN(H1666)-2))</f>
        <v>77</v>
      </c>
      <c r="J1666" s="5"/>
      <c r="K1666" s="10">
        <f>IF(J1666="",0,convertNumberStringPointToNumberComma(LEFT(J1666,LEN(J1666)-1)))</f>
        <v>0</v>
      </c>
      <c r="M1666" t="s">
        <v>8</v>
      </c>
      <c r="N1666" t="s">
        <v>913</v>
      </c>
      <c r="O1666" t="s">
        <v>445</v>
      </c>
      <c r="P1666" s="5" t="str">
        <f>LEFT(O1666,LEN(O1666)-1)</f>
        <v>355</v>
      </c>
      <c r="R1666" s="52"/>
      <c r="S1666" s="52"/>
    </row>
    <row r="1667" spans="1:19" x14ac:dyDescent="0.25">
      <c r="A1667" t="s">
        <v>1219</v>
      </c>
      <c r="B1667" t="s">
        <v>586</v>
      </c>
      <c r="C1667" s="5">
        <f>convertNumberStringPointToNumberComma(IFERROR(LEFT(B1667,(FIND("-",B1667)-1)),LEFT(B1667,FIND("mm",B1667)-1)))</f>
        <v>30</v>
      </c>
      <c r="D1667" s="5">
        <f>convertNumberStringPointToNumberComma(IFERROR(RIGHT(LEFT(B1667,FIND("m",B1667)-1),LEN(LEFT(B1667,FIND("m",B1667)-1))-FIND("-",LEFT(B1667,FIND("m",B1667)-1))-1),C1667))</f>
        <v>30</v>
      </c>
      <c r="E1667" t="s">
        <v>2632</v>
      </c>
      <c r="F1667" s="9">
        <f>convertNumberStringPointToNumberComma(LEFT(MID(E1667,3,9),IFERROR(FIND("-",MID(E1667,3,9))-2,3)))</f>
        <v>2.8</v>
      </c>
      <c r="G1667" s="9">
        <f>convertNumberStringPointToNumberComma(RIGHT(E1667,IF(ISERROR(FIND(".",RIGHT(E1667,3))),1,3)))</f>
        <v>2.8</v>
      </c>
      <c r="H1667" t="s">
        <v>2667</v>
      </c>
      <c r="I1667" s="5" t="str">
        <f>IF(H1667="none",0,LEFT(H1667,LEN(H1667)-2))</f>
        <v>49</v>
      </c>
      <c r="J1667" s="5" t="s">
        <v>198</v>
      </c>
      <c r="K1667" s="10">
        <f>IF(J1667="",0,convertNumberStringPointToNumberComma(LEFT(J1667,LEN(J1667)-1)))</f>
        <v>0.19</v>
      </c>
      <c r="L1667" t="s">
        <v>2707</v>
      </c>
      <c r="M1667" t="s">
        <v>2757</v>
      </c>
      <c r="N1667" t="s">
        <v>903</v>
      </c>
      <c r="P1667" s="5" t="e">
        <f>LEFT(O1667,LEN(O1667)-1)</f>
        <v>#VALUE!</v>
      </c>
      <c r="R1667" s="52"/>
      <c r="S1667" s="52"/>
    </row>
    <row r="1668" spans="1:19" x14ac:dyDescent="0.25">
      <c r="A1668" t="s">
        <v>1300</v>
      </c>
      <c r="B1668" t="s">
        <v>176</v>
      </c>
      <c r="E1668" t="s">
        <v>2658</v>
      </c>
      <c r="H1668" t="s">
        <v>2669</v>
      </c>
      <c r="M1668" t="s">
        <v>2680</v>
      </c>
      <c r="N1668" t="s">
        <v>2681</v>
      </c>
      <c r="O1668" t="s">
        <v>2867</v>
      </c>
      <c r="R1668" s="52"/>
      <c r="S1668" s="52"/>
    </row>
    <row r="1669" spans="1:19" x14ac:dyDescent="0.25">
      <c r="A1669" t="s">
        <v>1849</v>
      </c>
      <c r="B1669" t="s">
        <v>61</v>
      </c>
      <c r="E1669" t="s">
        <v>2632</v>
      </c>
      <c r="H1669" t="s">
        <v>318</v>
      </c>
      <c r="M1669" t="s">
        <v>2674</v>
      </c>
      <c r="N1669" t="s">
        <v>913</v>
      </c>
      <c r="O1669" t="s">
        <v>536</v>
      </c>
      <c r="R1669" s="52"/>
      <c r="S1669" s="52"/>
    </row>
    <row r="1670" spans="1:19" x14ac:dyDescent="0.25">
      <c r="A1670" t="s">
        <v>1850</v>
      </c>
      <c r="B1670" t="s">
        <v>61</v>
      </c>
      <c r="E1670" t="s">
        <v>2632</v>
      </c>
      <c r="H1670" t="s">
        <v>318</v>
      </c>
      <c r="M1670" t="s">
        <v>2680</v>
      </c>
      <c r="N1670" t="s">
        <v>913</v>
      </c>
      <c r="O1670" t="s">
        <v>536</v>
      </c>
      <c r="R1670" s="52"/>
      <c r="S1670" s="52"/>
    </row>
    <row r="1671" spans="1:19" x14ac:dyDescent="0.25">
      <c r="A1671" t="s">
        <v>1851</v>
      </c>
      <c r="B1671" t="s">
        <v>61</v>
      </c>
      <c r="E1671" t="s">
        <v>2632</v>
      </c>
      <c r="H1671" t="s">
        <v>318</v>
      </c>
      <c r="M1671" t="s">
        <v>2748</v>
      </c>
      <c r="N1671" t="s">
        <v>913</v>
      </c>
      <c r="O1671" t="s">
        <v>536</v>
      </c>
      <c r="R1671" s="52"/>
      <c r="S1671" s="52"/>
    </row>
    <row r="1672" spans="1:19" x14ac:dyDescent="0.25">
      <c r="A1672" t="s">
        <v>1889</v>
      </c>
      <c r="B1672" t="s">
        <v>592</v>
      </c>
      <c r="E1672" t="s">
        <v>2980</v>
      </c>
      <c r="M1672" t="s">
        <v>2682</v>
      </c>
      <c r="N1672" t="s">
        <v>913</v>
      </c>
      <c r="R1672" s="52"/>
      <c r="S1672" s="52"/>
    </row>
    <row r="1673" spans="1:19" x14ac:dyDescent="0.25">
      <c r="A1673" t="s">
        <v>1979</v>
      </c>
      <c r="B1673" t="s">
        <v>1930</v>
      </c>
      <c r="E1673" t="s">
        <v>2658</v>
      </c>
      <c r="H1673" t="s">
        <v>15</v>
      </c>
      <c r="L1673" t="s">
        <v>3048</v>
      </c>
      <c r="M1673" t="s">
        <v>3047</v>
      </c>
      <c r="N1673" t="s">
        <v>913</v>
      </c>
      <c r="O1673" t="s">
        <v>3049</v>
      </c>
      <c r="R1673" s="52"/>
      <c r="S1673" s="52"/>
    </row>
    <row r="1674" spans="1:19" x14ac:dyDescent="0.25">
      <c r="A1674" t="s">
        <v>1980</v>
      </c>
      <c r="B1674" t="s">
        <v>1930</v>
      </c>
      <c r="E1674" t="s">
        <v>2658</v>
      </c>
      <c r="H1674" t="s">
        <v>15</v>
      </c>
      <c r="L1674" t="s">
        <v>3048</v>
      </c>
      <c r="M1674" t="s">
        <v>3047</v>
      </c>
      <c r="N1674" t="s">
        <v>913</v>
      </c>
      <c r="O1674" t="s">
        <v>3049</v>
      </c>
      <c r="R1674" s="52"/>
      <c r="S1674" s="52"/>
    </row>
    <row r="1675" spans="1:19" x14ac:dyDescent="0.25">
      <c r="A1675" t="s">
        <v>1981</v>
      </c>
      <c r="B1675" t="s">
        <v>398</v>
      </c>
      <c r="E1675" t="s">
        <v>2649</v>
      </c>
      <c r="H1675" t="s">
        <v>15</v>
      </c>
      <c r="L1675" t="s">
        <v>2898</v>
      </c>
      <c r="M1675" t="s">
        <v>3047</v>
      </c>
      <c r="N1675" t="s">
        <v>913</v>
      </c>
      <c r="O1675" t="s">
        <v>3050</v>
      </c>
      <c r="R1675" s="52"/>
      <c r="S1675" s="52"/>
    </row>
    <row r="1676" spans="1:19" x14ac:dyDescent="0.25">
      <c r="A1676" t="s">
        <v>1983</v>
      </c>
      <c r="B1676" t="s">
        <v>398</v>
      </c>
      <c r="E1676" t="s">
        <v>2649</v>
      </c>
      <c r="H1676" t="s">
        <v>15</v>
      </c>
      <c r="L1676" t="s">
        <v>2898</v>
      </c>
      <c r="M1676" t="s">
        <v>3047</v>
      </c>
      <c r="N1676" t="s">
        <v>913</v>
      </c>
      <c r="O1676" t="s">
        <v>3050</v>
      </c>
      <c r="R1676" s="52"/>
      <c r="S1676" s="52"/>
    </row>
    <row r="1677" spans="1:19" x14ac:dyDescent="0.25">
      <c r="A1677" t="s">
        <v>2085</v>
      </c>
      <c r="B1677" t="s">
        <v>148</v>
      </c>
      <c r="E1677" t="s">
        <v>3014</v>
      </c>
      <c r="M1677" t="s">
        <v>2682</v>
      </c>
      <c r="N1677" t="s">
        <v>913</v>
      </c>
      <c r="R1677" s="52"/>
      <c r="S1677" s="52"/>
    </row>
    <row r="1678" spans="1:19" x14ac:dyDescent="0.25">
      <c r="A1678" t="s">
        <v>2086</v>
      </c>
      <c r="B1678" t="s">
        <v>176</v>
      </c>
      <c r="E1678" t="s">
        <v>2981</v>
      </c>
      <c r="M1678" t="s">
        <v>2682</v>
      </c>
      <c r="N1678" t="s">
        <v>913</v>
      </c>
      <c r="R1678" s="52"/>
      <c r="S1678" s="52"/>
    </row>
    <row r="1679" spans="1:19" x14ac:dyDescent="0.25">
      <c r="A1679" t="s">
        <v>2111</v>
      </c>
      <c r="B1679" t="s">
        <v>148</v>
      </c>
      <c r="E1679" t="s">
        <v>2632</v>
      </c>
      <c r="M1679" t="s">
        <v>2682</v>
      </c>
      <c r="N1679" t="s">
        <v>913</v>
      </c>
      <c r="O1679" t="s">
        <v>486</v>
      </c>
      <c r="R1679" s="52"/>
      <c r="S1679" s="52"/>
    </row>
    <row r="1680" spans="1:19" x14ac:dyDescent="0.25">
      <c r="A1680" t="s">
        <v>2114</v>
      </c>
      <c r="B1680" t="s">
        <v>822</v>
      </c>
      <c r="E1680" t="s">
        <v>2648</v>
      </c>
      <c r="H1680" t="s">
        <v>27</v>
      </c>
      <c r="M1680" t="s">
        <v>2682</v>
      </c>
      <c r="N1680" t="s">
        <v>913</v>
      </c>
      <c r="O1680" t="s">
        <v>3073</v>
      </c>
      <c r="R1680" s="52"/>
      <c r="S1680" s="52"/>
    </row>
    <row r="1681" spans="1:19" x14ac:dyDescent="0.25">
      <c r="A1681" t="s">
        <v>2117</v>
      </c>
      <c r="B1681" t="s">
        <v>822</v>
      </c>
      <c r="E1681" t="s">
        <v>2648</v>
      </c>
      <c r="H1681" t="s">
        <v>27</v>
      </c>
      <c r="M1681" t="s">
        <v>8</v>
      </c>
      <c r="N1681" t="s">
        <v>913</v>
      </c>
      <c r="O1681" t="s">
        <v>3073</v>
      </c>
      <c r="R1681" s="52"/>
      <c r="S1681" s="52"/>
    </row>
    <row r="1682" spans="1:19" x14ac:dyDescent="0.25">
      <c r="A1682" t="s">
        <v>2118</v>
      </c>
      <c r="B1682" t="s">
        <v>822</v>
      </c>
      <c r="E1682" t="s">
        <v>2648</v>
      </c>
      <c r="H1682" t="s">
        <v>27</v>
      </c>
      <c r="M1682" t="s">
        <v>2674</v>
      </c>
      <c r="N1682" t="s">
        <v>913</v>
      </c>
      <c r="O1682" t="s">
        <v>3073</v>
      </c>
      <c r="R1682" s="52"/>
      <c r="S1682" s="52"/>
    </row>
    <row r="1683" spans="1:19" x14ac:dyDescent="0.25">
      <c r="A1683" t="s">
        <v>2120</v>
      </c>
      <c r="B1683" t="s">
        <v>822</v>
      </c>
      <c r="E1683" t="s">
        <v>2638</v>
      </c>
      <c r="M1683" t="s">
        <v>2682</v>
      </c>
      <c r="N1683" t="s">
        <v>913</v>
      </c>
      <c r="O1683" t="s">
        <v>360</v>
      </c>
      <c r="R1683" s="52"/>
      <c r="S1683" s="52"/>
    </row>
    <row r="1684" spans="1:19" x14ac:dyDescent="0.25">
      <c r="A1684" t="s">
        <v>2121</v>
      </c>
      <c r="B1684" t="s">
        <v>822</v>
      </c>
      <c r="E1684" t="s">
        <v>2638</v>
      </c>
      <c r="M1684" t="s">
        <v>8</v>
      </c>
      <c r="N1684" t="s">
        <v>913</v>
      </c>
      <c r="O1684" t="s">
        <v>360</v>
      </c>
      <c r="R1684" s="52"/>
      <c r="S1684" s="52"/>
    </row>
    <row r="1685" spans="1:19" x14ac:dyDescent="0.25">
      <c r="A1685" t="s">
        <v>2167</v>
      </c>
      <c r="B1685" t="s">
        <v>2168</v>
      </c>
      <c r="E1685" s="51">
        <v>4.9999999999999996E-2</v>
      </c>
      <c r="L1685" t="s">
        <v>3090</v>
      </c>
      <c r="M1685" t="s">
        <v>2680</v>
      </c>
      <c r="N1685" t="s">
        <v>2681</v>
      </c>
      <c r="O1685" t="s">
        <v>3091</v>
      </c>
      <c r="R1685" s="52"/>
      <c r="S1685" s="52"/>
    </row>
    <row r="1686" spans="1:19" x14ac:dyDescent="0.25">
      <c r="A1686" t="s">
        <v>2172</v>
      </c>
      <c r="B1686" t="s">
        <v>741</v>
      </c>
      <c r="E1686" t="s">
        <v>2658</v>
      </c>
      <c r="H1686" t="s">
        <v>2669</v>
      </c>
      <c r="M1686" t="s">
        <v>2682</v>
      </c>
      <c r="N1686" t="s">
        <v>913</v>
      </c>
      <c r="O1686" t="s">
        <v>597</v>
      </c>
      <c r="R1686" s="52"/>
      <c r="S1686" s="52"/>
    </row>
    <row r="1687" spans="1:19" x14ac:dyDescent="0.25">
      <c r="A1687" t="s">
        <v>2173</v>
      </c>
      <c r="B1687" t="s">
        <v>741</v>
      </c>
      <c r="E1687" t="s">
        <v>2658</v>
      </c>
      <c r="H1687" t="s">
        <v>2669</v>
      </c>
      <c r="M1687" t="s">
        <v>8</v>
      </c>
      <c r="N1687" t="s">
        <v>913</v>
      </c>
      <c r="O1687" t="s">
        <v>597</v>
      </c>
      <c r="R1687" s="52"/>
      <c r="S1687" s="52"/>
    </row>
    <row r="1688" spans="1:19" x14ac:dyDescent="0.25">
      <c r="A1688" t="s">
        <v>2174</v>
      </c>
      <c r="B1688" t="s">
        <v>741</v>
      </c>
      <c r="E1688" t="s">
        <v>2658</v>
      </c>
      <c r="H1688" t="s">
        <v>2669</v>
      </c>
      <c r="M1688" t="s">
        <v>2674</v>
      </c>
      <c r="N1688" t="s">
        <v>913</v>
      </c>
      <c r="O1688" t="s">
        <v>597</v>
      </c>
      <c r="R1688" s="52"/>
      <c r="S1688" s="52"/>
    </row>
    <row r="1689" spans="1:19" x14ac:dyDescent="0.25">
      <c r="A1689" t="s">
        <v>2176</v>
      </c>
      <c r="B1689" t="s">
        <v>176</v>
      </c>
      <c r="E1689" t="s">
        <v>2632</v>
      </c>
      <c r="M1689" t="s">
        <v>2682</v>
      </c>
      <c r="N1689" t="s">
        <v>913</v>
      </c>
      <c r="R1689" s="52"/>
      <c r="S1689" s="52"/>
    </row>
    <row r="1690" spans="1:19" x14ac:dyDescent="0.25">
      <c r="A1690" t="s">
        <v>2177</v>
      </c>
      <c r="B1690" t="s">
        <v>176</v>
      </c>
      <c r="E1690" t="s">
        <v>2632</v>
      </c>
      <c r="H1690" t="s">
        <v>2668</v>
      </c>
      <c r="M1690" t="s">
        <v>2802</v>
      </c>
      <c r="N1690" t="s">
        <v>913</v>
      </c>
      <c r="R1690" s="52"/>
      <c r="S1690" s="52"/>
    </row>
    <row r="1691" spans="1:19" x14ac:dyDescent="0.25">
      <c r="A1691" t="s">
        <v>2220</v>
      </c>
      <c r="B1691" t="s">
        <v>592</v>
      </c>
      <c r="E1691" t="s">
        <v>3014</v>
      </c>
      <c r="H1691" t="s">
        <v>27</v>
      </c>
      <c r="M1691" t="s">
        <v>2674</v>
      </c>
      <c r="N1691" t="s">
        <v>913</v>
      </c>
      <c r="O1691" t="s">
        <v>229</v>
      </c>
      <c r="R1691" s="52"/>
      <c r="S1691" s="52"/>
    </row>
    <row r="1692" spans="1:19" x14ac:dyDescent="0.25">
      <c r="A1692" t="s">
        <v>2222</v>
      </c>
      <c r="B1692" t="s">
        <v>592</v>
      </c>
      <c r="E1692" t="s">
        <v>3014</v>
      </c>
      <c r="H1692" t="s">
        <v>27</v>
      </c>
      <c r="M1692" t="s">
        <v>2680</v>
      </c>
      <c r="N1692" t="s">
        <v>913</v>
      </c>
      <c r="O1692" t="s">
        <v>229</v>
      </c>
      <c r="R1692" s="52"/>
      <c r="S1692" s="52"/>
    </row>
    <row r="1693" spans="1:19" x14ac:dyDescent="0.25">
      <c r="A1693" t="s">
        <v>2224</v>
      </c>
      <c r="B1693" t="s">
        <v>526</v>
      </c>
      <c r="E1693" t="s">
        <v>3014</v>
      </c>
      <c r="H1693" t="s">
        <v>27</v>
      </c>
      <c r="M1693" t="s">
        <v>2680</v>
      </c>
      <c r="N1693" t="s">
        <v>903</v>
      </c>
      <c r="O1693" t="s">
        <v>3099</v>
      </c>
      <c r="R1693" s="52"/>
      <c r="S1693" s="52"/>
    </row>
    <row r="1694" spans="1:19" x14ac:dyDescent="0.25">
      <c r="A1694" t="s">
        <v>2225</v>
      </c>
      <c r="B1694" t="s">
        <v>526</v>
      </c>
      <c r="E1694" t="s">
        <v>3014</v>
      </c>
      <c r="H1694" t="s">
        <v>27</v>
      </c>
      <c r="M1694" t="s">
        <v>2674</v>
      </c>
      <c r="N1694" t="s">
        <v>903</v>
      </c>
      <c r="O1694" t="s">
        <v>3099</v>
      </c>
      <c r="R1694" s="52"/>
      <c r="S1694" s="52"/>
    </row>
    <row r="1695" spans="1:19" x14ac:dyDescent="0.25">
      <c r="A1695" t="s">
        <v>2228</v>
      </c>
      <c r="B1695" t="s">
        <v>678</v>
      </c>
      <c r="E1695" t="s">
        <v>3014</v>
      </c>
      <c r="H1695" t="s">
        <v>27</v>
      </c>
      <c r="M1695" t="s">
        <v>2680</v>
      </c>
      <c r="N1695" t="s">
        <v>913</v>
      </c>
      <c r="O1695" t="s">
        <v>3100</v>
      </c>
      <c r="R1695" s="52"/>
      <c r="S1695" s="52"/>
    </row>
    <row r="1696" spans="1:19" x14ac:dyDescent="0.25">
      <c r="A1696" t="s">
        <v>2229</v>
      </c>
      <c r="B1696" t="s">
        <v>678</v>
      </c>
      <c r="E1696" t="s">
        <v>3014</v>
      </c>
      <c r="H1696" t="s">
        <v>27</v>
      </c>
      <c r="M1696" t="s">
        <v>2674</v>
      </c>
      <c r="N1696" t="s">
        <v>913</v>
      </c>
      <c r="O1696" t="s">
        <v>3100</v>
      </c>
      <c r="R1696" s="52"/>
      <c r="S1696" s="52"/>
    </row>
    <row r="1697" spans="1:19" x14ac:dyDescent="0.25">
      <c r="A1697" t="s">
        <v>2230</v>
      </c>
      <c r="B1697" t="s">
        <v>822</v>
      </c>
      <c r="E1697" t="s">
        <v>3014</v>
      </c>
      <c r="M1697" t="s">
        <v>2680</v>
      </c>
      <c r="N1697" t="s">
        <v>913</v>
      </c>
      <c r="R1697" s="52"/>
      <c r="S1697" s="52"/>
    </row>
    <row r="1698" spans="1:19" x14ac:dyDescent="0.25">
      <c r="A1698" t="s">
        <v>2231</v>
      </c>
      <c r="B1698" t="s">
        <v>822</v>
      </c>
      <c r="E1698" t="s">
        <v>3014</v>
      </c>
      <c r="M1698" t="s">
        <v>2674</v>
      </c>
      <c r="N1698" t="s">
        <v>913</v>
      </c>
      <c r="R1698" s="52"/>
      <c r="S1698" s="52"/>
    </row>
    <row r="1699" spans="1:19" x14ac:dyDescent="0.25">
      <c r="A1699" t="s">
        <v>2233</v>
      </c>
      <c r="B1699" t="s">
        <v>960</v>
      </c>
      <c r="E1699" t="s">
        <v>3014</v>
      </c>
      <c r="H1699" t="s">
        <v>27</v>
      </c>
      <c r="M1699" t="s">
        <v>2680</v>
      </c>
      <c r="N1699" t="s">
        <v>913</v>
      </c>
      <c r="O1699" t="s">
        <v>3101</v>
      </c>
      <c r="R1699" s="52"/>
      <c r="S1699" s="52"/>
    </row>
    <row r="1700" spans="1:19" x14ac:dyDescent="0.25">
      <c r="A1700" t="s">
        <v>2291</v>
      </c>
      <c r="B1700" t="s">
        <v>856</v>
      </c>
      <c r="E1700" t="s">
        <v>2649</v>
      </c>
      <c r="M1700" t="s">
        <v>2682</v>
      </c>
      <c r="N1700" t="s">
        <v>903</v>
      </c>
      <c r="O1700" t="s">
        <v>327</v>
      </c>
      <c r="R1700" s="52"/>
      <c r="S1700" s="52"/>
    </row>
    <row r="1701" spans="1:19" x14ac:dyDescent="0.25">
      <c r="A1701" t="s">
        <v>2292</v>
      </c>
      <c r="B1701" t="s">
        <v>856</v>
      </c>
      <c r="E1701" t="s">
        <v>2649</v>
      </c>
      <c r="M1701" t="s">
        <v>8</v>
      </c>
      <c r="N1701" t="s">
        <v>903</v>
      </c>
      <c r="O1701" t="s">
        <v>327</v>
      </c>
      <c r="R1701" s="52"/>
      <c r="S1701" s="52"/>
    </row>
    <row r="1702" spans="1:19" x14ac:dyDescent="0.25">
      <c r="A1702" t="s">
        <v>2293</v>
      </c>
      <c r="B1702" t="s">
        <v>856</v>
      </c>
      <c r="E1702" t="s">
        <v>2649</v>
      </c>
      <c r="M1702" t="s">
        <v>2757</v>
      </c>
      <c r="N1702" t="s">
        <v>903</v>
      </c>
      <c r="O1702" t="s">
        <v>327</v>
      </c>
      <c r="R1702" s="52"/>
      <c r="S1702" s="52"/>
    </row>
    <row r="1703" spans="1:19" x14ac:dyDescent="0.25">
      <c r="A1703" t="s">
        <v>2302</v>
      </c>
      <c r="B1703" t="s">
        <v>678</v>
      </c>
      <c r="E1703" t="s">
        <v>2663</v>
      </c>
      <c r="M1703" t="s">
        <v>2674</v>
      </c>
      <c r="N1703" t="s">
        <v>913</v>
      </c>
      <c r="R1703" s="52"/>
      <c r="S1703" s="52"/>
    </row>
    <row r="1704" spans="1:19" x14ac:dyDescent="0.25">
      <c r="A1704" t="s">
        <v>2387</v>
      </c>
      <c r="B1704" t="s">
        <v>678</v>
      </c>
      <c r="E1704" t="s">
        <v>2980</v>
      </c>
      <c r="H1704" t="s">
        <v>2669</v>
      </c>
      <c r="M1704" t="s">
        <v>2818</v>
      </c>
      <c r="N1704" t="s">
        <v>913</v>
      </c>
      <c r="O1704" t="s">
        <v>2819</v>
      </c>
      <c r="R1704" s="52"/>
      <c r="S1704" s="52"/>
    </row>
    <row r="1705" spans="1:19" x14ac:dyDescent="0.25">
      <c r="B1705" t="s">
        <v>592</v>
      </c>
      <c r="E1705" t="s">
        <v>2663</v>
      </c>
      <c r="M1705" t="s">
        <v>2748</v>
      </c>
      <c r="N1705" t="s">
        <v>903</v>
      </c>
      <c r="O1705" t="s">
        <v>242</v>
      </c>
      <c r="R1705" s="52"/>
      <c r="S1705" s="52"/>
    </row>
    <row r="1706" spans="1:19" x14ac:dyDescent="0.25">
      <c r="B1706" t="s">
        <v>856</v>
      </c>
      <c r="E1706" t="s">
        <v>2649</v>
      </c>
      <c r="H1706" t="s">
        <v>2668</v>
      </c>
      <c r="M1706" t="s">
        <v>8</v>
      </c>
      <c r="N1706" t="s">
        <v>903</v>
      </c>
      <c r="O1706" t="s">
        <v>105</v>
      </c>
      <c r="R1706" s="52"/>
      <c r="S1706" s="52"/>
    </row>
    <row r="1707" spans="1:19" x14ac:dyDescent="0.25">
      <c r="B1707" t="s">
        <v>592</v>
      </c>
      <c r="E1707" t="s">
        <v>2638</v>
      </c>
      <c r="H1707" t="s">
        <v>62</v>
      </c>
      <c r="M1707" t="s">
        <v>8</v>
      </c>
      <c r="N1707" t="s">
        <v>913</v>
      </c>
      <c r="O1707" t="s">
        <v>360</v>
      </c>
      <c r="R1707" s="52"/>
      <c r="S1707" s="52"/>
    </row>
    <row r="1708" spans="1:19" x14ac:dyDescent="0.25">
      <c r="B1708" t="s">
        <v>678</v>
      </c>
      <c r="E1708" t="s">
        <v>2663</v>
      </c>
      <c r="M1708" t="s">
        <v>2674</v>
      </c>
      <c r="N1708" t="s">
        <v>913</v>
      </c>
      <c r="O1708" t="s">
        <v>2836</v>
      </c>
      <c r="R1708" s="52"/>
      <c r="S1708" s="52"/>
    </row>
    <row r="1709" spans="1:19" x14ac:dyDescent="0.25">
      <c r="B1709" t="s">
        <v>91</v>
      </c>
      <c r="E1709" t="s">
        <v>2654</v>
      </c>
      <c r="H1709" t="s">
        <v>2672</v>
      </c>
      <c r="M1709" t="s">
        <v>8</v>
      </c>
      <c r="N1709" t="s">
        <v>913</v>
      </c>
      <c r="O1709" t="s">
        <v>597</v>
      </c>
      <c r="R1709" s="52"/>
      <c r="S1709" s="52"/>
    </row>
    <row r="1710" spans="1:19" x14ac:dyDescent="0.25">
      <c r="B1710" t="s">
        <v>822</v>
      </c>
      <c r="E1710" t="s">
        <v>2980</v>
      </c>
      <c r="H1710" t="s">
        <v>56</v>
      </c>
      <c r="M1710" t="s">
        <v>8</v>
      </c>
      <c r="N1710" t="s">
        <v>913</v>
      </c>
      <c r="O1710" t="s">
        <v>414</v>
      </c>
      <c r="R1710" s="52"/>
      <c r="S1710" s="52"/>
    </row>
    <row r="1711" spans="1:19" x14ac:dyDescent="0.25">
      <c r="B1711" t="s">
        <v>678</v>
      </c>
      <c r="E1711" t="s">
        <v>3004</v>
      </c>
      <c r="H1711" t="s">
        <v>3140</v>
      </c>
      <c r="M1711" t="s">
        <v>8</v>
      </c>
      <c r="N1711" t="s">
        <v>913</v>
      </c>
      <c r="O1711" t="s">
        <v>597</v>
      </c>
      <c r="R1711" s="52"/>
      <c r="S1711" s="52"/>
    </row>
    <row r="1712" spans="1:19" x14ac:dyDescent="0.25">
      <c r="B1712" t="s">
        <v>61</v>
      </c>
      <c r="E1712" t="s">
        <v>2632</v>
      </c>
      <c r="H1712" t="s">
        <v>318</v>
      </c>
      <c r="M1712" t="s">
        <v>8</v>
      </c>
      <c r="N1712" t="s">
        <v>913</v>
      </c>
      <c r="O1712" t="s">
        <v>536</v>
      </c>
      <c r="R1712" s="52"/>
      <c r="S1712" s="52"/>
    </row>
    <row r="1713" spans="2:19" x14ac:dyDescent="0.25">
      <c r="B1713" t="s">
        <v>592</v>
      </c>
      <c r="E1713" t="s">
        <v>2663</v>
      </c>
      <c r="M1713" t="s">
        <v>2680</v>
      </c>
      <c r="N1713" t="s">
        <v>903</v>
      </c>
      <c r="O1713" t="s">
        <v>242</v>
      </c>
      <c r="R1713" s="52"/>
      <c r="S1713" s="52"/>
    </row>
    <row r="1714" spans="2:19" x14ac:dyDescent="0.25">
      <c r="B1714" t="s">
        <v>176</v>
      </c>
      <c r="E1714" t="s">
        <v>2632</v>
      </c>
      <c r="M1714" t="s">
        <v>8</v>
      </c>
      <c r="N1714" t="s">
        <v>3141</v>
      </c>
      <c r="R1714" s="52"/>
      <c r="S1714" s="52"/>
    </row>
    <row r="1715" spans="2:19" x14ac:dyDescent="0.25">
      <c r="B1715" t="s">
        <v>856</v>
      </c>
      <c r="E1715" t="s">
        <v>2649</v>
      </c>
      <c r="H1715" t="s">
        <v>2668</v>
      </c>
      <c r="M1715" t="s">
        <v>2680</v>
      </c>
      <c r="N1715" t="s">
        <v>903</v>
      </c>
      <c r="O1715" t="s">
        <v>105</v>
      </c>
      <c r="R1715" s="52"/>
      <c r="S1715" s="52"/>
    </row>
    <row r="1716" spans="2:19" x14ac:dyDescent="0.25">
      <c r="B1716" t="s">
        <v>856</v>
      </c>
      <c r="E1716" t="s">
        <v>2649</v>
      </c>
      <c r="H1716" t="s">
        <v>2668</v>
      </c>
      <c r="M1716" t="s">
        <v>2748</v>
      </c>
      <c r="N1716" t="s">
        <v>903</v>
      </c>
      <c r="O1716" t="s">
        <v>105</v>
      </c>
      <c r="R1716" s="52"/>
      <c r="S1716" s="52"/>
    </row>
    <row r="1717" spans="2:19" x14ac:dyDescent="0.25">
      <c r="B1717" t="s">
        <v>856</v>
      </c>
      <c r="E1717" t="s">
        <v>2649</v>
      </c>
      <c r="H1717" t="s">
        <v>2668</v>
      </c>
      <c r="M1717" t="s">
        <v>2763</v>
      </c>
      <c r="N1717" t="s">
        <v>903</v>
      </c>
      <c r="O1717" t="s">
        <v>105</v>
      </c>
      <c r="R1717" s="52"/>
      <c r="S1717" s="52"/>
    </row>
    <row r="1718" spans="2:19" x14ac:dyDescent="0.25">
      <c r="B1718" t="s">
        <v>822</v>
      </c>
      <c r="E1718" t="s">
        <v>2638</v>
      </c>
      <c r="H1718" t="s">
        <v>62</v>
      </c>
      <c r="M1718" t="s">
        <v>2682</v>
      </c>
      <c r="N1718" t="s">
        <v>913</v>
      </c>
      <c r="O1718" t="s">
        <v>744</v>
      </c>
      <c r="R1718" s="52"/>
      <c r="S1718" s="52"/>
    </row>
    <row r="1719" spans="2:19" x14ac:dyDescent="0.25">
      <c r="B1719" t="s">
        <v>91</v>
      </c>
      <c r="E1719" t="s">
        <v>2654</v>
      </c>
      <c r="H1719" t="s">
        <v>2672</v>
      </c>
      <c r="M1719" t="s">
        <v>2682</v>
      </c>
      <c r="N1719" t="s">
        <v>913</v>
      </c>
      <c r="O1719" t="s">
        <v>597</v>
      </c>
      <c r="R1719" s="52"/>
      <c r="S1719" s="52"/>
    </row>
    <row r="1720" spans="2:19" x14ac:dyDescent="0.25">
      <c r="B1720" t="s">
        <v>91</v>
      </c>
      <c r="E1720" t="s">
        <v>2654</v>
      </c>
      <c r="H1720" t="s">
        <v>2672</v>
      </c>
      <c r="M1720" t="s">
        <v>2748</v>
      </c>
      <c r="N1720" t="s">
        <v>913</v>
      </c>
      <c r="O1720" t="s">
        <v>597</v>
      </c>
      <c r="R1720" s="52"/>
      <c r="S1720" s="52"/>
    </row>
    <row r="1721" spans="2:19" x14ac:dyDescent="0.25">
      <c r="B1721" t="s">
        <v>592</v>
      </c>
      <c r="E1721" t="s">
        <v>2638</v>
      </c>
      <c r="H1721" t="s">
        <v>62</v>
      </c>
      <c r="M1721" t="s">
        <v>2682</v>
      </c>
      <c r="N1721" t="s">
        <v>913</v>
      </c>
      <c r="O1721" t="s">
        <v>360</v>
      </c>
      <c r="R1721" s="52"/>
      <c r="S1721" s="52"/>
    </row>
    <row r="1722" spans="2:19" x14ac:dyDescent="0.25">
      <c r="B1722" t="s">
        <v>592</v>
      </c>
      <c r="E1722" t="s">
        <v>2663</v>
      </c>
      <c r="M1722" t="s">
        <v>2674</v>
      </c>
      <c r="N1722" t="s">
        <v>903</v>
      </c>
      <c r="O1722" t="s">
        <v>242</v>
      </c>
      <c r="R1722" s="52"/>
      <c r="S1722" s="52"/>
    </row>
    <row r="1723" spans="2:19" x14ac:dyDescent="0.25">
      <c r="B1723" t="s">
        <v>91</v>
      </c>
      <c r="E1723" t="s">
        <v>2654</v>
      </c>
      <c r="H1723" t="s">
        <v>2672</v>
      </c>
      <c r="M1723" t="s">
        <v>2818</v>
      </c>
      <c r="N1723" t="s">
        <v>913</v>
      </c>
      <c r="O1723" t="s">
        <v>597</v>
      </c>
      <c r="R1723" s="52"/>
      <c r="S1723" s="52"/>
    </row>
    <row r="1724" spans="2:19" x14ac:dyDescent="0.25">
      <c r="B1724" t="s">
        <v>91</v>
      </c>
      <c r="E1724" t="s">
        <v>2654</v>
      </c>
      <c r="H1724" t="s">
        <v>2672</v>
      </c>
      <c r="M1724" t="s">
        <v>2915</v>
      </c>
      <c r="N1724" t="s">
        <v>913</v>
      </c>
      <c r="O1724" t="s">
        <v>597</v>
      </c>
      <c r="R1724" s="52"/>
      <c r="S1724" s="52"/>
    </row>
    <row r="1725" spans="2:19" x14ac:dyDescent="0.25">
      <c r="B1725" t="s">
        <v>678</v>
      </c>
      <c r="E1725" t="s">
        <v>3004</v>
      </c>
      <c r="H1725" t="s">
        <v>3140</v>
      </c>
      <c r="M1725" t="s">
        <v>3165</v>
      </c>
      <c r="N1725" t="s">
        <v>913</v>
      </c>
      <c r="O1725" t="s">
        <v>597</v>
      </c>
      <c r="R1725" s="52"/>
      <c r="S1725" s="52"/>
    </row>
    <row r="1726" spans="2:19" x14ac:dyDescent="0.25">
      <c r="B1726" t="s">
        <v>678</v>
      </c>
      <c r="E1726" t="s">
        <v>3004</v>
      </c>
      <c r="H1726" t="s">
        <v>3140</v>
      </c>
      <c r="M1726" t="s">
        <v>2818</v>
      </c>
      <c r="N1726" t="s">
        <v>913</v>
      </c>
      <c r="O1726" t="s">
        <v>597</v>
      </c>
      <c r="R1726" s="52"/>
      <c r="S1726" s="52"/>
    </row>
    <row r="1727" spans="2:19" x14ac:dyDescent="0.25">
      <c r="B1727" t="s">
        <v>678</v>
      </c>
      <c r="E1727" t="s">
        <v>3004</v>
      </c>
      <c r="H1727" t="s">
        <v>3140</v>
      </c>
      <c r="M1727" t="s">
        <v>2748</v>
      </c>
      <c r="N1727" t="s">
        <v>913</v>
      </c>
      <c r="O1727" t="s">
        <v>597</v>
      </c>
      <c r="R1727" s="52"/>
      <c r="S1727" s="52"/>
    </row>
    <row r="1728" spans="2:19" x14ac:dyDescent="0.25">
      <c r="B1728" t="s">
        <v>678</v>
      </c>
      <c r="E1728" t="s">
        <v>3004</v>
      </c>
      <c r="H1728" t="s">
        <v>3140</v>
      </c>
      <c r="M1728" t="s">
        <v>2682</v>
      </c>
      <c r="N1728" t="s">
        <v>913</v>
      </c>
      <c r="O1728" t="s">
        <v>597</v>
      </c>
      <c r="R1728" s="52"/>
      <c r="S1728" s="52"/>
    </row>
    <row r="1729" spans="2:19" x14ac:dyDescent="0.25">
      <c r="B1729" t="s">
        <v>678</v>
      </c>
      <c r="E1729" t="s">
        <v>3004</v>
      </c>
      <c r="H1729" t="s">
        <v>3140</v>
      </c>
      <c r="M1729" t="s">
        <v>2674</v>
      </c>
      <c r="N1729" t="s">
        <v>913</v>
      </c>
      <c r="O1729" t="s">
        <v>597</v>
      </c>
      <c r="R1729" s="52"/>
      <c r="S1729" s="52"/>
    </row>
    <row r="1730" spans="2:19" x14ac:dyDescent="0.25">
      <c r="B1730" t="s">
        <v>61</v>
      </c>
      <c r="E1730" t="s">
        <v>2632</v>
      </c>
      <c r="H1730" t="s">
        <v>318</v>
      </c>
      <c r="M1730" t="s">
        <v>2682</v>
      </c>
      <c r="N1730" t="s">
        <v>913</v>
      </c>
      <c r="O1730" t="s">
        <v>536</v>
      </c>
      <c r="R1730" s="52"/>
      <c r="S1730" s="52"/>
    </row>
    <row r="1731" spans="2:19" x14ac:dyDescent="0.25">
      <c r="B1731" t="s">
        <v>61</v>
      </c>
      <c r="E1731" t="s">
        <v>2632</v>
      </c>
      <c r="H1731" t="s">
        <v>318</v>
      </c>
      <c r="M1731" t="s">
        <v>2818</v>
      </c>
      <c r="N1731" t="s">
        <v>913</v>
      </c>
      <c r="O1731" t="s">
        <v>536</v>
      </c>
      <c r="R1731" s="52"/>
      <c r="S1731" s="52"/>
    </row>
    <row r="1732" spans="2:19" x14ac:dyDescent="0.25">
      <c r="B1732" t="s">
        <v>822</v>
      </c>
      <c r="E1732" t="s">
        <v>2980</v>
      </c>
      <c r="H1732" t="s">
        <v>56</v>
      </c>
      <c r="M1732" t="s">
        <v>2682</v>
      </c>
      <c r="N1732" t="s">
        <v>913</v>
      </c>
      <c r="O1732" t="s">
        <v>414</v>
      </c>
      <c r="R1732" s="52"/>
      <c r="S1732" s="52"/>
    </row>
    <row r="1733" spans="2:19" x14ac:dyDescent="0.25">
      <c r="B1733" t="s">
        <v>822</v>
      </c>
      <c r="E1733" t="s">
        <v>2980</v>
      </c>
      <c r="H1733" t="s">
        <v>56</v>
      </c>
      <c r="M1733" t="s">
        <v>3165</v>
      </c>
      <c r="N1733" t="s">
        <v>913</v>
      </c>
      <c r="O1733" t="s">
        <v>414</v>
      </c>
      <c r="R1733" s="52"/>
      <c r="S1733" s="52"/>
    </row>
    <row r="1734" spans="2:19" x14ac:dyDescent="0.25">
      <c r="B1734" t="s">
        <v>91</v>
      </c>
      <c r="E1734" t="s">
        <v>2654</v>
      </c>
      <c r="H1734" t="s">
        <v>2672</v>
      </c>
      <c r="M1734" t="s">
        <v>2674</v>
      </c>
      <c r="N1734" t="s">
        <v>913</v>
      </c>
      <c r="O1734" t="s">
        <v>597</v>
      </c>
      <c r="R1734" s="52"/>
      <c r="S1734" s="52"/>
    </row>
    <row r="1735" spans="2:19" x14ac:dyDescent="0.25">
      <c r="B1735" t="s">
        <v>91</v>
      </c>
      <c r="E1735" t="s">
        <v>2654</v>
      </c>
      <c r="H1735" t="s">
        <v>2672</v>
      </c>
      <c r="M1735" t="s">
        <v>2680</v>
      </c>
      <c r="N1735" t="s">
        <v>913</v>
      </c>
      <c r="O1735" t="s">
        <v>597</v>
      </c>
      <c r="R1735" s="52"/>
      <c r="S1735" s="52"/>
    </row>
    <row r="1736" spans="2:19" x14ac:dyDescent="0.25">
      <c r="B1736" t="s">
        <v>91</v>
      </c>
      <c r="E1736" t="s">
        <v>2654</v>
      </c>
      <c r="H1736" t="s">
        <v>2672</v>
      </c>
      <c r="M1736" t="s">
        <v>3165</v>
      </c>
      <c r="N1736" t="s">
        <v>913</v>
      </c>
      <c r="O1736" t="s">
        <v>597</v>
      </c>
      <c r="R1736" s="52"/>
      <c r="S1736" s="52"/>
    </row>
    <row r="1737" spans="2:19" x14ac:dyDescent="0.25">
      <c r="B1737" t="s">
        <v>91</v>
      </c>
      <c r="E1737" t="s">
        <v>2654</v>
      </c>
      <c r="H1737" t="s">
        <v>2672</v>
      </c>
      <c r="M1737" t="s">
        <v>2802</v>
      </c>
      <c r="N1737" t="s">
        <v>913</v>
      </c>
      <c r="O1737" t="s">
        <v>597</v>
      </c>
      <c r="R1737" s="52"/>
      <c r="S1737" s="52"/>
    </row>
    <row r="1738" spans="2:19" x14ac:dyDescent="0.25">
      <c r="B1738" t="s">
        <v>61</v>
      </c>
      <c r="E1738" t="s">
        <v>2632</v>
      </c>
      <c r="H1738" t="s">
        <v>318</v>
      </c>
      <c r="M1738" t="s">
        <v>3165</v>
      </c>
      <c r="N1738" t="s">
        <v>913</v>
      </c>
      <c r="O1738" t="s">
        <v>536</v>
      </c>
      <c r="R1738" s="52"/>
      <c r="S1738" s="52"/>
    </row>
    <row r="1739" spans="2:19" x14ac:dyDescent="0.25">
      <c r="B1739" t="s">
        <v>61</v>
      </c>
      <c r="E1739" t="s">
        <v>2632</v>
      </c>
      <c r="H1739" t="s">
        <v>318</v>
      </c>
      <c r="M1739" t="s">
        <v>2802</v>
      </c>
      <c r="N1739" t="s">
        <v>913</v>
      </c>
      <c r="O1739" t="s">
        <v>536</v>
      </c>
      <c r="R1739" s="52"/>
      <c r="S1739" s="52"/>
    </row>
    <row r="1740" spans="2:19" x14ac:dyDescent="0.25">
      <c r="B1740" t="s">
        <v>176</v>
      </c>
      <c r="E1740" t="s">
        <v>2632</v>
      </c>
      <c r="H1740" t="s">
        <v>2668</v>
      </c>
      <c r="M1740" t="s">
        <v>2757</v>
      </c>
      <c r="N1740" t="s">
        <v>913</v>
      </c>
      <c r="R1740" s="52"/>
      <c r="S1740" s="52"/>
    </row>
    <row r="1741" spans="2:19" x14ac:dyDescent="0.25">
      <c r="B1741" t="s">
        <v>526</v>
      </c>
      <c r="E1741" t="s">
        <v>2633</v>
      </c>
      <c r="H1741" t="s">
        <v>2824</v>
      </c>
      <c r="M1741" t="s">
        <v>2818</v>
      </c>
      <c r="N1741" t="s">
        <v>2959</v>
      </c>
      <c r="O1741" t="s">
        <v>3167</v>
      </c>
      <c r="R1741" s="52"/>
      <c r="S1741" s="52"/>
    </row>
    <row r="1742" spans="2:19" x14ac:dyDescent="0.25">
      <c r="B1742" t="s">
        <v>856</v>
      </c>
      <c r="E1742" t="s">
        <v>2649</v>
      </c>
      <c r="H1742" t="s">
        <v>2668</v>
      </c>
      <c r="M1742" t="s">
        <v>2674</v>
      </c>
      <c r="N1742" t="s">
        <v>903</v>
      </c>
      <c r="O1742" t="s">
        <v>105</v>
      </c>
      <c r="R1742" s="52"/>
      <c r="S1742" s="52"/>
    </row>
    <row r="1743" spans="2:19" x14ac:dyDescent="0.25">
      <c r="B1743" t="s">
        <v>856</v>
      </c>
      <c r="E1743" t="s">
        <v>2649</v>
      </c>
      <c r="H1743" t="s">
        <v>2668</v>
      </c>
      <c r="M1743" t="s">
        <v>2782</v>
      </c>
      <c r="N1743" t="s">
        <v>903</v>
      </c>
      <c r="O1743" t="s">
        <v>105</v>
      </c>
      <c r="R1743" s="52"/>
      <c r="S1743" s="52"/>
    </row>
    <row r="1744" spans="2:19" x14ac:dyDescent="0.25">
      <c r="B1744" t="s">
        <v>960</v>
      </c>
      <c r="E1744" t="s">
        <v>2632</v>
      </c>
      <c r="H1744" t="s">
        <v>15</v>
      </c>
      <c r="M1744" t="s">
        <v>2763</v>
      </c>
      <c r="N1744" t="s">
        <v>903</v>
      </c>
      <c r="O1744" t="s">
        <v>223</v>
      </c>
      <c r="R1744" s="52"/>
      <c r="S1744" s="52"/>
    </row>
    <row r="1745" spans="2:19" x14ac:dyDescent="0.25">
      <c r="B1745" t="s">
        <v>960</v>
      </c>
      <c r="E1745" t="s">
        <v>2632</v>
      </c>
      <c r="H1745" t="s">
        <v>15</v>
      </c>
      <c r="M1745" t="s">
        <v>2748</v>
      </c>
      <c r="N1745" t="s">
        <v>903</v>
      </c>
      <c r="O1745" t="s">
        <v>223</v>
      </c>
      <c r="R1745" s="52"/>
      <c r="S1745" s="52"/>
    </row>
    <row r="1746" spans="2:19" x14ac:dyDescent="0.25">
      <c r="B1746" t="s">
        <v>960</v>
      </c>
      <c r="E1746" t="s">
        <v>2632</v>
      </c>
      <c r="H1746" t="s">
        <v>15</v>
      </c>
      <c r="M1746" t="s">
        <v>2674</v>
      </c>
      <c r="N1746" t="s">
        <v>903</v>
      </c>
      <c r="O1746" t="s">
        <v>223</v>
      </c>
      <c r="R1746" s="52"/>
      <c r="S1746" s="52"/>
    </row>
    <row r="1747" spans="2:19" x14ac:dyDescent="0.25">
      <c r="B1747" t="s">
        <v>960</v>
      </c>
      <c r="E1747" t="s">
        <v>2632</v>
      </c>
      <c r="H1747" t="s">
        <v>15</v>
      </c>
      <c r="M1747" t="s">
        <v>2782</v>
      </c>
      <c r="N1747" t="s">
        <v>903</v>
      </c>
      <c r="O1747" t="s">
        <v>223</v>
      </c>
      <c r="R1747" s="52"/>
      <c r="S1747" s="52"/>
    </row>
    <row r="1748" spans="2:19" x14ac:dyDescent="0.25">
      <c r="B1748" t="s">
        <v>960</v>
      </c>
      <c r="E1748" t="s">
        <v>2632</v>
      </c>
      <c r="H1748" t="s">
        <v>15</v>
      </c>
      <c r="M1748" t="s">
        <v>2680</v>
      </c>
      <c r="N1748" t="s">
        <v>903</v>
      </c>
      <c r="O1748" t="s">
        <v>223</v>
      </c>
      <c r="R1748" s="52"/>
      <c r="S1748" s="52"/>
    </row>
  </sheetData>
  <sortState ref="A2:S1748">
    <sortCondition ref="Q2:Q1748"/>
  </sortState>
  <hyperlinks>
    <hyperlink ref="A540" r:id="rId1" tooltip="Sigma 8mm F3.5 EX DG Circular Fisheye Specifications" display="http://www.neocamera.com/lens/sigma/8mm_f3.5_ex_dg_circular_fisheye/nikon"/>
    <hyperlink ref="A259" r:id="rId2" tooltip="Tamron Di SP 90mm F/2.8 Macro VC USD Specifications" display="http://www.neocamera.com/lens/tamron/di_sp_90mm_f2.8_macro_vc_usd/nikon"/>
    <hyperlink ref="A319" r:id="rId3" tooltip="Tamron Di SP AF 90mm F/2.8 MACRO Specifications" display="http://www.neocamera.com/lens/tamron/di_sp_af_90mm_f2.8_macro/nikon"/>
    <hyperlink ref="A963" r:id="rId4" tooltip="Zeiss Otus 85mm F/1.4 Specifications" display="http://www.neocamera.com/lens/zeiss/otus_85mm_f1.4/nikon"/>
    <hyperlink ref="A547" r:id="rId5" tooltip="Zeiss Otus 85mm F/1.4 Specifications" display="http://www.neocamera.com/lens/zeiss/otus_85mm_f1.4/nikon"/>
    <hyperlink ref="A386" r:id="rId6" tooltip="Zeiss Otus 28mm F/1.4 ZF.2 Specifications" display="http://www.neocamera.com/lens/zeiss/otus_28mm_f1.4_zf.2/nikon"/>
    <hyperlink ref="A473" r:id="rId7" tooltip="Zeiss Milvus 85mm F/1.4 ZF.2 Specifications" display="http://www.neocamera.com/lens/zeiss/milvus_85mm_f1.4_zf.2/nikon"/>
    <hyperlink ref="A1019" r:id="rId8" tooltip="Zeiss Milvus 50mm F/2 Macro ZF.2 Specifications" display="http://www.neocamera.com/lens/zeiss/milvus_50mm_f2_macro_zf.2/nikon"/>
    <hyperlink ref="A1595" r:id="rId9" tooltip="Zeiss Milvus 50mm F/1.4 ZF.2 Specifications" display="http://www.neocamera.com/lens/zeiss/milvus_50mm_f1.4_zf2/nikon"/>
    <hyperlink ref="A110" r:id="rId10" tooltip="Zeiss Milvus 35mm F/2 ZF.2 Specifications" display="http://www.neocamera.com/lens/zeiss/milvus_35mm_f2_zf.2/nikon"/>
    <hyperlink ref="A109" r:id="rId11" tooltip="Zeiss Milvus 35mm F/1.4 Specifications" display="http://www.neocamera.com/lens/zeiss/milvus_35mm_f1.4/nikon"/>
    <hyperlink ref="A867" r:id="rId12" tooltip="Zeiss Milvus 21mm F/2.8 ZF.2 Specifications" display="http://www.neocamera.com/lens/zeiss/milvus_21mm_f2.8/nikon"/>
    <hyperlink ref="A446" r:id="rId13" tooltip="Zeiss Milvus 18mm F/2.8 ZF.2 Specifications" display="http://www.neocamera.com/lens/zeiss/milvus_18mm_f2.8_zf.2/nikon"/>
    <hyperlink ref="A1536" r:id="rId14" tooltip="Zeiss Milvus 15mm F/2.8 ZF.2 Specifications" display="http://www.neocamera.com/lens/zeiss/milvus_15mm_f2.8_zf.2/nikon"/>
    <hyperlink ref="A471" r:id="rId15" tooltip="Zeiss Milvus 135mm F/2 ZF.2 Specifications" display="http://www.neocamera.com/lens/zeiss/milvus_135mm_f2_zf.2/nikon"/>
    <hyperlink ref="A746" r:id="rId16" tooltip="Zeiss Milvus 100mm F/2 ZF.2 Specifications" display="http://www.neocamera.com/lens/zeiss/milvus_100mm_f2_zf.2/nikon"/>
    <hyperlink ref="A546" r:id="rId17" tooltip="Zeiss Makro-Planar T* 2/50 Specifications" display="http://www.neocamera.com/lens/zeiss/makro-planar_t_250/nikon"/>
    <hyperlink ref="A646" r:id="rId18" tooltip="Zeiss Makro-Planar T* 2/100 Specifications" display="http://www.neocamera.com/lens/zeiss/makro-planar_t_2100/nikon"/>
    <hyperlink ref="A320" r:id="rId19" tooltip="Zeiss Apo Sonnar T* 2/135 Specifications" display="http://www.neocamera.com/lens/zeiss/apo_sonnar_t_2135/nikon"/>
    <hyperlink ref="A476" r:id="rId20" tooltip="Tokina AT-X SD 14-20mm F/2 DX PRO Specifications" display="http://www.neocamera.com/lens/tokina/at-x_sd_14-20mm_f2_dx_pro/nikon"/>
    <hyperlink ref="A1589" r:id="rId21" tooltip="Tokina AT-X M35 Pro DX Specifications" display="http://www.neocamera.com/lens/tokina/at-x_m35_pro_dx/nikon"/>
    <hyperlink ref="A758" r:id="rId22" tooltip="Tokina AT-X M100 AF Pro D Specifications" display="http://www.neocamera.com/lens/tokina/at-x_m100_af_pro_d/nikon"/>
    <hyperlink ref="A740" r:id="rId23" tooltip="Tokina AT-X 840 AF D Specifications" display="http://www.neocamera.com/lens/tokina/at-x_840_af_d/nikon"/>
    <hyperlink ref="A1175" r:id="rId24" tooltip="Tokina AT-X 70-200mm F/4 Pro FX VCM-S Specifications" display="http://www.neocamera.com/lens/tokina/at-x_70-200mm_f4_pro_fx_vcm-s/nikon"/>
    <hyperlink ref="A307" r:id="rId25" tooltip="Tokina AT-X 535 Pro DX Specifications" display="http://www.neocamera.com/lens/tokina/at-x_535_pro_dx/nikon"/>
    <hyperlink ref="A1073" r:id="rId26" tooltip="Tokina AT-X 24-70mm F/2.8 PRO FX Specifications" display="http://www.neocamera.com/lens/tokina/at-x_24-70mm_f2.8_pro_fx/nikon"/>
    <hyperlink ref="A622" r:id="rId27" tooltip="Tokina AT-X 17-35mm F4 PRO FX Specifications" display="http://www.neocamera.com/lens/tokina/at-x_17-35_f4_pro_fx/nikon"/>
    <hyperlink ref="A509" r:id="rId28" tooltip="Tokina AT-X 165 Pro DX Specifications" display="http://www.neocamera.com/lens/tokina/at-x_165_pro_dx/nikon"/>
    <hyperlink ref="A537" r:id="rId29" tooltip="Tokina AT-X 16.5-135 DX Specifications" display="http://www.neocamera.com/lens/tokina/at-x_16.5-135_dx/nikon"/>
    <hyperlink ref="A465" r:id="rId30" tooltip="Tokina AT-X 16-28mm F/2.8 Pro FX Specifications" display="http://www.neocamera.com/lens/tokina/at-x_16-28mm_f2.8_pro_fx/nikon"/>
    <hyperlink ref="A595" r:id="rId31" tooltip="Tokina AT-X 124 AF Pro DX II Specifications" display="http://www.neocamera.com/lens/tokina/at-x_124_af_pro_dx_ii/nikon"/>
    <hyperlink ref="A1484" r:id="rId32" tooltip="Tokina AT-X 12-28mm F/4 Pro DX Specifications" display="http://www.neocamera.com/lens/tokina/at-x_12-28mm_f4_pro_dx/nikon"/>
    <hyperlink ref="A742" r:id="rId33" tooltip="Tokina AT-X 116 PRO DX Ⅱ Specifications" display="http://www.neocamera.com/lens/tokina/at-x_116_pro_dx_8545/nikon"/>
    <hyperlink ref="A594" r:id="rId34" tooltip="Tokina AT-X 116 Pro DX Specifications" display="http://www.neocamera.com/lens/tokina/at-x_116_pro_dx/nikon"/>
    <hyperlink ref="A1628" r:id="rId35" tooltip="Tokina AT-X 11-20mm F/2.8 PRO DX Specifications" display="http://www.neocamera.com/lens/tokina/at-x_11-20mm_f2.8_pro_dx/nikon"/>
    <hyperlink ref="A376" r:id="rId36" tooltip="Tamron SP 45mm F/1.8 Di VC USD Specifications" display="http://www.neocamera.com/lens/tamron/sp_45mm_f1.8_di_vc_usd/nikon"/>
    <hyperlink ref="A803" r:id="rId37" tooltip="Tamron SP 35mm F/1.8 Di VC USD Specifications" display="http://www.neocamera.com/lens/tamron/sp_35mm_f1.8_di_vc_usd/nikon"/>
    <hyperlink ref="A840" r:id="rId38" tooltip="Tamron Di II SP AF 60mm F/2 Macro Specifications" display="http://www.neocamera.com/lens/tamron/di_ii_sp_af_60mm_f2_macro/nikon"/>
    <hyperlink ref="A297" r:id="rId39" tooltip="Tamron Di II SP AF 17-50mm F/2.8 XR VC Specifications" display="http://www.neocamera.com/lens/tamron/di_ii_sp_af_17-50mm_f2.8_xr_vc/nikon"/>
    <hyperlink ref="A511" r:id="rId40" tooltip="Tamron Di II SP AF 17-50mm F/2.8 XR Specifications" display="http://www.neocamera.com/lens/tamron/di_ii_sp_af_17-50mm_f2.8_xr/nikon"/>
    <hyperlink ref="A656" r:id="rId41" tooltip="Tamron Di II AF 55-200 F4-5.6 Specifications" display="http://www.neocamera.com/lens/tamron/di_ii_af_55-200_f4-5.6/nikon"/>
    <hyperlink ref="A1061" r:id="rId42" tooltip="Tamron Di II AF 18-270mm F/3.5-6.3 VC Specifications" display="http://www.neocamera.com/lens/tamron/di_ii_af_18-270mm_f3.5-6.3_vc/nikon"/>
    <hyperlink ref="A1547" r:id="rId43" tooltip="Tamron Di II AF 18-200mm F/3.5-6.3 XR Specifications" display="http://www.neocamera.com/lens/tamron/di_ii_af_18-200mm_f3.5-6.3_xr/nikon"/>
    <hyperlink ref="A1047" r:id="rId44" tooltip="Tamron Di II 18-400mm F/3.5-6.3 VC HLD Specifications" display="http://www.neocamera.com/lens/tamron/di_ii_18-400mm_f3.5-6.3_vc_hld/nikon"/>
    <hyperlink ref="A1526" r:id="rId45" tooltip="Tamron Di II 18-270mm F/3.5-6.3 VC PZD Specifications" display="http://www.neocamera.com/lens/tamron/di_ii_18-270mm_f3.5-6.3_vc_pzd/nikon"/>
    <hyperlink ref="A242" r:id="rId46" tooltip="Tamron Di II 18-270mm F/3.5-6.3 VC PZD Specifications" display="http://www.neocamera.com/lens/tamron/di_ii_18-270mm_f3.5-6.3_vc_pzd/nikon"/>
    <hyperlink ref="A572" r:id="rId47" tooltip="Tamron Di II 18-200mm F/3.5-6.3 VC Specifications" display="http://www.neocamera.com/lens/tamron/di_ii_18-200mm_f3.5-6.3_vc/nikon"/>
    <hyperlink ref="A209" r:id="rId48" tooltip="Tamron Di II 16-300mm F/3.5-6.3 VC PZD Macro Specifications" display="http://www.neocamera.com/lens/tamron/di_ii_16-300mm_f3.5-6.3_vc_pzd_macro/nikon"/>
    <hyperlink ref="A1094" r:id="rId49" tooltip="Tamron Di SP AF 70-200mm F/2.8 Specifications" display="http://www.neocamera.com/lens/tamron/di_sp_af_70-200mm_f2.8/nikon"/>
    <hyperlink ref="A1359" r:id="rId50" tooltip="Tamron Di SP AF 28-75mm F/2.8 XR Specifications" display="http://www.neocamera.com/lens/tamron/di_sp_af_28-75mm_f2.8_xr/nikon"/>
    <hyperlink ref="A728" r:id="rId51" tooltip="Tamron Di SP AF 200-500 F/5-6.3 Specifications" display="http://www.neocamera.com/lens/tamron/di_sp_af_200-500_f5-6.3/nikon"/>
    <hyperlink ref="A125" r:id="rId52" tooltip="Tamron Di SP AF 180mm F/3.5 Specifications" display="http://www.neocamera.com/lens/tamron/di_sp_af_180mm_f3.5/nikon"/>
    <hyperlink ref="A523" r:id="rId53" tooltip="Tamron Di SP 85mm F/1.8 VC USD Specifications" display="http://www.neocamera.com/lens/tamron/di_sp_85mm_f1.8_vc_usd/nikon"/>
    <hyperlink ref="A868" r:id="rId54" tooltip="Tamron Di SP 70-300mm F/4-5.6 VC USD Specifications" display="http://www.neocamera.com/lens/tamron/di_sp_70-300mm_f4-5.6_vc_usd/nikon"/>
    <hyperlink ref="A1460" r:id="rId55" tooltip="Tamron Di SP 70-200mm F/2.8 VC USD G2 Specifications" display="http://www.neocamera.com/lens/tamron/di_sp_70-200mm_f2.8_vc_usd_g2/nikon"/>
    <hyperlink ref="A1572" r:id="rId56" tooltip="Tamron Di SP 24-70mm F/2.8 VC Specifications" display="http://www.neocamera.com/lens/tamron/di_sp_24-70mm_f2.8_vc/nikon"/>
    <hyperlink ref="A957" r:id="rId57" tooltip="Tamron Di SP 150-600mm F/5-6.3 VC USD G2 Specifications" display="http://www.neocamera.com/lens/tamron/di_sp_150-600mm_f5-6.3_vc_usd_g2/nikon"/>
    <hyperlink ref="A1091" r:id="rId58" tooltip="Tamron Di AF 28-300 F/3.5-6.3 XR VC Specifications" display="http://www.neocamera.com/lens/tamron/di_af_28-300_f3.5-6.3_xr_vc/nikon"/>
    <hyperlink ref="A886" r:id="rId59" tooltip="Tamron Di AF 28-300 F/3.5-6.3 XR Specifications" display="http://www.neocamera.com/lens/tamron/di_af_28-300_f3.5-6.3_xr/nikon"/>
    <hyperlink ref="A1600" r:id="rId60" tooltip="Tamron Di AF 28-200 F/3.8-5.6 XR Specifications" display="http://www.neocamera.com/lens/tamron/di_af_28-200_f3.8-5.6_xr/nikon"/>
    <hyperlink ref="A583" r:id="rId61" tooltip="Tamron Di 70-300mm F/4-5.6 LD Specifications" display="http://www.neocamera.com/lens/tamron/di_70-300mm_f4-5.6_ld/nikon"/>
    <hyperlink ref="A210" r:id="rId62" tooltip="Tamron Di 28-300mm F/3.5-6.3 VC PZD Specifications" display="http://www.neocamera.com/lens/tamron/di_28-300mm_f3.5-6.3_vc_pzd/nikon"/>
    <hyperlink ref="A946" r:id="rId63" tooltip="Sigma S 500mm F/4 DG OS HSM Specifications" display="http://www.neocamera.com/lens/sigma/s_500mm_f4_dg_os_hsm/nikon"/>
    <hyperlink ref="A618" r:id="rId64" tooltip="Sigma S 150-600mm F/5-6.3 DG OS HSM Specifications" display="http://www.neocamera.com/lens/sigma/s_150-600mm_f5-6.3_dg_os_hsm/nikon"/>
    <hyperlink ref="A1667" r:id="rId65" tooltip="Sigma S 150-600mm F/5-6.3 DG OS HSM Specifications" display="http://www.neocamera.com/lens/sigma/s_150-600mm_f5-6.3_dg_os_hsm/nikon"/>
    <hyperlink ref="A937" r:id="rId66" tooltip="Sigma S 120-300mm F/2.8 DG OS HSM Specifications" display="http://www.neocamera.com/lens/sigma/s_120-300mm_f2.8_dg_os_hsm/nikon"/>
    <hyperlink ref="A611" r:id="rId67" tooltip="Sigma C 18-300mm F/3.5-6.3 DC Macro OS HSM Specifications" display="http://www.neocamera.com/lens/sigma/c_18-300mm_f3.5-6.3_dc_macro_os_hsm/nikon"/>
    <hyperlink ref="A1052" r:id="rId68" tooltip="Sigma C 18-200mm F/3.5-6.3 DC Macro OS HSM Specifications" display="http://www.neocamera.com/lens/sigma/c_18-200mm_f3.5-6.3_dc_macro_os_hsm/nikon"/>
    <hyperlink ref="A1535" r:id="rId69" tooltip="Sigma C 17-70mm F/2.8-4 DC Macro OS HSM Specifications" display="http://www.neocamera.com/lens/sigma/c_17-70mm_f2.8-4_dc_macro_os_hsm/nikon"/>
    <hyperlink ref="A1391" r:id="rId70" tooltip="Sigma C 150-600mm F/5-6.3 DG OS HSM Specifications" display="http://www.neocamera.com/lens/sigma/c_150-600mm_f5-6.3_dg_os_hsm/nikon"/>
    <hyperlink ref="A1218" r:id="rId71" tooltip="Sigma C 100-400mm F/5-6.3 DG OS HSM Specifications" display="http://www.neocamera.com/lens/sigma/c_100-400mm_f5-6.3_dg_os_hsm/nikon"/>
    <hyperlink ref="A690" r:id="rId72" tooltip="Sigma A 85mm F/1.4 DG HSM Specifications" display="http://www.neocamera.com/lens/sigma/a_85mm_f1.4_dg_hsm/nikon"/>
    <hyperlink ref="A24" r:id="rId73" tooltip="Sigma A 50mm F/1.4 DG HSM Specifications" display="http://www.neocamera.com/lens/sigma/a_50mm_f14dg_hsm/nikon"/>
    <hyperlink ref="A638" r:id="rId74" tooltip="Sigma A 50-100mm F/1.8 DC HSM Specifications" display="http://www.neocamera.com/lens/sigma/a_50-100mm_f1.8_dc_hsm/nikon"/>
    <hyperlink ref="A245" r:id="rId75" tooltip="Sigma A 30mm F/1.4 DC HSM Specifications" display="http://www.neocamera.com/lens/sigma/a_30mm_f1.4_dc_hsm/nikon"/>
    <hyperlink ref="A1180" r:id="rId76" tooltip="Sigma A 24mm F/1.4 DG HSM Specifications" display="http://www.neocamera.com/lens/sigma/a_24mm_f1.4_dg_hsm/nikon"/>
    <hyperlink ref="A466" r:id="rId77" tooltip="Sigma A 24-70mm F/2.8 DG OS HSM Specifications" display="http://www.neocamera.com/lens/sigma/a_24-70mm_f2.8_dg_os_hsm/nikon"/>
    <hyperlink ref="A1123" r:id="rId78" tooltip="Sigma A 24-35mm F/2 DG HSM Specifications" display="http://www.neocamera.com/lens/sigma/a_24-35mm_f2_dg_hsm/nikon"/>
    <hyperlink ref="A385" r:id="rId79" tooltip="Sigma A 24-105mm F/4 DG OS HSM Specifications" display="http://www.neocamera.com/lens/sigma/a_24-105mm_f4_dg_os_hsm/nikon"/>
    <hyperlink ref="A1553" r:id="rId80" tooltip="Sigma A 20mm F/1.4 DG HSM Specifications" display="http://www.neocamera.com/lens/sigma/a_20mm_f1.4_dg_hsm/nikon"/>
    <hyperlink ref="A942" r:id="rId81" tooltip="Sigma A 18-35mm F/1.8 DC HSM Specifications" display="http://www.neocamera.com/lens/sigma/a_18-35mm_f1.8_dc_hsm/nikon"/>
    <hyperlink ref="A373" r:id="rId82" tooltip="Sigma A 14mm F/1.8 DG HSM Specifications" display="http://www.neocamera.com/lens/sigma/a_14mm_f1.8_dg_hsm/nikon"/>
    <hyperlink ref="A932" r:id="rId83" tooltip="Sigma A 135mm F/1.8 DG HSM Specifications" display="http://www.neocamera.com/lens/sigma/a_135mm_f1.8_dg_hsm/nikon"/>
    <hyperlink ref="A949" r:id="rId84" tooltip="Sigma A 12-24mm F/4 DG HSM Specifications" display="http://www.neocamera.com/lens/sigma/a_12-24mm_f4_dg_hsm/nikon"/>
    <hyperlink ref="A1014" r:id="rId85" tooltip="Sigma 85mm F1.4 EX DG HSM Specifications" display="http://www.neocamera.com/lens/sigma/85mm_f1.4_ex_dg_hsm/nikon"/>
    <hyperlink ref="A1404" r:id="rId86" tooltip="Sigma 800mm F5.6 EX APO DG HSM Specifications" display="http://www.neocamera.com/lens/sigma/800mm_f5.6_ex_apo_dg_hsm/nikon"/>
    <hyperlink ref="A1552" r:id="rId87" tooltip="Sigma 8-16mm F4.5-5.6 DC HSM Specifications" display="http://www.neocamera.com/lens/sigma/8-16mm_f4.5-5.6_dc_hsm/nikon"/>
    <hyperlink ref="A1364" r:id="rId88" tooltip="Sigma 70mm F2.8 EX DG Macro Specifications" display="http://www.neocamera.com/lens/sigma/70mm_f2.8_ex_dg_macro/nikon"/>
    <hyperlink ref="A190" r:id="rId89" tooltip="Sigma 70-300mm F4-5.6 DG OS Specifications" display="http://www.neocamera.com/lens/sigma/70-300mm_f4-5.6_dg_os/nikon"/>
    <hyperlink ref="A1657" r:id="rId90" tooltip="Sigma 70-300mm F4-5.6 DG Macro Specifications" display="http://www.neocamera.com/lens/sigma/70-300mm_f4-5.6_dg_macro/nikon"/>
    <hyperlink ref="A1467" r:id="rId91" tooltip="Sigma 70-300mm F4-5.6 APO DG Macro Specifications" display="http://www.neocamera.com/lens/sigma/70-300mm_f4-5.6_apo_dg_macro/nikon"/>
    <hyperlink ref="A17" r:id="rId92" tooltip="Sigma 70-200mm F2.8 EX DG APO Macro HSM II Specifications" display="http://www.neocamera.com/lens/sigma/70-200mm_f2.8_ex_dg_apo_macro_hsm_ii/nikon"/>
    <hyperlink ref="A113" r:id="rId93" tooltip="Sigma 50mm F2.8 EX DG Macro Specifications" display="http://www.neocamera.com/lens/sigma/50mm_f2.8_ex_dg_macro/nikon"/>
    <hyperlink ref="A112" r:id="rId94" tooltip="Sigma 50mm F1.4 EX DG HSM Specifications" display="http://www.neocamera.com/lens/sigma/50mm_f1.4_ex_dg_hsm/nikon"/>
    <hyperlink ref="A1060" r:id="rId95" tooltip="Sigma 500mm F4.5 EX DG APO HSM Specifications" display="http://www.neocamera.com/lens/sigma/500mm_f4.5_ex_dg_apo_hsm/nikon"/>
    <hyperlink ref="A1641" r:id="rId96" tooltip="Sigma 50-500mm F4.5-6.3 APO DG OS HSM Specifications" display="http://www.neocamera.com/lens/sigma/50-500mm_f4.5-6.3_apo_dg_os_hsm/nikon"/>
    <hyperlink ref="A252" r:id="rId97" tooltip="Sigma 50-200mm F4-5.6 DC OS HSM Specifications" display="http://www.neocamera.com/lens/sigma/50-200mm_f4-5.6_dc_os_hsm/nikon"/>
    <hyperlink ref="A405" r:id="rId98" tooltip="Sigma 50-150mm F2.8 EX DC APO HSM II Specifications" display="http://www.neocamera.com/lens/sigma/50-150mm_f2.8_ex_dc_apo_hsm_ii/nikon"/>
    <hyperlink ref="A456" r:id="rId99" tooltip="Sigma 50-150mm F/2.8 EX APO DC OS HSM Specifications" display="http://www.neocamera.com/lens/sigma/50-150mm_f2.8_ex_apo_dc_os_hsm/nikon"/>
    <hyperlink ref="A478" r:id="rId100" tooltip="Sigma 35mm F/1.4 DG HSM Specifications" display="http://www.neocamera.com/lens/sigma/35mm_f1.4_dg_hsm/nikon"/>
    <hyperlink ref="A244" r:id="rId101" tooltip="Sigma 30mm F1.4 EX DC HSM Specifications" display="http://www.neocamera.com/lens/sigma/30mm_f1.4_ex_dc_hsm/nikon"/>
    <hyperlink ref="A848" r:id="rId102" tooltip="Sigma 300mm F2.8 EX APO DG HSM Specifications" display="http://www.neocamera.com/lens/sigma/300mm_f2.8_ex_apo_dg_hsm/nikon"/>
    <hyperlink ref="A534" r:id="rId103" tooltip="Sigma 300-800mm F5.6 EX DG APO HSM Specifications" display="http://www.neocamera.com/lens/sigma/300-800mm_f5.6_ex_dg_apo_hsm/nikon"/>
    <hyperlink ref="A243" r:id="rId104" tooltip="Sigma 28mm F1.8 EX DG ASP Macro Specifications" display="http://www.neocamera.com/lens/sigma/28mm_f1.8_ex_dg_asp_macro/nikon"/>
    <hyperlink ref="A1457" r:id="rId105" tooltip="Sigma 28-300mm F3.5-6.3 DG Macro Specifications" display="http://www.neocamera.com/lens/sigma/28-300mm_f3.5-6.3_dg_macro/nikon"/>
    <hyperlink ref="A828" r:id="rId106" tooltip="Sigma 24mm F1.8 EX DG ASP Macro Specifications" display="http://www.neocamera.com/lens/sigma/24mm_f1.8_ex_dg_asp_macro/nikon"/>
    <hyperlink ref="A1017" r:id="rId107" tooltip="Sigma 24-70mm F2.8 IF EX DG HSM Specifications" display="http://www.neocamera.com/lens/sigma/24-70mm_f2.8_if_ex_dg_hsm/nikon"/>
    <hyperlink ref="A20" r:id="rId108" tooltip="Sigma 24-70mm F2.8 EX DG Macro Specifications" display="http://www.neocamera.com/lens/sigma/24-70mm_f2.8_ex_dg_macro/nikon"/>
    <hyperlink ref="A1120" r:id="rId109" tooltip="Sigma 20mm F1.8 EX DG ASP RF Specifications" display="http://www.neocamera.com/lens/sigma/20mm_f1.8_ex_dg_asp_rf/nikon"/>
    <hyperlink ref="A1392" r:id="rId110" tooltip="Sigma 200-500mm F2.8 APO EX DG Specifications" display="http://www.neocamera.com/lens/sigma/200-500mm_f2.8_apo_ex_dg/nikon"/>
    <hyperlink ref="A124" r:id="rId111" tooltip="Sigma 180mm F/2.8 EX DG OS HSM APO Macro Specifications" display="http://www.neocamera.com/lens/sigma/180mm_f2.8_ex_dg_os_hsm_apo_macro/nikon"/>
    <hyperlink ref="A844" r:id="rId112" tooltip="Sigma 18-50mm F2.8-4.5 DC OS HSM Specifications" display="http://www.neocamera.com/lens/sigma/18-50mm_f2.8-4.5_dc_os_hsm/nikon"/>
    <hyperlink ref="A238" r:id="rId113" tooltip="Sigma 18-50mm F2.8 EX DC Macro HSM Specifications" display="http://www.neocamera.com/lens/sigma/18-50mm_f2.8_ex_dc_macro_hsm/nikon"/>
    <hyperlink ref="A979" r:id="rId114" tooltip="Sigma 18-250mm F3.5-6.3 DC OS HSM Specifications" display="http://www.neocamera.com/lens/sigma/18-250mm_f3.5-6.3_dc_os_hsm/nikon"/>
    <hyperlink ref="A577" r:id="rId115" tooltip="Sigma 18-250mm F/3.5-6.3 DC OS HSM Macro Specifications" display="http://www.neocamera.com/lens/sigma/18-250mm_f3.5-6.3_dc_os_hsm_macro/nikon"/>
    <hyperlink ref="A827" r:id="rId116" tooltip="Sigma 18-200mm F3.5-6.3 DC OS Specifications" display="http://www.neocamera.com/lens/sigma/18-200mm_f3.5-6.3_dc_os/nikon"/>
    <hyperlink ref="A982" r:id="rId117" tooltip="Sigma 18-200mm F3.5-6.3 DC Specifications" display="http://www.neocamera.com/lens/sigma/18-200mm_f3.5-6.3_dc/nikon"/>
    <hyperlink ref="A1538" r:id="rId118" tooltip="Sigma 18-200mm F/3.5-5.6 DC OS HSM II Specifications" display="http://www.neocamera.com/lens/sigma/18-200mm_f3.5-5.6_dc_os_hsm_ii/nikon"/>
    <hyperlink ref="A607" r:id="rId119" tooltip="Sigma 18-125mm F3.8-5.6 DC OS HSM Specifications" display="http://www.neocamera.com/lens/sigma/18-125mm_f3.8-5.6_dc_os_hsm/nikon"/>
    <hyperlink ref="A1357" r:id="rId120" tooltip="Sigma 17-70mm F2.8-4.5 DC Macro HSM Specifications" display="http://www.neocamera.com/lens/sigma/17-70mm_f2.8-4.5_dc_macro_hsm/nikon"/>
    <hyperlink ref="A1358" r:id="rId121" tooltip="Sigma 17-70mm F2.8-4 DC Macro OS HSM Specifications" display="http://www.neocamera.com/lens/sigma/17-70mm_f2.8-4_dc_macro_os_hsm/nikon"/>
    <hyperlink ref="A541" r:id="rId122" tooltip="Sigma 17-50mm F2.8 EX DC OS HSM Specifications" display="http://www.neocamera.com/lens/sigma/17-50mm_f2.8_ex_dc_os_hsm/nikon"/>
    <hyperlink ref="A715" r:id="rId123" tooltip="Sigma 15mm F2.8 EX DG Diagonal Fisheye Specifications" display="http://www.neocamera.com/lens/sigma/15mm_f2.8_ex_dg_diagonal_fisheye/nikon"/>
    <hyperlink ref="A959" r:id="rId124" tooltip="Sigma 150mm F2.8 EX APO DG HSM Macro Specifications" display="http://www.neocamera.com/lens/sigma/150mm_f2.8_ex_apo_dg_hsm_macro/nikon"/>
    <hyperlink ref="A958" r:id="rId125" tooltip="Sigma 150mm F/2.8 EX DG OS HSM APO Macro Specifications" display="http://www.neocamera.com/lens/sigma/150mm_f2.8_ex_dg_os_hsm_apo_macro/nikon"/>
    <hyperlink ref="A392" r:id="rId126" tooltip="Sigma 150-500mm F5-6.3 APO DG OS HSM Specifications" display="http://www.neocamera.com/lens/sigma/150-500mm_f5-6.3_apo_dg_os_hsm/nikon"/>
    <hyperlink ref="A930" r:id="rId127" tooltip="Sigma 120-400mm F4.5-5.6 DG APO OS HSM Specifications" display="http://www.neocamera.com/lens/sigma/120-400mm_f4.5-5.6_dg_apo_os_hsm/nikon"/>
    <hyperlink ref="A936" r:id="rId128" tooltip="Sigma 120-300mm F2.8 EX DG APO HSM Specifications" display="http://www.neocamera.com/lens/sigma/120-300mm_f2.8_ex_dg_apo_hsm/nikon"/>
    <hyperlink ref="A935" r:id="rId129" tooltip="Sigma 120-300mm F/2.8 EX DG OS APO HSM Specifications" display="http://www.neocamera.com/lens/sigma/120-300mm_f2.8_ex_dg_os_apo_hsm/nikon"/>
    <hyperlink ref="A412" r:id="rId130" tooltip="Sigma 12-24mm F4.5-5.6 EX DG ASP HSM Specifications" display="http://www.neocamera.com/lens/sigma/12-24mm_f4.5-5.6_ex_dg_asp_hsm/nikon"/>
    <hyperlink ref="A582" r:id="rId131" tooltip="Sigma 12-24mm F/4.5-5.6 EX DG HSM II Specifications" display="http://www.neocamera.com/lens/sigma/12-24mm_f4.5-5.6_ex_dg_hsm_ii/nikon"/>
    <hyperlink ref="A1565" r:id="rId132" tooltip="Sigma 10mm F2.8 EX DC HSM Fisheye Specifications" display="http://www.neocamera.com/lens/sigma/10mm_f2.8_ex_dc_hsm_fisheye/nikon"/>
    <hyperlink ref="A929" r:id="rId133" tooltip="Sigma 105mm F2.8 EX DG Macro Specifications" display="http://www.neocamera.com/lens/sigma/105mm_f2.8_ex_dg_macro/nikon"/>
    <hyperlink ref="A104" r:id="rId134" tooltip="Sigma 105mm F/2.8 EX DG OS HSM Macro Specifications" display="http://www.neocamera.com/lens/sigma/105mm_f2.8_ex_dg_os_hsm_macro/nikon"/>
    <hyperlink ref="A1608" r:id="rId135" tooltip="Sigma 100-300mm F4 EX DG APO HSM Specifications" display="http://www.neocamera.com/lens/sigma/100-300mm_f4_ex_dg_apo_hsm/nikon"/>
    <hyperlink ref="A1387" r:id="rId136" tooltip="Samyang Premium MF 14mm F/2.4 Specifications" display="http://www.neocamera.com/lens/samyang/premium_mf_14mm_f2.4/nikon"/>
    <hyperlink ref="A1417" r:id="rId137" tooltip="Nikkor PC-E 85mm F/2.8D Micro Specifications" display="http://www.neocamera.com/lens/nikkor/pc-e_85mm_f2.8d_micro"/>
    <hyperlink ref="A375" r:id="rId138" tooltip="Nikkor PC-E 45mm F/2.8D ED Micro Specifications" display="http://www.neocamera.com/lens/nikkor/pc-e_45mm_f2.8d_ed_micro"/>
    <hyperlink ref="A1635" r:id="rId139" tooltip="Nikkor PC-E 24mm F/3.5D ED Specifications" display="http://www.neocamera.com/lens/nikkor/pc-e_24mm_f3.5d_ed"/>
    <hyperlink ref="A562" r:id="rId140" tooltip="Nikkor PC 19mm F/4E Specifications" display="http://www.neocamera.com/lens/nikkor/pc_19mm_f4e"/>
    <hyperlink ref="A650" r:id="rId141" tooltip="Nikkor AF-S DX 85mm F/3.5G ED VR Specifications" display="http://www.neocamera.com/lens/nikkor/af-s_dx_85mm_f3.5g_ed_vr"/>
    <hyperlink ref="A1310" r:id="rId142" tooltip="Nikkor AF-S DX 55-300mm F/4.5-5.6G ED VR Specifications" display="http://www.neocamera.com/lens/nikkor/af-s_dx_55-300mm_f4.5-5.6g_ed_vr"/>
    <hyperlink ref="A738" r:id="rId143" tooltip="Nikkor AF-S DX 55-200mm F/4.5-5.6G IF-ED VR Specifications" display="http://www.neocamera.com/lens/nikkor/af-s_dx_55-200mm_f4.5-5.6g_if-ed_vr"/>
    <hyperlink ref="A1411" r:id="rId144" tooltip="Nikkor AF-S DX 55-200mm F/4-5.6G ED VR II Specifications" display="http://www.neocamera.com/lens/nikkor/af-s_55-200mm_f4-5.6g_ed_vr_ii"/>
    <hyperlink ref="A512" r:id="rId145" tooltip="Nikkor AF-S DX 55-200mm F/4-5.6G ED Specifications" display="http://www.neocamera.com/lens/nikkor/af-s_dx_55-200mm_f4-5.6g_ed"/>
    <hyperlink ref="A389" r:id="rId146" tooltip="Nikkor AF-S DX 40mm F/2.8G Micro Specifications" display="http://www.neocamera.com/lens/nikkor/af-s_dx_40mm_f2.8g_micro"/>
    <hyperlink ref="A231" r:id="rId147" tooltip="Nikkor AF-S DX 35mm F/1.8G Specifications" display="http://www.neocamera.com/lens/nikkor/af-s_dx_35mm_f1.8g"/>
    <hyperlink ref="A403" r:id="rId148" tooltip="Nikkor AF-S DX 18-55mm F/3.5-5.6G VR II Specifications" display="http://www.neocamera.com/lens/nikkor/af-s_dx_18-55mm_f3.5-5.6g_vr_ii"/>
    <hyperlink ref="A631" r:id="rId149" tooltip="Nikkor AF-S DX 18-55mm F/3.5-5.6G VR Specifications" display="http://www.neocamera.com/lens/nikkor/af-s_dx_18-55mm_f3.5-5.6g_vr"/>
    <hyperlink ref="A1051" r:id="rId150" tooltip="Nikkor AF-S DX 18-55mm F/3.5-5.6G ED II Specifications" display="http://www.neocamera.com/lens/nikkor/af-s_dx_18-55mm_f3.5-5.6g_ed_ii"/>
    <hyperlink ref="A1085" r:id="rId151" tooltip="Nikkor AF-S DX 18-300mm F/3.5-6.3G ED VR Specifications" display="http://www.neocamera.com/lens/nikkor/af-s_dx_18-300mm_f3.5-6.3g_ed_vr"/>
    <hyperlink ref="A1537" r:id="rId152" tooltip="Nikkor AF-S DX 18-300mm F/3.5-5.6G ED VR Specifications" display="http://www.neocamera.com/lens/nikkor/af-s_dx_18-300mm_f3.5-5.6_ed_vr"/>
    <hyperlink ref="A484" r:id="rId153" tooltip="Nikkor AF-S DX 18-200mm F/3.5-5.6G ED VR II Specifications" display="http://www.neocamera.com/lens/nikkor/af-s_dx_18-200mm_f3.5-5.6g_ed_vr_ii"/>
    <hyperlink ref="A1525" r:id="rId154" tooltip="Nikkor AF-S DX 18-140mm F/3.5-5.6G ED VR Specifications" display="http://www.neocamera.com/lens/nikkor/af-s_dx_18-140mm_f3.5-5.6g_ed_vr"/>
    <hyperlink ref="A1504" r:id="rId155" tooltip="Nikkor AF-S DX 18-105mm F/3.5-5.6G ED VR Specifications" display="http://www.neocamera.com/lens/nikkor/af-s_dx_18-105mm_f3.5-5.6g_ed_vr"/>
    <hyperlink ref="A1381" r:id="rId156" tooltip="Nikkor AF-S DX 17-55mm F/2.8G IF-ED Specifications" display="http://www.neocamera.com/lens/nikkor/af-s_dx_17-55mm_f2.8g_if-ed"/>
    <hyperlink ref="A1356" r:id="rId157" tooltip="Nikkor AF-S DX 16-85mm F/3.5-5.6G ED VR Specifications" display="http://www.neocamera.com/lens/nikkor/af-s_dx_16-85mm_f3.5-5.6g_ed_vr"/>
    <hyperlink ref="A1121" r:id="rId158" tooltip="Nikkor AF-S DX 16-80mm F/2.8-4E ED VR Specifications" display="http://www.neocamera.com/lens/nikkor/af-s_dx_16-80mm_f2.8-4e_ed_vr"/>
    <hyperlink ref="A630" r:id="rId159" tooltip="Nikkor AF-S DX 12-24mm F/4G IF-ED Specifications" display="http://www.neocamera.com/lens/nikkor/af-s_dx_12-24mm_f4g_if-ed"/>
    <hyperlink ref="A888" r:id="rId160" tooltip="Nikkor AF-S DX  18-70mm F/3.5-4.5G IF-ED Specifications" display="http://www.neocamera.com/lens/nikkor/af-s_dx__18-70mm_f3.5-4.5g_if-ed"/>
    <hyperlink ref="A1624" r:id="rId161" tooltip="Nikkor AF-S 85mm F/1.8G Specifications" display="http://www.neocamera.com/lens/nikkor/af-s_85mm_f1.8g"/>
    <hyperlink ref="A1623" r:id="rId162" tooltip="Nikkor AF-S 85mm F/1.4G Specifications" display="http://www.neocamera.com/lens/nikkor/af-s_85mm_f1.4g"/>
    <hyperlink ref="A1099" r:id="rId163" tooltip="Nikkor AF-S 800mm F/5.6E FL ED VR Specifications" display="http://www.neocamera.com/lens/nikkor/af-s_800mm_f5.6e_fl_ed_vr"/>
    <hyperlink ref="A739" r:id="rId164" tooltip="Nikkor AF-S 80-400mm F/4.5-5.6G ED VR Specifications" display="http://www.neocamera.com/lens/nikkor/af-s_80-400mm_f4.5-5.6g_ed_vr"/>
    <hyperlink ref="A861" r:id="rId165" tooltip="Nikkor AF-S 70-300mm F/4-5.6G IF-ED VR Specifications" display="http://www.neocamera.com/lens/nikkor/af-s_70-300mm_f4-5.6g_if-ed_vr"/>
    <hyperlink ref="A16" r:id="rId166" tooltip="Nikkor AF-S 70-200mm F/4G ED VR Specifications" display="http://www.neocamera.com/lens/nikkor/af-s_70-200mm_f4g_ed_vr"/>
    <hyperlink ref="A15" r:id="rId167" tooltip="Nikkor AF-S 70-200mm F/2.8G IF-ED VR Specifications" display="http://www.neocamera.com/lens/nikkor/af-s_70-200mm_f2.8g_if-ed_vr"/>
    <hyperlink ref="A14" r:id="rId168" tooltip="Nikkor AF-S 70-200mm F/2.8G ED VR II Specifications" display="http://www.neocamera.com/lens/nikkor/af-s_70-200mm_f2.8g_ed_vr_ii"/>
    <hyperlink ref="A1371" r:id="rId169" tooltip="Nikkor AF-S 70-200mm F/2.8E FL ED VR Specifications" display="http://www.neocamera.com/lens/nikkor/af-s_70-200mm_f2.8e_fl_ed_vr"/>
    <hyperlink ref="A839" r:id="rId170" tooltip="Nikkor AF-S 60mm F/2.8G ED Micro Specifications" display="http://www.neocamera.com/lens/nikkor/af-s_60mm_f2.8g_ed_micro"/>
    <hyperlink ref="A1588" r:id="rId171" tooltip="Nikkor AF-S 600mm F/4G ED VR Specifications" display="http://www.neocamera.com/lens/nikkor/af-s_600mm_f4g_ed_vr"/>
    <hyperlink ref="A639" r:id="rId172" tooltip="Nikkor AF-S 600mm F/4E FL ED VR Specifications" display="http://www.neocamera.com/lens/nikkor/af-s_600mm_f4e_fl_ed_vr"/>
    <hyperlink ref="A9" r:id="rId173" tooltip="Nikkor AF-S 58mm F/1.4G Specifications" display="http://www.neocamera.com/lens/nikkor/af-s_58mm_f1.4g"/>
    <hyperlink ref="A111" r:id="rId174" tooltip="Nikkor AF-S 50mm F/1.8G Special Edition Specifications" display="http://www.neocamera.com/lens/nikkor/af-s_50mm_f1.8g_special_edition"/>
    <hyperlink ref="A797" r:id="rId175" tooltip="Nikkor AF-S 50mm F/1.8G Specifications" display="http://www.neocamera.com/lens/nikkor/af-s_50mm_f1.8g"/>
    <hyperlink ref="A796" r:id="rId176" tooltip="Nikkor AF-S 50mm F/1.4G Specifications" display="http://www.neocamera.com/lens/nikkor/af-s_50mm_f1.4g"/>
    <hyperlink ref="A1647" r:id="rId177" tooltip="Nikkor AF-S 500mm F/4G ED VR II Specifications" display="http://www.neocamera.com/lens/nikkor/af-s_500mm_f4g_ed_vr_ii"/>
    <hyperlink ref="A766" r:id="rId178" tooltip="Nikkor AF-S 500mm F/4E FL ED VR Specifications" display="http://www.neocamera.com/lens/nikkor/af-s_500mm_f4e_fl_ed_vr"/>
    <hyperlink ref="A1110" r:id="rId179" tooltip="Nikkor AF-S 400mm F/2.8G ED VR Specifications" display="http://www.neocamera.com/lens/nikkor/af-s_400mm_f2.8g_ed_vr"/>
    <hyperlink ref="A1349" r:id="rId180" tooltip="Nikkor AF-S 400mm F/2.8E  FL ED VR Specifications" display="http://www.neocamera.com/lens/nikkor/af-s_400mm_f2.8e__fl_ed_vr"/>
    <hyperlink ref="A360" r:id="rId181" tooltip="Nikkor AF-S 35mm F/1.8G ED Specifications" display="http://www.neocamera.com/lens/nikkor/af-s_35mm_f1.8g_ed"/>
    <hyperlink ref="A299" r:id="rId182" tooltip="Nikkor AF-S 35mm F/1.4G Specifications" display="http://www.neocamera.com/lens/nikkor/af-s_35mm_f1.4g"/>
    <hyperlink ref="A920" r:id="rId183" tooltip="Nikkor AF-S 300mm F/4E PF ED VR Specifications" display="http://www.neocamera.com/lens/nikkor/af-s_300mm_f4e_pf_ed_vr"/>
    <hyperlink ref="A1578" r:id="rId184" tooltip="Nikkor AF-S 300mm F/4D IF-ED Specifications" display="http://www.neocamera.com/lens/nikkor/af-s_300mm_f4d_if-ed"/>
    <hyperlink ref="A1577" r:id="rId185" tooltip="Nikkor AF-S 300mm F/2.8G ED-IF VR II Specifications" display="http://www.neocamera.com/lens/nikkor/af-s_300mm_f2.8g_ed-if_vr_ii"/>
    <hyperlink ref="A22" r:id="rId186" tooltip="Nikkor AF-S 28mm F/1.8G Specifications" display="http://www.neocamera.com/lens/nikkor/af-s_28mm_f1.8g"/>
    <hyperlink ref="A21" r:id="rId187" tooltip="Nikkor AF-S 28mm F/1.4E ED Specifications" display="http://www.neocamera.com/lens/nikkor/af-s_28mm_f1.4e_ed"/>
    <hyperlink ref="A1370" r:id="rId188" tooltip="Nikkor AF-S 28-300mm F/3.5-5.6 ED VR Specifications" display="http://www.neocamera.com/lens/nikkor/af-s_28-300mm_f3.5-5.6_ed_vr"/>
    <hyperlink ref="A847" r:id="rId189" tooltip="Nikkor AF-S 24mm F/1.8G ED Specifications" display="http://www.neocamera.com/lens/nikkor/af-s_24mm_f1.8g_ed"/>
    <hyperlink ref="A1604" r:id="rId190" tooltip="Nikkor AF-S 24mm F/1.4G ED Specifications" display="http://www.neocamera.com/lens/nikkor/af-s_24mm_f1.4g_ed"/>
    <hyperlink ref="A402" r:id="rId191" tooltip="Nikkor AF-S 24-85mm F/3.5-4.5G ED VR Specifications" display="http://www.neocamera.com/lens/nikkor/af-s_24-85mm_f3.5-4.5g_ed_vr"/>
    <hyperlink ref="A1632" r:id="rId192" tooltip="Nikkor AF-S 24-70mm F/2.8E ED VR Specifications" display="http://www.neocamera.com/lens/nikkor/af-s_24-70mm_f2.8e_ed_vr"/>
    <hyperlink ref="A1515" r:id="rId193" tooltip="Nikkor AF-S 24-70mm F/2.8 IF-ED Specifications" display="http://www.neocamera.com/lens/nikkor/af-s_24-70mm_f2.8_if-ed"/>
    <hyperlink ref="A977" r:id="rId194" tooltip="Nikkor AF-S 24-120mm F/3.5-5.6G IF-ED VR Specifications" display="http://www.neocamera.com/lens/nikkor/af-s_24-120mm_f3.5-5.6g_if-ed_vr"/>
    <hyperlink ref="A672" r:id="rId195" tooltip="Nikkor AF-S 24-120 F/4G ED VR Specifications" display="http://www.neocamera.com/lens/nikkor/af-s_24-120_f4g_ed_vr"/>
    <hyperlink ref="A524" r:id="rId196" tooltip="Nikkor AF-S 20mm F/1.8G ED Specifications" display="http://www.neocamera.com/lens/nikkor/af-s_20mm_f1.8g_ed"/>
    <hyperlink ref="A870" r:id="rId197" tooltip="Nikkor AF-S 200mm F/2G IF-ED VR Specifications" display="http://www.neocamera.com/lens/nikkor/af-s_200mm_f2g_if-ed_vr"/>
    <hyperlink ref="A426" r:id="rId198" tooltip="Nikkor AF-S 200mm F/2G ED VR II Specifications" display="http://www.neocamera.com/lens/nikkor/af-s_200mm_f2g_ed_vr_ii"/>
    <hyperlink ref="A1147" r:id="rId199" tooltip="Nikkor AF-S 200-500mm F/5.6E ED VR Specifications" display="http://www.neocamera.com/lens/nikkor/af-s_200-500mm_f5.6e_ed_vr"/>
    <hyperlink ref="A1146" r:id="rId200" tooltip="Nikkor AF-S 200-400mm F/4G ED VR II Specifications" display="http://www.neocamera.com/lens/nikkor/af-s_200-400mm_f4g_ed_vr_ii"/>
    <hyperlink ref="A1003" r:id="rId201" tooltip="Nikkor AF-S 18-35mm F/3.5-4.5G ED Specifications" display="http://www.neocamera.com/lens/nikkor/af-s_18-35mm_f3.5-4.5g_ed"/>
    <hyperlink ref="A1013" r:id="rId202" tooltip="Nikkor AF-S 17-35mm F/2.8D IF-ED Specifications" display="http://www.neocamera.com/lens/nikkor/af-s_17-35mm_f2.8d_if-ed"/>
    <hyperlink ref="A1012" r:id="rId203" tooltip="Nikkor AF-S 16-35mm F/4G ED VR Specifications" display="http://www.neocamera.com/lens/nikkor/af-s_16-35mm_f4g_ed_vr"/>
    <hyperlink ref="A1546" r:id="rId204" tooltip="Nikkor AF-S 14-24mm F/2.8G IF-ED Specifications" display="http://www.neocamera.com/lens/nikkor/af-s_14-24mm_f2.8g_if-ed"/>
    <hyperlink ref="A745" r:id="rId205" tooltip="Nikkor AF-S 105mm F/2.8G IF-ED VR Micro Specifications" display="http://www.neocamera.com/lens/nikkor/af-s_105mm_f2.8g_if-ed_vr_micro"/>
    <hyperlink ref="A56" r:id="rId206" tooltip="Nikkor AF-S 105mm F/1.4E ED Specifications" display="http://www.neocamera.com/lens/nikkor/af-s_105mm_f1.4e_ed"/>
    <hyperlink ref="A1224" r:id="rId207" tooltip="Nikkor AF-P DX 70-300mm F/4.5-6.3G VR Specifications" display="http://www.neocamera.com/lens/nikkor/af-p_dx_70-300mm_f4.5-6.3g_vr"/>
    <hyperlink ref="A1248" r:id="rId208" tooltip="Nikkor AF-P DX 70-300mm F/4.5-6.3G Specifications" display="http://www.neocamera.com/lens/nikkor/af-p_dx_70-300mm_f4.5-6.3g"/>
    <hyperlink ref="A37" r:id="rId209" tooltip="Nikkor AF-P DX 18-55mm F/3.5-5.6G VR Specifications" display="http://www.neocamera.com/lens/nikkor/af-p_dx_18-55mm_f3.5-5.6g_vr"/>
    <hyperlink ref="A1660" r:id="rId210" tooltip="Nikkor AF-P DX 18-55mm F/3.5-5.6G Specifications" display="http://www.neocamera.com/lens/nikkor/af-p_dx_18-55mm_f3.5-5.6g"/>
    <hyperlink ref="A525" r:id="rId211" tooltip="Nikkor AF 85mm F/1.8D Specifications" display="http://www.neocamera.com/lens/nikkor/af_85mm_f1.8d"/>
    <hyperlink ref="A885" r:id="rId212" tooltip="Nikkor AF 85mm F/1.4D IF Specifications" display="http://www.neocamera.com/lens/nikkor/af_85mm_f1.4d_if"/>
    <hyperlink ref="A1352" r:id="rId213" tooltip="Nikkor AF 80-400mm F/4.5-5.6D ED VR Specifications" display="http://www.neocamera.com/lens/nikkor/af_80-400mm_f4.5-5.6d_ed_vr"/>
    <hyperlink ref="A1351" r:id="rId214" tooltip="Nikkor AF 80-200mm F/2.8D ED Specifications" display="http://www.neocamera.com/lens/nikkor/af_80-200mm_f2.8d_ed"/>
    <hyperlink ref="A189" r:id="rId215" tooltip="Nikkor AF 70-300mm F/4-5.6G Specifications" display="http://www.neocamera.com/lens/nikkor/af_70-300mm_f4-5.6g"/>
    <hyperlink ref="A838" r:id="rId216" tooltip="Nikkor AF 60mm F/2.8D Micro Specifications" display="http://www.neocamera.com/lens/nikkor/af_60mm_f2.8d_micro"/>
    <hyperlink ref="A795" r:id="rId217" tooltip="Nikkor AF 50mm F/1.8D Specifications" display="http://www.neocamera.com/lens/nikkor/af_50mm_f1.8d"/>
    <hyperlink ref="A829" r:id="rId218" tooltip="Nikkor AF 50mm F/1.4D Specifications" display="http://www.neocamera.com/lens/nikkor/af_50mm_f1.4d"/>
    <hyperlink ref="A246" r:id="rId219" tooltip="Nikkor AF 35mm F/2D Specifications" display="http://www.neocamera.com/lens/nikkor/af_35mm_f2d"/>
    <hyperlink ref="A261" r:id="rId220" tooltip="Nikkor AF 28mm F/2.8D Specifications" display="http://www.neocamera.com/lens/nikkor/af_28mm_f2.8d"/>
    <hyperlink ref="A543" r:id="rId221" tooltip="Nikkor AF 24mm F/2.8D Specifications" display="http://www.neocamera.com/lens/nikkor/af_24mm_f2.8d"/>
    <hyperlink ref="A707" r:id="rId222" tooltip="Nikkor AF 24-85mm F/2.8-4D IF Specifications" display="http://www.neocamera.com/lens/nikkor/af_24-85mm_f2.8-4d_if"/>
    <hyperlink ref="A1514" r:id="rId223" tooltip="Nikkor AF 20mm F/2.8D Specifications" display="http://www.neocamera.com/lens/nikkor/af_20mm_f2.8d"/>
    <hyperlink ref="A580" r:id="rId224" tooltip="Nikkor AF 200mm F/4D IF-ED Micro Specifications" display="http://www.neocamera.com/lens/nikkor/af_200mm_f4d_if-ed_micro"/>
    <hyperlink ref="A1543" r:id="rId225" tooltip="Nikkor AF 180mm F/2.8D IF-ED Specifications" display="http://www.neocamera.com/lens/nikkor/af_180mm_f2.8d_if-ed"/>
    <hyperlink ref="A790" r:id="rId226" tooltip="Nikkor AF 18-35mm F/3.5-4.5D IF-ED Specifications" display="http://www.neocamera.com/lens/nikkor/af_18-35mm_f3.5-4.5d_if-ed"/>
    <hyperlink ref="A296" r:id="rId227" tooltip="Nikkor AF 16mm F/2.8D Fisheye Specifications" display="http://www.neocamera.com/lens/nikkor/af_16mm_f2.8d_fisheye"/>
    <hyperlink ref="A976" r:id="rId228" tooltip="Nikkor AF 14mm F/2.8D ED Specifications" display="http://www.neocamera.com/lens/nikkor/af_14mm_f2.8d_ed"/>
    <hyperlink ref="A931" r:id="rId229" tooltip="Nikkor AF 135mm F/2D DC Specifications" display="http://www.neocamera.com/lens/nikkor/af_135mm_f2d_dc"/>
    <hyperlink ref="A232" r:id="rId230" tooltip="Nikkor AF 105mm F/2D DC Specifications" display="http://www.neocamera.com/lens/nikkor/af_105mm_f2d_dc"/>
    <hyperlink ref="A1554" r:id="rId231" tooltip="Nikkor AF DX 10.5mm F/2.8G ED Fisheye Specifications" display="http://www.neocamera.com/lens/nikkor/af_dx_10.5mm_f2.8g_ed_fisheye"/>
    <hyperlink ref="A1229" r:id="rId232" tooltip="Samyang 10mm ED AS NCS Specifications" display="http://www.neocamera.com/lens/samyang/10mm_ed_as_ncs/nikon"/>
    <hyperlink ref="A609" r:id="rId233" tooltip="Samyang VDSLR 135mm T2.2 ED UMC Specifications" display="http://www.neocamera.com/lens/samyang/vdslr_135mm_t2.2_ed_umc/nikon"/>
    <hyperlink ref="A586" r:id="rId234" tooltip="Samyang 135mm F/2 ED UMC Specifications" display="http://www.neocamera.com/lens/samyang/135mm_f2_ed_umc/nikon"/>
    <hyperlink ref="A1363" r:id="rId235" tooltip="Samyang 14mm F/2.8 IF ED UMC Asph AE Specifications" display="http://www.neocamera.com/lens/samyang/14mm_f2.8_if_ed_umc_asph_ae/nikon"/>
    <hyperlink ref="A619" r:id="rId236" tooltip="Samyang VDSLR 14mm T3.1 AS IF UMC Specifications" display="http://www.neocamera.com/lens/samyang/vdslr_14mm_t3.1_as_if_umc/nikon"/>
    <hyperlink ref="A1124" r:id="rId237" tooltip="Tamron Di SP 15-30mm F/2.8 VC USD Specifications" display="http://www.neocamera.com/lens/tamron/di_sp_15-30mm_f2.8_vc_usd/nikon"/>
    <hyperlink ref="A50" r:id="rId238" tooltip="Tamron Di SP 150-600mm F/5-6.3 Di VC USD Specifications" display="http://www.neocamera.com/lens/tamron/di_sp_150-600mm_f5-6.3_di_vc_usd/nikon"/>
    <hyperlink ref="A1299" r:id="rId239" tooltip="Zeiss Distagon T* 2.8/15 Specifications" display="http://www.neocamera.com/lens/zeiss/distagon_t_2.815/nikon"/>
    <hyperlink ref="A1135" r:id="rId240" tooltip="Samyang 16mm F/2 ED AS UMC CS Specifications" display="http://www.neocamera.com/lens/samyang/16mm_f2_ed_as_umc_cs/nikon"/>
    <hyperlink ref="A228" r:id="rId241" tooltip="Zeiss Distagon T* 3.5/18 Specifications" display="http://www.neocamera.com/lens/zeiss/distagon_t_3.518/nikon"/>
    <hyperlink ref="A748" r:id="rId242" tooltip="Samyang 20mm T/1.9 ED AS UMC Specifications" display="http://www.neocamera.com/lens/samyang/20mm_t1.9_ed_as_umc/nikon"/>
    <hyperlink ref="A858" r:id="rId243" tooltip="Samyang 20mm F/1.8 ED AS UMC Specifications" display="http://www.neocamera.com/lens/samyang/20mm_f1.8_ed_as_umc/nikon"/>
    <hyperlink ref="A1661" r:id="rId244" tooltip="Zeiss Distagon T* 2.8/21 Specifications" display="http://www.neocamera.com/lens/zeiss/distagon_t_2.821/nikon"/>
    <hyperlink ref="A298" r:id="rId245" tooltip="Samyang VDSLR 24mm T1.5 ED AS UMC Specifications" display="http://www.neocamera.com/lens/samyang/vdslr_24mm_t1.5_ed_as_umc/nikon"/>
    <hyperlink ref="A1361" r:id="rId246" tooltip="Samyang T-S 24mm F/3.5 ED AS UMC Specifications" display="http://www.neocamera.com/lens/samyang/t-s_24mm_f3.5_ed_as_umc/nikon"/>
    <hyperlink ref="A430" r:id="rId247" tooltip="Zeiss Distagon T* 2/25 Specifications" display="http://www.neocamera.com/lens/zeiss/distagon_t_225/nikon"/>
    <hyperlink ref="A1666" r:id="rId248" tooltip="Zeiss Distagon T* 2.8/25 Specifications" display="http://www.neocamera.com/lens/zeiss/distagon_t_2.825/nikon"/>
    <hyperlink ref="A943" r:id="rId249" tooltip="Zeiss Distagon T* 2/28 Specifications" display="http://www.neocamera.com/lens/zeiss/distagon_t_228/nikon"/>
    <hyperlink ref="A596" r:id="rId250" tooltip="Samyang 300mm F/6.3 ED UMC CS Specifications" display="http://www.neocamera.com/lens/samyang/300mm_f6.3_ed_umc_cs/nikon"/>
    <hyperlink ref="A300" r:id="rId251" tooltip="Samyang VDSLR 35mm T1.5 AS UMC Specifications" display="http://www.neocamera.com/lens/samyang/vdslr_35mm_t1.5_as_umc/nikon"/>
    <hyperlink ref="A23" r:id="rId252" tooltip="Samyang 35mm F/1.4 AS UMC AE Specifications" display="http://www.neocamera.com/lens/samyang/35mm_f1.4_as_umc_ae/nikon"/>
    <hyperlink ref="A568" r:id="rId253" tooltip="Zeiss Distagon T* 2/35 Specifications" display="http://www.neocamera.com/lens/zeiss/distagon_t_235/nikon"/>
    <hyperlink ref="A239" r:id="rId254" tooltip="Zeiss Distagon T* 1.4/35 Specifications" display="http://www.neocamera.com/lens/zeiss/distagon_t_1.435/nikon"/>
    <hyperlink ref="A1517" r:id="rId255" tooltip="Samyang 50mm T/1.5 VDSLR AS UMC Specifications" display="http://www.neocamera.com/lens/samyang/50mm_t1.5_vdslr_as_umc/nikon"/>
    <hyperlink ref="A1516" r:id="rId256" tooltip="Samyang 50mm F/1.4 AS UMC Specifications" display="http://www.neocamera.com/lens/samyang/50mm_f1.4_as_umc/nikon"/>
    <hyperlink ref="A416" r:id="rId257" tooltip="Zeiss Planar T* 1.4/50 Specifications" display="http://www.neocamera.com/lens/zeiss/planar_t_1.450/nikon"/>
    <hyperlink ref="A1405" r:id="rId258" tooltip="Zeiss Otus 55mm F/1.4 Specifications" display="http://www.neocamera.com/lens/zeiss/otus_55mm_f1.4/nikon"/>
    <hyperlink ref="A798" r:id="rId259" tooltip="Samyang 85mm F/1.4 IF MC Asph AE Specifications" display="http://www.neocamera.com/lens/samyang/85mm_f1.4_if_mc_asph_ae/nikon"/>
    <hyperlink ref="A813" r:id="rId260" tooltip="Zeiss Planar T* 1.4/85 Specifications" display="http://www.neocamera.com/lens/zeiss/planar_t_1.485/nikon"/>
    <hyperlink ref="A764" r:id="rId261" tooltip="Samyang VDSLR 8mm T3.8 Asph IF MC Fisheye CS Specifications" display="http://www.neocamera.com/lens/samyang/vdslr_8mm_t3.8_asph_if_mc_fisheye_cs/nikon"/>
    <hyperlink ref="A1523" r:id="rId262" tooltip="Samyang 8mm F/3.5 Asph IF MC Fisheye CS AE Specifications" display="http://www.neocamera.com/lens/samyang/8mm_f3.5_asph_if_mc_fisheye_cs_ae/nikon"/>
  </hyperlinks>
  <pageMargins left="0.7" right="0.7" top="0.78740157499999996" bottom="0.78740157499999996" header="0.3" footer="0.3"/>
  <legacyDrawing r:id="rId26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topLeftCell="C1" workbookViewId="0">
      <pane ySplit="1" topLeftCell="A2" activePane="bottomLeft" state="frozen"/>
      <selection pane="bottomLeft" activeCell="R1" sqref="R1:S104857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881</v>
      </c>
      <c r="B1" s="24" t="s">
        <v>882</v>
      </c>
      <c r="C1" s="24" t="s">
        <v>883</v>
      </c>
      <c r="D1" s="24" t="s">
        <v>884</v>
      </c>
      <c r="E1" s="24" t="s">
        <v>885</v>
      </c>
      <c r="F1" s="25" t="s">
        <v>886</v>
      </c>
      <c r="G1" s="25" t="s">
        <v>887</v>
      </c>
      <c r="H1" s="24" t="s">
        <v>900</v>
      </c>
      <c r="I1" s="24" t="s">
        <v>899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888</v>
      </c>
      <c r="O1" s="24" t="s">
        <v>897</v>
      </c>
      <c r="P1" s="24" t="s">
        <v>898</v>
      </c>
      <c r="Q1" s="24" t="s">
        <v>867</v>
      </c>
      <c r="R1" s="26" t="s">
        <v>890</v>
      </c>
      <c r="S1" s="26" t="s">
        <v>889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913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903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905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906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907</v>
      </c>
      <c r="P273" s="2" t="str">
        <f t="shared" si="53"/>
        <v>705</v>
      </c>
      <c r="Q273" s="2" t="s">
        <v>908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910</v>
      </c>
      <c r="B274" s="2" t="s">
        <v>911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912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909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Overview</vt:lpstr>
      <vt:lpstr>RawData</vt:lpstr>
      <vt:lpstr>RawData(Old)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2017-10-26T08:34:39Z</dcterms:modified>
</cp:coreProperties>
</file>